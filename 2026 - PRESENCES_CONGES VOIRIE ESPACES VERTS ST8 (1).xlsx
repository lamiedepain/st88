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8\"/>
    </mc:Choice>
  </mc:AlternateContent>
  <xr:revisionPtr revIDLastSave="0" documentId="13_ncr:1_{04828501-7E74-4A41-B2CD-289F26DFD6D3}" xr6:coauthVersionLast="47" xr6:coauthVersionMax="47" xr10:uidLastSave="{00000000-0000-0000-0000-000000000000}"/>
  <bookViews>
    <workbookView xWindow="-120" yWindow="-120" windowWidth="29040" windowHeight="15720" tabRatio="835" xr2:uid="{00000000-000D-0000-FFFF-FFFF00000000}"/>
  </bookViews>
  <sheets>
    <sheet name="config" sheetId="1" r:id="rId1"/>
    <sheet name="Janvier 2026" sheetId="2" r:id="rId2"/>
    <sheet name="Fevrier 2026" sheetId="3" r:id="rId3"/>
    <sheet name="Mars 2026" sheetId="4" r:id="rId4"/>
    <sheet name="Avril 2026" sheetId="5" r:id="rId5"/>
    <sheet name="Mai 2026" sheetId="6" r:id="rId6"/>
    <sheet name="Juin 2026" sheetId="7" r:id="rId7"/>
    <sheet name="Juillet 2026" sheetId="8" r:id="rId8"/>
    <sheet name="Aout 2026" sheetId="9" r:id="rId9"/>
    <sheet name="Septembre 2026" sheetId="10" r:id="rId10"/>
    <sheet name="Octobre 2026" sheetId="11" r:id="rId11"/>
    <sheet name="Novembre 2026" sheetId="12" r:id="rId12"/>
    <sheet name="Décembre 2026" sheetId="13" r:id="rId13"/>
    <sheet name="Janvier 2027" sheetId="14" r:id="rId14"/>
  </sheets>
  <definedNames>
    <definedName name="_xlnm.Print_Area" localSheetId="0">config!$E$1:$G$60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7" i="14" l="1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BF65" i="14"/>
  <c r="BE65" i="14"/>
  <c r="BD65" i="14"/>
  <c r="BC65" i="14"/>
  <c r="BB65" i="14"/>
  <c r="BA65" i="14"/>
  <c r="AZ65" i="14"/>
  <c r="AY65" i="14"/>
  <c r="AX65" i="14"/>
  <c r="AW65" i="14"/>
  <c r="AV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A63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BF52" i="14"/>
  <c r="BE52" i="14"/>
  <c r="BD52" i="14"/>
  <c r="BC52" i="14"/>
  <c r="BB52" i="14"/>
  <c r="BA52" i="14"/>
  <c r="AZ52" i="14"/>
  <c r="AY52" i="14"/>
  <c r="AX52" i="14"/>
  <c r="AW52" i="14"/>
  <c r="AV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A50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BF40" i="14"/>
  <c r="BE40" i="14"/>
  <c r="BD40" i="14"/>
  <c r="BC40" i="14"/>
  <c r="BB40" i="14"/>
  <c r="BA40" i="14"/>
  <c r="AZ40" i="14"/>
  <c r="AY40" i="14"/>
  <c r="AX40" i="14"/>
  <c r="AW40" i="14"/>
  <c r="AV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A38" i="14"/>
  <c r="A37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A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25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22" i="14"/>
  <c r="A21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BF13" i="14"/>
  <c r="BE13" i="14"/>
  <c r="BD13" i="14"/>
  <c r="BC13" i="14"/>
  <c r="BB13" i="14"/>
  <c r="BA13" i="14"/>
  <c r="AZ13" i="14"/>
  <c r="AY13" i="14"/>
  <c r="AX13" i="14"/>
  <c r="AW13" i="14"/>
  <c r="AV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BF65" i="13"/>
  <c r="BE65" i="13"/>
  <c r="BD65" i="13"/>
  <c r="BC65" i="13"/>
  <c r="BB65" i="13"/>
  <c r="BA65" i="13"/>
  <c r="AZ65" i="13"/>
  <c r="AY65" i="13"/>
  <c r="AX65" i="13"/>
  <c r="AW65" i="13"/>
  <c r="AV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A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BF52" i="13"/>
  <c r="BE52" i="13"/>
  <c r="BD52" i="13"/>
  <c r="BC52" i="13"/>
  <c r="BB52" i="13"/>
  <c r="BA52" i="13"/>
  <c r="AZ52" i="13"/>
  <c r="AY52" i="13"/>
  <c r="AX52" i="13"/>
  <c r="AW52" i="13"/>
  <c r="AV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A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BF40" i="13"/>
  <c r="BE40" i="13"/>
  <c r="BD40" i="13"/>
  <c r="BC40" i="13"/>
  <c r="BB40" i="13"/>
  <c r="BA40" i="13"/>
  <c r="AZ40" i="13"/>
  <c r="AY40" i="13"/>
  <c r="AX40" i="13"/>
  <c r="AW40" i="13"/>
  <c r="AV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A38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22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BF13" i="13"/>
  <c r="BE13" i="13"/>
  <c r="BD13" i="13"/>
  <c r="BC13" i="13"/>
  <c r="BB13" i="13"/>
  <c r="BA13" i="13"/>
  <c r="AZ13" i="13"/>
  <c r="AY13" i="13"/>
  <c r="AX13" i="13"/>
  <c r="AW13" i="13"/>
  <c r="AV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A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A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A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BE65" i="12"/>
  <c r="BD65" i="12"/>
  <c r="BC65" i="12"/>
  <c r="BB65" i="12"/>
  <c r="BA65" i="12"/>
  <c r="AZ65" i="12"/>
  <c r="AY65" i="12"/>
  <c r="AX65" i="12"/>
  <c r="AW65" i="12"/>
  <c r="AV65" i="12"/>
  <c r="AU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A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64" i="12"/>
  <c r="A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A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A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A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BE52" i="12"/>
  <c r="BD52" i="12"/>
  <c r="BC52" i="12"/>
  <c r="BB52" i="12"/>
  <c r="BA52" i="12"/>
  <c r="AZ52" i="12"/>
  <c r="AY52" i="12"/>
  <c r="AX52" i="12"/>
  <c r="AW52" i="12"/>
  <c r="AV52" i="12"/>
  <c r="AU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A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A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BE40" i="12"/>
  <c r="BD40" i="12"/>
  <c r="BC40" i="12"/>
  <c r="BB40" i="12"/>
  <c r="BA40" i="12"/>
  <c r="AZ40" i="12"/>
  <c r="AY40" i="12"/>
  <c r="AX40" i="12"/>
  <c r="AW40" i="12"/>
  <c r="AV40" i="12"/>
  <c r="AU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A38" i="12"/>
  <c r="A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A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31" i="12"/>
  <c r="A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22" i="12"/>
  <c r="A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BE13" i="12"/>
  <c r="BD13" i="12"/>
  <c r="BC13" i="12"/>
  <c r="BB13" i="12"/>
  <c r="BA13" i="12"/>
  <c r="AZ13" i="12"/>
  <c r="AY13" i="12"/>
  <c r="AX13" i="12"/>
  <c r="AW13" i="12"/>
  <c r="AV13" i="12"/>
  <c r="AU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BF65" i="11"/>
  <c r="BE65" i="11"/>
  <c r="BD65" i="11"/>
  <c r="BC65" i="11"/>
  <c r="BB65" i="11"/>
  <c r="BA65" i="11"/>
  <c r="AZ65" i="11"/>
  <c r="AY65" i="11"/>
  <c r="AX65" i="11"/>
  <c r="AW65" i="11"/>
  <c r="AV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BF52" i="11"/>
  <c r="BE52" i="11"/>
  <c r="BD52" i="11"/>
  <c r="BC52" i="11"/>
  <c r="BB52" i="11"/>
  <c r="BA52" i="11"/>
  <c r="AZ52" i="11"/>
  <c r="AY52" i="11"/>
  <c r="AX52" i="11"/>
  <c r="AW52" i="11"/>
  <c r="AV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BF40" i="11"/>
  <c r="BE40" i="11"/>
  <c r="BD40" i="11"/>
  <c r="BC40" i="11"/>
  <c r="BB40" i="11"/>
  <c r="BA40" i="11"/>
  <c r="AZ40" i="11"/>
  <c r="AY40" i="11"/>
  <c r="AX40" i="11"/>
  <c r="AW40" i="11"/>
  <c r="AV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38" i="11"/>
  <c r="A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30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22" i="11"/>
  <c r="A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BF13" i="11"/>
  <c r="BE13" i="11"/>
  <c r="BD13" i="11"/>
  <c r="BC13" i="11"/>
  <c r="BB13" i="11"/>
  <c r="BA13" i="11"/>
  <c r="AZ13" i="11"/>
  <c r="AY13" i="11"/>
  <c r="AX13" i="11"/>
  <c r="AW13" i="11"/>
  <c r="AV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BE65" i="10"/>
  <c r="BD65" i="10"/>
  <c r="BC65" i="10"/>
  <c r="BB65" i="10"/>
  <c r="BA65" i="10"/>
  <c r="AZ65" i="10"/>
  <c r="AY65" i="10"/>
  <c r="AX65" i="10"/>
  <c r="AW65" i="10"/>
  <c r="AV65" i="10"/>
  <c r="AU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BE52" i="10"/>
  <c r="BD52" i="10"/>
  <c r="BC52" i="10"/>
  <c r="BB52" i="10"/>
  <c r="BA52" i="10"/>
  <c r="AZ52" i="10"/>
  <c r="AY52" i="10"/>
  <c r="AX52" i="10"/>
  <c r="AW52" i="10"/>
  <c r="AV52" i="10"/>
  <c r="AU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BE40" i="10"/>
  <c r="BD40" i="10"/>
  <c r="BC40" i="10"/>
  <c r="BB40" i="10"/>
  <c r="BA40" i="10"/>
  <c r="AZ40" i="10"/>
  <c r="AY40" i="10"/>
  <c r="AX40" i="10"/>
  <c r="AW40" i="10"/>
  <c r="AV40" i="10"/>
  <c r="AU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38" i="10"/>
  <c r="A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22" i="10"/>
  <c r="A21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BE13" i="10"/>
  <c r="BD13" i="10"/>
  <c r="BC13" i="10"/>
  <c r="BB13" i="10"/>
  <c r="BA13" i="10"/>
  <c r="AZ13" i="10"/>
  <c r="AY13" i="10"/>
  <c r="AX13" i="10"/>
  <c r="AW13" i="10"/>
  <c r="AV13" i="10"/>
  <c r="AU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BF66" i="9"/>
  <c r="BE66" i="9"/>
  <c r="BD66" i="9"/>
  <c r="BC66" i="9"/>
  <c r="BB66" i="9"/>
  <c r="BA66" i="9"/>
  <c r="AZ66" i="9"/>
  <c r="AY66" i="9"/>
  <c r="AX66" i="9"/>
  <c r="AW66" i="9"/>
  <c r="AV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A64" i="9"/>
  <c r="O63" i="9"/>
  <c r="N63" i="9"/>
  <c r="M63" i="9"/>
  <c r="L63" i="9"/>
  <c r="K63" i="9"/>
  <c r="J63" i="9"/>
  <c r="I63" i="9"/>
  <c r="H63" i="9"/>
  <c r="G63" i="9"/>
  <c r="F63" i="9"/>
  <c r="E63" i="9"/>
  <c r="D63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BF53" i="9"/>
  <c r="BE53" i="9"/>
  <c r="BD53" i="9"/>
  <c r="BC53" i="9"/>
  <c r="BB53" i="9"/>
  <c r="BA53" i="9"/>
  <c r="AZ53" i="9"/>
  <c r="AY53" i="9"/>
  <c r="AX53" i="9"/>
  <c r="AW53" i="9"/>
  <c r="AV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51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BF40" i="9"/>
  <c r="BE40" i="9"/>
  <c r="BD40" i="9"/>
  <c r="BC40" i="9"/>
  <c r="BB40" i="9"/>
  <c r="BA40" i="9"/>
  <c r="AZ40" i="9"/>
  <c r="AY40" i="9"/>
  <c r="AX40" i="9"/>
  <c r="AW40" i="9"/>
  <c r="AV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A38" i="9"/>
  <c r="A37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A30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25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22" i="9"/>
  <c r="A21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O18" i="9"/>
  <c r="N18" i="9"/>
  <c r="M18" i="9"/>
  <c r="L18" i="9"/>
  <c r="K18" i="9"/>
  <c r="J18" i="9"/>
  <c r="I18" i="9"/>
  <c r="H18" i="9"/>
  <c r="G18" i="9"/>
  <c r="F18" i="9"/>
  <c r="E18" i="9"/>
  <c r="D18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BF13" i="9"/>
  <c r="BE13" i="9"/>
  <c r="BD13" i="9"/>
  <c r="BC13" i="9"/>
  <c r="BB13" i="9"/>
  <c r="BA13" i="9"/>
  <c r="AZ13" i="9"/>
  <c r="AY13" i="9"/>
  <c r="AX13" i="9"/>
  <c r="AW13" i="9"/>
  <c r="AV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BE65" i="8"/>
  <c r="BD65" i="8"/>
  <c r="BC65" i="8"/>
  <c r="BB65" i="8"/>
  <c r="BA65" i="8"/>
  <c r="AZ65" i="8"/>
  <c r="AY65" i="8"/>
  <c r="AX65" i="8"/>
  <c r="AW65" i="8"/>
  <c r="AV65" i="8"/>
  <c r="AU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A63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BE52" i="8"/>
  <c r="BD52" i="8"/>
  <c r="BC52" i="8"/>
  <c r="BB52" i="8"/>
  <c r="BA52" i="8"/>
  <c r="AZ52" i="8"/>
  <c r="AY52" i="8"/>
  <c r="AX52" i="8"/>
  <c r="AW52" i="8"/>
  <c r="AV52" i="8"/>
  <c r="AU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A50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BE40" i="8"/>
  <c r="BD40" i="8"/>
  <c r="BC40" i="8"/>
  <c r="BB40" i="8"/>
  <c r="BA40" i="8"/>
  <c r="AZ40" i="8"/>
  <c r="AY40" i="8"/>
  <c r="AX40" i="8"/>
  <c r="AW40" i="8"/>
  <c r="AV40" i="8"/>
  <c r="AU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A38" i="8"/>
  <c r="A37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A30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A25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A22" i="8"/>
  <c r="A21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O18" i="8"/>
  <c r="N18" i="8"/>
  <c r="M18" i="8"/>
  <c r="L18" i="8"/>
  <c r="K18" i="8"/>
  <c r="J18" i="8"/>
  <c r="I18" i="8"/>
  <c r="H18" i="8"/>
  <c r="G18" i="8"/>
  <c r="F18" i="8"/>
  <c r="E18" i="8"/>
  <c r="D18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BE13" i="8"/>
  <c r="BD13" i="8"/>
  <c r="BC13" i="8"/>
  <c r="BB13" i="8"/>
  <c r="BA13" i="8"/>
  <c r="AZ13" i="8"/>
  <c r="AY13" i="8"/>
  <c r="AX13" i="8"/>
  <c r="AW13" i="8"/>
  <c r="AV13" i="8"/>
  <c r="AU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BE65" i="7"/>
  <c r="BD65" i="7"/>
  <c r="BC65" i="7"/>
  <c r="BB65" i="7"/>
  <c r="BA65" i="7"/>
  <c r="AZ65" i="7"/>
  <c r="AY65" i="7"/>
  <c r="AX65" i="7"/>
  <c r="AW65" i="7"/>
  <c r="AV65" i="7"/>
  <c r="AU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A63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BE52" i="7"/>
  <c r="BD52" i="7"/>
  <c r="BC52" i="7"/>
  <c r="BB52" i="7"/>
  <c r="BA52" i="7"/>
  <c r="AZ52" i="7"/>
  <c r="AY52" i="7"/>
  <c r="AX52" i="7"/>
  <c r="AW52" i="7"/>
  <c r="AV52" i="7"/>
  <c r="AU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A50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42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BE40" i="7"/>
  <c r="BD40" i="7"/>
  <c r="BC40" i="7"/>
  <c r="BB40" i="7"/>
  <c r="BA40" i="7"/>
  <c r="AZ40" i="7"/>
  <c r="AY40" i="7"/>
  <c r="AX40" i="7"/>
  <c r="AW40" i="7"/>
  <c r="AV40" i="7"/>
  <c r="AU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39" i="7"/>
  <c r="A38" i="7"/>
  <c r="A37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A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A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A22" i="7"/>
  <c r="A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O18" i="7"/>
  <c r="N18" i="7"/>
  <c r="M18" i="7"/>
  <c r="L18" i="7"/>
  <c r="K18" i="7"/>
  <c r="J18" i="7"/>
  <c r="I18" i="7"/>
  <c r="H18" i="7"/>
  <c r="G18" i="7"/>
  <c r="F18" i="7"/>
  <c r="E18" i="7"/>
  <c r="D18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BE13" i="7"/>
  <c r="BD13" i="7"/>
  <c r="BC13" i="7"/>
  <c r="BB13" i="7"/>
  <c r="BA13" i="7"/>
  <c r="AZ13" i="7"/>
  <c r="AY13" i="7"/>
  <c r="AX13" i="7"/>
  <c r="AW13" i="7"/>
  <c r="AV13" i="7"/>
  <c r="AU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BF65" i="6"/>
  <c r="BE65" i="6"/>
  <c r="BD65" i="6"/>
  <c r="BC65" i="6"/>
  <c r="BB65" i="6"/>
  <c r="BA65" i="6"/>
  <c r="AZ65" i="6"/>
  <c r="AY65" i="6"/>
  <c r="AX65" i="6"/>
  <c r="AW65" i="6"/>
  <c r="AV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A63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BF52" i="6"/>
  <c r="BE52" i="6"/>
  <c r="BD52" i="6"/>
  <c r="BC52" i="6"/>
  <c r="BB52" i="6"/>
  <c r="BA52" i="6"/>
  <c r="AZ52" i="6"/>
  <c r="AY52" i="6"/>
  <c r="AX52" i="6"/>
  <c r="AW52" i="6"/>
  <c r="AV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A50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BF40" i="6"/>
  <c r="BE40" i="6"/>
  <c r="BD40" i="6"/>
  <c r="BC40" i="6"/>
  <c r="BB40" i="6"/>
  <c r="BA40" i="6"/>
  <c r="AZ40" i="6"/>
  <c r="AY40" i="6"/>
  <c r="AX40" i="6"/>
  <c r="AW40" i="6"/>
  <c r="AV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A38" i="6"/>
  <c r="A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A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A22" i="6"/>
  <c r="A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O18" i="6"/>
  <c r="N18" i="6"/>
  <c r="M18" i="6"/>
  <c r="L18" i="6"/>
  <c r="K18" i="6"/>
  <c r="J18" i="6"/>
  <c r="I18" i="6"/>
  <c r="H18" i="6"/>
  <c r="G18" i="6"/>
  <c r="F18" i="6"/>
  <c r="E18" i="6"/>
  <c r="D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BF13" i="6"/>
  <c r="BE13" i="6"/>
  <c r="BD13" i="6"/>
  <c r="BC13" i="6"/>
  <c r="BB13" i="6"/>
  <c r="BA13" i="6"/>
  <c r="AZ13" i="6"/>
  <c r="AY13" i="6"/>
  <c r="AX13" i="6"/>
  <c r="AW13" i="6"/>
  <c r="AV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BF65" i="5"/>
  <c r="BE65" i="5"/>
  <c r="BD65" i="5"/>
  <c r="BC65" i="5"/>
  <c r="BB65" i="5"/>
  <c r="BA65" i="5"/>
  <c r="AZ65" i="5"/>
  <c r="AY65" i="5"/>
  <c r="AX65" i="5"/>
  <c r="AW65" i="5"/>
  <c r="AV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63" i="5"/>
  <c r="O62" i="5"/>
  <c r="N62" i="5"/>
  <c r="M62" i="5"/>
  <c r="L62" i="5"/>
  <c r="K62" i="5"/>
  <c r="J62" i="5"/>
  <c r="I62" i="5"/>
  <c r="H62" i="5"/>
  <c r="G62" i="5"/>
  <c r="F62" i="5"/>
  <c r="E62" i="5"/>
  <c r="D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BF52" i="5"/>
  <c r="BE52" i="5"/>
  <c r="BD52" i="5"/>
  <c r="BC52" i="5"/>
  <c r="BB52" i="5"/>
  <c r="BA52" i="5"/>
  <c r="AZ52" i="5"/>
  <c r="AY52" i="5"/>
  <c r="AX52" i="5"/>
  <c r="AW52" i="5"/>
  <c r="AV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50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BF40" i="5"/>
  <c r="BE40" i="5"/>
  <c r="BD40" i="5"/>
  <c r="BC40" i="5"/>
  <c r="BB40" i="5"/>
  <c r="BA40" i="5"/>
  <c r="AZ40" i="5"/>
  <c r="AY40" i="5"/>
  <c r="AX40" i="5"/>
  <c r="AW40" i="5"/>
  <c r="AV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38" i="5"/>
  <c r="A37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30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25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22" i="5"/>
  <c r="A21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BF13" i="5"/>
  <c r="BE13" i="5"/>
  <c r="BD13" i="5"/>
  <c r="BC13" i="5"/>
  <c r="BB13" i="5"/>
  <c r="BA13" i="5"/>
  <c r="AZ13" i="5"/>
  <c r="AY13" i="5"/>
  <c r="AX13" i="5"/>
  <c r="AW13" i="5"/>
  <c r="AV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BF65" i="4"/>
  <c r="BE65" i="4"/>
  <c r="BD65" i="4"/>
  <c r="BC65" i="4"/>
  <c r="BB65" i="4"/>
  <c r="BA65" i="4"/>
  <c r="AZ65" i="4"/>
  <c r="AY65" i="4"/>
  <c r="AX65" i="4"/>
  <c r="AW65" i="4"/>
  <c r="AV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A63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BF52" i="4"/>
  <c r="BE52" i="4"/>
  <c r="BD52" i="4"/>
  <c r="BC52" i="4"/>
  <c r="BB52" i="4"/>
  <c r="BA52" i="4"/>
  <c r="AZ52" i="4"/>
  <c r="AY52" i="4"/>
  <c r="AX52" i="4"/>
  <c r="AW52" i="4"/>
  <c r="AV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A50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BF40" i="4"/>
  <c r="BE40" i="4"/>
  <c r="BD40" i="4"/>
  <c r="BC40" i="4"/>
  <c r="BB40" i="4"/>
  <c r="BA40" i="4"/>
  <c r="AZ40" i="4"/>
  <c r="AY40" i="4"/>
  <c r="AX40" i="4"/>
  <c r="AW40" i="4"/>
  <c r="AV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A38" i="4"/>
  <c r="A37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30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A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A22" i="4"/>
  <c r="A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O18" i="4"/>
  <c r="N18" i="4"/>
  <c r="M18" i="4"/>
  <c r="L18" i="4"/>
  <c r="K18" i="4"/>
  <c r="J18" i="4"/>
  <c r="I18" i="4"/>
  <c r="H18" i="4"/>
  <c r="G18" i="4"/>
  <c r="F18" i="4"/>
  <c r="E18" i="4"/>
  <c r="D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BF13" i="4"/>
  <c r="BE13" i="4"/>
  <c r="BD13" i="4"/>
  <c r="BC13" i="4"/>
  <c r="BB13" i="4"/>
  <c r="BA13" i="4"/>
  <c r="AZ13" i="4"/>
  <c r="AY13" i="4"/>
  <c r="AX13" i="4"/>
  <c r="AW13" i="4"/>
  <c r="AV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BC65" i="3"/>
  <c r="BB65" i="3"/>
  <c r="BA65" i="3"/>
  <c r="AZ65" i="3"/>
  <c r="AY65" i="3"/>
  <c r="AX65" i="3"/>
  <c r="AW65" i="3"/>
  <c r="AV65" i="3"/>
  <c r="AU65" i="3"/>
  <c r="AT65" i="3"/>
  <c r="AS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A63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BC52" i="3"/>
  <c r="BB52" i="3"/>
  <c r="BA52" i="3"/>
  <c r="AZ52" i="3"/>
  <c r="AY52" i="3"/>
  <c r="AX52" i="3"/>
  <c r="AW52" i="3"/>
  <c r="AV52" i="3"/>
  <c r="AU52" i="3"/>
  <c r="AT52" i="3"/>
  <c r="AS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A50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BC40" i="3"/>
  <c r="BB40" i="3"/>
  <c r="BA40" i="3"/>
  <c r="AZ40" i="3"/>
  <c r="AY40" i="3"/>
  <c r="AX40" i="3"/>
  <c r="AW40" i="3"/>
  <c r="AV40" i="3"/>
  <c r="AU40" i="3"/>
  <c r="AT40" i="3"/>
  <c r="AS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38" i="3"/>
  <c r="A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A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22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BC13" i="3"/>
  <c r="BB13" i="3"/>
  <c r="BA13" i="3"/>
  <c r="AZ13" i="3"/>
  <c r="AY13" i="3"/>
  <c r="AX13" i="3"/>
  <c r="AW13" i="3"/>
  <c r="AV13" i="3"/>
  <c r="AU13" i="3"/>
  <c r="AT13" i="3"/>
  <c r="AS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BF65" i="2"/>
  <c r="BE65" i="2"/>
  <c r="BD65" i="2"/>
  <c r="BC65" i="2"/>
  <c r="BB65" i="2"/>
  <c r="BA65" i="2"/>
  <c r="AZ65" i="2"/>
  <c r="AY65" i="2"/>
  <c r="AX65" i="2"/>
  <c r="AW65" i="2"/>
  <c r="AV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63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50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38" i="2"/>
  <c r="A37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22" i="2"/>
  <c r="A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5" i="1"/>
  <c r="A2" i="2" s="1"/>
  <c r="B5" i="1"/>
  <c r="A1" i="2" s="1"/>
  <c r="A5" i="2" l="1"/>
  <c r="P4" i="2"/>
  <c r="B6" i="1"/>
  <c r="A1" i="3" l="1"/>
  <c r="B7" i="1"/>
  <c r="C6" i="1"/>
  <c r="A2" i="3" s="1"/>
  <c r="P10" i="2"/>
  <c r="Q4" i="2"/>
  <c r="P9" i="2"/>
  <c r="R4" i="2" l="1"/>
  <c r="Q9" i="2"/>
  <c r="Q10" i="2"/>
  <c r="A1" i="4"/>
  <c r="B8" i="1"/>
  <c r="C7" i="1"/>
  <c r="A2" i="4" s="1"/>
  <c r="A5" i="3"/>
  <c r="P4" i="3"/>
  <c r="P4" i="4" l="1"/>
  <c r="A5" i="4"/>
  <c r="P9" i="3"/>
  <c r="P10" i="3"/>
  <c r="Q4" i="3"/>
  <c r="A1" i="5"/>
  <c r="B9" i="1"/>
  <c r="C8" i="1"/>
  <c r="A2" i="5" s="1"/>
  <c r="S4" i="2"/>
  <c r="R9" i="2"/>
  <c r="R10" i="2"/>
  <c r="A1" i="6" l="1"/>
  <c r="C9" i="1"/>
  <c r="A2" i="6" s="1"/>
  <c r="B10" i="1"/>
  <c r="Q9" i="3"/>
  <c r="Q10" i="3"/>
  <c r="R4" i="3"/>
  <c r="A5" i="5"/>
  <c r="P4" i="5"/>
  <c r="T4" i="2"/>
  <c r="S9" i="2"/>
  <c r="S10" i="2"/>
  <c r="P10" i="4"/>
  <c r="Q4" i="4"/>
  <c r="P9" i="4"/>
  <c r="Q10" i="4" l="1"/>
  <c r="R4" i="4"/>
  <c r="Q9" i="4"/>
  <c r="A1" i="7"/>
  <c r="B11" i="1"/>
  <c r="C10" i="1"/>
  <c r="A2" i="7" s="1"/>
  <c r="P9" i="5"/>
  <c r="Q4" i="5"/>
  <c r="P10" i="5"/>
  <c r="R10" i="3"/>
  <c r="S4" i="3"/>
  <c r="R9" i="3"/>
  <c r="U4" i="2"/>
  <c r="T9" i="2"/>
  <c r="T10" i="2"/>
  <c r="A5" i="6"/>
  <c r="P4" i="6"/>
  <c r="V4" i="2" l="1"/>
  <c r="U9" i="2"/>
  <c r="U10" i="2"/>
  <c r="Q9" i="5"/>
  <c r="R4" i="5"/>
  <c r="Q10" i="5"/>
  <c r="A1" i="8"/>
  <c r="C11" i="1"/>
  <c r="A2" i="8" s="1"/>
  <c r="B12" i="1"/>
  <c r="P4" i="7"/>
  <c r="A5" i="7"/>
  <c r="S10" i="3"/>
  <c r="T4" i="3"/>
  <c r="S9" i="3"/>
  <c r="R9" i="4"/>
  <c r="S4" i="4"/>
  <c r="R10" i="4"/>
  <c r="P10" i="6"/>
  <c r="Q4" i="6"/>
  <c r="P9" i="6"/>
  <c r="P4" i="8" l="1"/>
  <c r="A5" i="8"/>
  <c r="T10" i="3"/>
  <c r="U4" i="3"/>
  <c r="T9" i="3"/>
  <c r="R9" i="5"/>
  <c r="S4" i="5"/>
  <c r="R10" i="5"/>
  <c r="R4" i="6"/>
  <c r="Q9" i="6"/>
  <c r="Q10" i="6"/>
  <c r="S10" i="4"/>
  <c r="T4" i="4"/>
  <c r="S9" i="4"/>
  <c r="Q4" i="7"/>
  <c r="P10" i="7"/>
  <c r="P9" i="7"/>
  <c r="A1" i="9"/>
  <c r="B13" i="1"/>
  <c r="C12" i="1"/>
  <c r="A2" i="9" s="1"/>
  <c r="W4" i="2"/>
  <c r="V9" i="2"/>
  <c r="V10" i="2"/>
  <c r="R4" i="7" l="1"/>
  <c r="Q9" i="7"/>
  <c r="Q10" i="7"/>
  <c r="T4" i="5"/>
  <c r="S10" i="5"/>
  <c r="S9" i="5"/>
  <c r="W9" i="2"/>
  <c r="W10" i="2"/>
  <c r="X4" i="2"/>
  <c r="T9" i="4"/>
  <c r="T10" i="4"/>
  <c r="U4" i="4"/>
  <c r="A1" i="10"/>
  <c r="C13" i="1"/>
  <c r="A2" i="10" s="1"/>
  <c r="B14" i="1"/>
  <c r="U10" i="3"/>
  <c r="V4" i="3"/>
  <c r="U9" i="3"/>
  <c r="A5" i="9"/>
  <c r="P4" i="9"/>
  <c r="S4" i="6"/>
  <c r="R9" i="6"/>
  <c r="R10" i="6"/>
  <c r="P9" i="8"/>
  <c r="P10" i="8"/>
  <c r="Q4" i="8"/>
  <c r="A1" i="11" l="1"/>
  <c r="B15" i="1"/>
  <c r="C14" i="1"/>
  <c r="A2" i="11" s="1"/>
  <c r="T4" i="6"/>
  <c r="S9" i="6"/>
  <c r="S10" i="6"/>
  <c r="U9" i="4"/>
  <c r="U10" i="4"/>
  <c r="V4" i="4"/>
  <c r="P4" i="10"/>
  <c r="A5" i="10"/>
  <c r="Q4" i="9"/>
  <c r="P9" i="9"/>
  <c r="P10" i="9"/>
  <c r="T9" i="5"/>
  <c r="U4" i="5"/>
  <c r="T10" i="5"/>
  <c r="Q10" i="8"/>
  <c r="Q9" i="8"/>
  <c r="R4" i="8"/>
  <c r="V9" i="3"/>
  <c r="V10" i="3"/>
  <c r="W4" i="3"/>
  <c r="X10" i="2"/>
  <c r="Y4" i="2"/>
  <c r="X9" i="2"/>
  <c r="R9" i="7"/>
  <c r="S4" i="7"/>
  <c r="R10" i="7"/>
  <c r="U10" i="5" l="1"/>
  <c r="V4" i="5"/>
  <c r="U9" i="5"/>
  <c r="W9" i="3"/>
  <c r="W10" i="3"/>
  <c r="X4" i="3"/>
  <c r="R4" i="9"/>
  <c r="Q9" i="9"/>
  <c r="Q10" i="9"/>
  <c r="S9" i="7"/>
  <c r="S10" i="7"/>
  <c r="T4" i="7"/>
  <c r="R10" i="8"/>
  <c r="R9" i="8"/>
  <c r="S4" i="8"/>
  <c r="U4" i="6"/>
  <c r="T9" i="6"/>
  <c r="T10" i="6"/>
  <c r="C15" i="1"/>
  <c r="A2" i="12" s="1"/>
  <c r="A1" i="12"/>
  <c r="B16" i="1"/>
  <c r="Q4" i="10"/>
  <c r="P9" i="10"/>
  <c r="P10" i="10"/>
  <c r="Z4" i="2"/>
  <c r="Y9" i="2"/>
  <c r="Y10" i="2"/>
  <c r="V10" i="4"/>
  <c r="W4" i="4"/>
  <c r="V9" i="4"/>
  <c r="P4" i="11"/>
  <c r="A5" i="11"/>
  <c r="Q4" i="11" l="1"/>
  <c r="P10" i="11"/>
  <c r="P9" i="11"/>
  <c r="X9" i="3"/>
  <c r="X10" i="3"/>
  <c r="Y4" i="3"/>
  <c r="P4" i="12"/>
  <c r="A5" i="12"/>
  <c r="S4" i="9"/>
  <c r="R9" i="9"/>
  <c r="R10" i="9"/>
  <c r="A1" i="13"/>
  <c r="B17" i="1"/>
  <c r="C16" i="1"/>
  <c r="A2" i="13" s="1"/>
  <c r="W4" i="5"/>
  <c r="V10" i="5"/>
  <c r="V9" i="5"/>
  <c r="V4" i="6"/>
  <c r="U9" i="6"/>
  <c r="U10" i="6"/>
  <c r="S10" i="8"/>
  <c r="S9" i="8"/>
  <c r="T4" i="8"/>
  <c r="Q9" i="10"/>
  <c r="Q10" i="10"/>
  <c r="R4" i="10"/>
  <c r="W10" i="4"/>
  <c r="X4" i="4"/>
  <c r="W9" i="4"/>
  <c r="T10" i="7"/>
  <c r="T9" i="7"/>
  <c r="U4" i="7"/>
  <c r="AA4" i="2"/>
  <c r="Z9" i="2"/>
  <c r="Z10" i="2"/>
  <c r="P9" i="12" l="1"/>
  <c r="P10" i="12"/>
  <c r="Q4" i="12"/>
  <c r="W10" i="5"/>
  <c r="W9" i="5"/>
  <c r="X4" i="5"/>
  <c r="Y9" i="3"/>
  <c r="Y10" i="3"/>
  <c r="Z4" i="3"/>
  <c r="T9" i="8"/>
  <c r="U4" i="8"/>
  <c r="T10" i="8"/>
  <c r="A1" i="14"/>
  <c r="B18" i="1"/>
  <c r="C18" i="1" s="1"/>
  <c r="C17" i="1"/>
  <c r="A2" i="14" s="1"/>
  <c r="U10" i="7"/>
  <c r="U9" i="7"/>
  <c r="V4" i="7"/>
  <c r="W4" i="6"/>
  <c r="V9" i="6"/>
  <c r="V10" i="6"/>
  <c r="X10" i="4"/>
  <c r="Y4" i="4"/>
  <c r="X9" i="4"/>
  <c r="P4" i="13"/>
  <c r="A5" i="13"/>
  <c r="R9" i="10"/>
  <c r="R10" i="10"/>
  <c r="S4" i="10"/>
  <c r="AB4" i="2"/>
  <c r="AA9" i="2"/>
  <c r="AA10" i="2"/>
  <c r="S9" i="9"/>
  <c r="S10" i="9"/>
  <c r="T4" i="9"/>
  <c r="Q9" i="11"/>
  <c r="R4" i="11"/>
  <c r="Q10" i="11"/>
  <c r="Y10" i="4" l="1"/>
  <c r="Z4" i="4"/>
  <c r="Y9" i="4"/>
  <c r="X10" i="5"/>
  <c r="X9" i="5"/>
  <c r="Y4" i="5"/>
  <c r="P4" i="14"/>
  <c r="A5" i="14"/>
  <c r="W9" i="6"/>
  <c r="W10" i="6"/>
  <c r="X4" i="6"/>
  <c r="U9" i="8"/>
  <c r="V4" i="8"/>
  <c r="U10" i="8"/>
  <c r="Q9" i="12"/>
  <c r="R4" i="12"/>
  <c r="Q10" i="12"/>
  <c r="AC4" i="2"/>
  <c r="AB9" i="2"/>
  <c r="AB10" i="2"/>
  <c r="R10" i="11"/>
  <c r="S4" i="11"/>
  <c r="R9" i="11"/>
  <c r="S10" i="10"/>
  <c r="S9" i="10"/>
  <c r="T4" i="10"/>
  <c r="T10" i="9"/>
  <c r="U4" i="9"/>
  <c r="T9" i="9"/>
  <c r="V9" i="7"/>
  <c r="W4" i="7"/>
  <c r="V10" i="7"/>
  <c r="Q4" i="13"/>
  <c r="P9" i="13"/>
  <c r="P10" i="13"/>
  <c r="Z10" i="3"/>
  <c r="AA4" i="3"/>
  <c r="Z9" i="3"/>
  <c r="R10" i="12" l="1"/>
  <c r="S4" i="12"/>
  <c r="R9" i="12"/>
  <c r="W4" i="8"/>
  <c r="V10" i="8"/>
  <c r="V9" i="8"/>
  <c r="V4" i="9"/>
  <c r="U10" i="9"/>
  <c r="U9" i="9"/>
  <c r="Y9" i="5"/>
  <c r="Z4" i="5"/>
  <c r="Y10" i="5"/>
  <c r="AA10" i="3"/>
  <c r="AB4" i="3"/>
  <c r="AA9" i="3"/>
  <c r="Z9" i="4"/>
  <c r="Z10" i="4"/>
  <c r="AA4" i="4"/>
  <c r="X4" i="7"/>
  <c r="W10" i="7"/>
  <c r="W9" i="7"/>
  <c r="Q4" i="14"/>
  <c r="P9" i="14"/>
  <c r="P10" i="14"/>
  <c r="S9" i="11"/>
  <c r="S10" i="11"/>
  <c r="T4" i="11"/>
  <c r="X10" i="6"/>
  <c r="X9" i="6"/>
  <c r="Y4" i="6"/>
  <c r="T10" i="10"/>
  <c r="T9" i="10"/>
  <c r="U4" i="10"/>
  <c r="AD4" i="2"/>
  <c r="AC9" i="2"/>
  <c r="AC10" i="2"/>
  <c r="R4" i="13"/>
  <c r="Q9" i="13"/>
  <c r="Q10" i="13"/>
  <c r="AB10" i="3" l="1"/>
  <c r="AC4" i="3"/>
  <c r="AB9" i="3"/>
  <c r="Y4" i="7"/>
  <c r="X10" i="7"/>
  <c r="X9" i="7"/>
  <c r="Y10" i="6"/>
  <c r="Z4" i="6"/>
  <c r="Y9" i="6"/>
  <c r="S10" i="12"/>
  <c r="T4" i="12"/>
  <c r="S9" i="12"/>
  <c r="W4" i="9"/>
  <c r="V9" i="9"/>
  <c r="V10" i="9"/>
  <c r="Q9" i="14"/>
  <c r="Q10" i="14"/>
  <c r="R4" i="14"/>
  <c r="R9" i="13"/>
  <c r="R10" i="13"/>
  <c r="S4" i="13"/>
  <c r="X4" i="8"/>
  <c r="W10" i="8"/>
  <c r="W9" i="8"/>
  <c r="U4" i="11"/>
  <c r="T10" i="11"/>
  <c r="T9" i="11"/>
  <c r="Z9" i="5"/>
  <c r="AA4" i="5"/>
  <c r="Z10" i="5"/>
  <c r="AE4" i="2"/>
  <c r="AD9" i="2"/>
  <c r="AD10" i="2"/>
  <c r="AA10" i="4"/>
  <c r="AB4" i="4"/>
  <c r="AA9" i="4"/>
  <c r="V4" i="10"/>
  <c r="U10" i="10"/>
  <c r="U9" i="10"/>
  <c r="AA4" i="6" l="1"/>
  <c r="Z9" i="6"/>
  <c r="Z10" i="6"/>
  <c r="AE9" i="2"/>
  <c r="AE10" i="2"/>
  <c r="AF4" i="2"/>
  <c r="X9" i="8"/>
  <c r="Y4" i="8"/>
  <c r="X10" i="8"/>
  <c r="W4" i="10"/>
  <c r="V10" i="10"/>
  <c r="V9" i="10"/>
  <c r="X4" i="9"/>
  <c r="W9" i="9"/>
  <c r="W10" i="9"/>
  <c r="AC10" i="3"/>
  <c r="AD4" i="3"/>
  <c r="AC9" i="3"/>
  <c r="AB4" i="5"/>
  <c r="AA9" i="5"/>
  <c r="AA10" i="5"/>
  <c r="T4" i="13"/>
  <c r="S10" i="13"/>
  <c r="S9" i="13"/>
  <c r="Z4" i="7"/>
  <c r="Y9" i="7"/>
  <c r="Y10" i="7"/>
  <c r="AB9" i="4"/>
  <c r="AB10" i="4"/>
  <c r="AC4" i="4"/>
  <c r="U4" i="12"/>
  <c r="T9" i="12"/>
  <c r="T10" i="12"/>
  <c r="S4" i="14"/>
  <c r="R10" i="14"/>
  <c r="R9" i="14"/>
  <c r="V4" i="11"/>
  <c r="U9" i="11"/>
  <c r="U10" i="11"/>
  <c r="Y10" i="8" l="1"/>
  <c r="Y9" i="8"/>
  <c r="Z4" i="8"/>
  <c r="U9" i="12"/>
  <c r="U10" i="12"/>
  <c r="V4" i="12"/>
  <c r="AB9" i="5"/>
  <c r="AC4" i="5"/>
  <c r="AB10" i="5"/>
  <c r="U4" i="13"/>
  <c r="T9" i="13"/>
  <c r="T10" i="13"/>
  <c r="V9" i="11"/>
  <c r="V10" i="11"/>
  <c r="W4" i="11"/>
  <c r="X4" i="10"/>
  <c r="W9" i="10"/>
  <c r="W10" i="10"/>
  <c r="AC9" i="4"/>
  <c r="AC10" i="4"/>
  <c r="AD4" i="4"/>
  <c r="AF10" i="2"/>
  <c r="AG4" i="2"/>
  <c r="AF9" i="2"/>
  <c r="X9" i="9"/>
  <c r="X10" i="9"/>
  <c r="Y4" i="9"/>
  <c r="T4" i="14"/>
  <c r="S9" i="14"/>
  <c r="S10" i="14"/>
  <c r="Z9" i="7"/>
  <c r="AA4" i="7"/>
  <c r="Z10" i="7"/>
  <c r="AD9" i="3"/>
  <c r="AD10" i="3"/>
  <c r="AE4" i="3"/>
  <c r="AB4" i="6"/>
  <c r="AA9" i="6"/>
  <c r="AA10" i="6"/>
  <c r="AA9" i="7" l="1"/>
  <c r="AA10" i="7"/>
  <c r="AB4" i="7"/>
  <c r="AC10" i="5"/>
  <c r="AD4" i="5"/>
  <c r="AC9" i="5"/>
  <c r="W10" i="11"/>
  <c r="X4" i="11"/>
  <c r="W9" i="11"/>
  <c r="W4" i="12"/>
  <c r="V9" i="12"/>
  <c r="V10" i="12"/>
  <c r="T9" i="14"/>
  <c r="T10" i="14"/>
  <c r="U4" i="14"/>
  <c r="Z10" i="8"/>
  <c r="Z9" i="8"/>
  <c r="AA4" i="8"/>
  <c r="AD9" i="4"/>
  <c r="AD10" i="4"/>
  <c r="AE4" i="4"/>
  <c r="AE9" i="3"/>
  <c r="AE10" i="3"/>
  <c r="AF4" i="3"/>
  <c r="Z4" i="9"/>
  <c r="Y10" i="9"/>
  <c r="Y9" i="9"/>
  <c r="U9" i="13"/>
  <c r="U10" i="13"/>
  <c r="V4" i="13"/>
  <c r="Y4" i="10"/>
  <c r="X10" i="10"/>
  <c r="X9" i="10"/>
  <c r="AH4" i="2"/>
  <c r="AG9" i="2"/>
  <c r="AG10" i="2"/>
  <c r="AC4" i="6"/>
  <c r="AB9" i="6"/>
  <c r="AB10" i="6"/>
  <c r="Y4" i="11" l="1"/>
  <c r="X9" i="11"/>
  <c r="X10" i="11"/>
  <c r="AF9" i="3"/>
  <c r="AF10" i="3"/>
  <c r="AG4" i="3"/>
  <c r="V10" i="13"/>
  <c r="W4" i="13"/>
  <c r="V9" i="13"/>
  <c r="AD4" i="6"/>
  <c r="AC9" i="6"/>
  <c r="AC10" i="6"/>
  <c r="AE10" i="4"/>
  <c r="AF4" i="4"/>
  <c r="AE9" i="4"/>
  <c r="AB10" i="7"/>
  <c r="AB9" i="7"/>
  <c r="AC4" i="7"/>
  <c r="U10" i="14"/>
  <c r="V4" i="14"/>
  <c r="U9" i="14"/>
  <c r="AE4" i="5"/>
  <c r="AD10" i="5"/>
  <c r="AD9" i="5"/>
  <c r="AI4" i="2"/>
  <c r="AH9" i="2"/>
  <c r="AH10" i="2"/>
  <c r="AA10" i="8"/>
  <c r="AB4" i="8"/>
  <c r="AA9" i="8"/>
  <c r="X4" i="12"/>
  <c r="W10" i="12"/>
  <c r="W9" i="12"/>
  <c r="Y9" i="10"/>
  <c r="Y10" i="10"/>
  <c r="Z4" i="10"/>
  <c r="AA4" i="9"/>
  <c r="Z9" i="9"/>
  <c r="Z10" i="9"/>
  <c r="AF10" i="4" l="1"/>
  <c r="AG4" i="4"/>
  <c r="AF9" i="4"/>
  <c r="AA9" i="9"/>
  <c r="AA10" i="9"/>
  <c r="AB4" i="9"/>
  <c r="X4" i="13"/>
  <c r="W9" i="13"/>
  <c r="W10" i="13"/>
  <c r="AG9" i="3"/>
  <c r="AG10" i="3"/>
  <c r="AH4" i="3"/>
  <c r="AB10" i="8"/>
  <c r="AB9" i="8"/>
  <c r="AC4" i="8"/>
  <c r="W4" i="14"/>
  <c r="V9" i="14"/>
  <c r="V10" i="14"/>
  <c r="AC10" i="7"/>
  <c r="AC9" i="7"/>
  <c r="AD4" i="7"/>
  <c r="AE4" i="6"/>
  <c r="AD9" i="6"/>
  <c r="AD10" i="6"/>
  <c r="X9" i="12"/>
  <c r="X10" i="12"/>
  <c r="Y4" i="12"/>
  <c r="AF4" i="5"/>
  <c r="AE10" i="5"/>
  <c r="AE9" i="5"/>
  <c r="Z9" i="10"/>
  <c r="Z10" i="10"/>
  <c r="AA4" i="10"/>
  <c r="AJ4" i="2"/>
  <c r="AI9" i="2"/>
  <c r="AI10" i="2"/>
  <c r="Y9" i="11"/>
  <c r="Z4" i="11"/>
  <c r="Y10" i="11"/>
  <c r="X4" i="14" l="1"/>
  <c r="W9" i="14"/>
  <c r="W10" i="14"/>
  <c r="Y4" i="13"/>
  <c r="X9" i="13"/>
  <c r="X10" i="13"/>
  <c r="AB10" i="9"/>
  <c r="AC4" i="9"/>
  <c r="AB9" i="9"/>
  <c r="AD10" i="7"/>
  <c r="AD9" i="7"/>
  <c r="AE4" i="7"/>
  <c r="Z10" i="11"/>
  <c r="AA4" i="11"/>
  <c r="Z9" i="11"/>
  <c r="AE9" i="6"/>
  <c r="AE10" i="6"/>
  <c r="AF4" i="6"/>
  <c r="AF10" i="5"/>
  <c r="AF9" i="5"/>
  <c r="AG4" i="5"/>
  <c r="AC9" i="8"/>
  <c r="AD4" i="8"/>
  <c r="AC10" i="8"/>
  <c r="AG10" i="4"/>
  <c r="AH4" i="4"/>
  <c r="AG9" i="4"/>
  <c r="AH10" i="3"/>
  <c r="AI4" i="3"/>
  <c r="AH9" i="3"/>
  <c r="Y9" i="12"/>
  <c r="Z4" i="12"/>
  <c r="Y10" i="12"/>
  <c r="AK4" i="2"/>
  <c r="AJ9" i="2"/>
  <c r="AJ10" i="2"/>
  <c r="AA10" i="10"/>
  <c r="AA9" i="10"/>
  <c r="AB4" i="10"/>
  <c r="Z10" i="12" l="1"/>
  <c r="AA4" i="12"/>
  <c r="Z9" i="12"/>
  <c r="AB10" i="10"/>
  <c r="AC4" i="10"/>
  <c r="AB9" i="10"/>
  <c r="AE4" i="8"/>
  <c r="AD9" i="8"/>
  <c r="AD10" i="8"/>
  <c r="AA9" i="11"/>
  <c r="AB4" i="11"/>
  <c r="AA10" i="11"/>
  <c r="AI10" i="3"/>
  <c r="AJ4" i="3"/>
  <c r="AI9" i="3"/>
  <c r="AG10" i="5"/>
  <c r="AG9" i="5"/>
  <c r="AH4" i="5"/>
  <c r="Z4" i="13"/>
  <c r="Y9" i="13"/>
  <c r="Y10" i="13"/>
  <c r="AL4" i="2"/>
  <c r="AK9" i="2"/>
  <c r="AK10" i="2"/>
  <c r="AH9" i="4"/>
  <c r="AH10" i="4"/>
  <c r="AI4" i="4"/>
  <c r="AF10" i="6"/>
  <c r="AG4" i="6"/>
  <c r="AF9" i="6"/>
  <c r="AC9" i="9"/>
  <c r="AC10" i="9"/>
  <c r="AD4" i="9"/>
  <c r="AE10" i="7"/>
  <c r="AF4" i="7"/>
  <c r="AE9" i="7"/>
  <c r="Y4" i="14"/>
  <c r="X9" i="14"/>
  <c r="X10" i="14"/>
  <c r="AF4" i="8" l="1"/>
  <c r="AE10" i="8"/>
  <c r="AE9" i="8"/>
  <c r="AM4" i="2"/>
  <c r="AL9" i="2"/>
  <c r="AL10" i="2"/>
  <c r="Y9" i="14"/>
  <c r="Y10" i="14"/>
  <c r="Z4" i="14"/>
  <c r="AI10" i="4"/>
  <c r="AJ4" i="4"/>
  <c r="AI9" i="4"/>
  <c r="Z9" i="13"/>
  <c r="Z10" i="13"/>
  <c r="AA4" i="13"/>
  <c r="AC4" i="11"/>
  <c r="AB10" i="11"/>
  <c r="AB9" i="11"/>
  <c r="AH9" i="5"/>
  <c r="AI4" i="5"/>
  <c r="AH10" i="5"/>
  <c r="AA10" i="12"/>
  <c r="AB4" i="12"/>
  <c r="AA9" i="12"/>
  <c r="AJ10" i="3"/>
  <c r="AK4" i="3"/>
  <c r="AJ9" i="3"/>
  <c r="AH4" i="6"/>
  <c r="AG9" i="6"/>
  <c r="AG10" i="6"/>
  <c r="AD4" i="10"/>
  <c r="AC10" i="10"/>
  <c r="AC9" i="10"/>
  <c r="AG4" i="7"/>
  <c r="AF10" i="7"/>
  <c r="AF9" i="7"/>
  <c r="AD10" i="9"/>
  <c r="AD9" i="9"/>
  <c r="AE4" i="9"/>
  <c r="AD4" i="11" l="1"/>
  <c r="AC9" i="11"/>
  <c r="AC10" i="11"/>
  <c r="AM9" i="2"/>
  <c r="AM10" i="2"/>
  <c r="AN4" i="2"/>
  <c r="AD9" i="10"/>
  <c r="AD10" i="10"/>
  <c r="AE4" i="10"/>
  <c r="AJ10" i="4"/>
  <c r="AJ9" i="4"/>
  <c r="AK4" i="4"/>
  <c r="AF4" i="9"/>
  <c r="AE9" i="9"/>
  <c r="AE10" i="9"/>
  <c r="AC4" i="12"/>
  <c r="AB9" i="12"/>
  <c r="AB10" i="12"/>
  <c r="AB4" i="13"/>
  <c r="AA10" i="13"/>
  <c r="AA9" i="13"/>
  <c r="AH9" i="6"/>
  <c r="AH10" i="6"/>
  <c r="AI4" i="6"/>
  <c r="AK10" i="3"/>
  <c r="AL4" i="3"/>
  <c r="AK9" i="3"/>
  <c r="AJ4" i="5"/>
  <c r="AI9" i="5"/>
  <c r="AI10" i="5"/>
  <c r="AH4" i="7"/>
  <c r="AG9" i="7"/>
  <c r="AG10" i="7"/>
  <c r="AA4" i="14"/>
  <c r="Z10" i="14"/>
  <c r="Z9" i="14"/>
  <c r="AF9" i="8"/>
  <c r="AG4" i="8"/>
  <c r="AF10" i="8"/>
  <c r="AI10" i="6" l="1"/>
  <c r="AJ4" i="6"/>
  <c r="AI9" i="6"/>
  <c r="AN10" i="2"/>
  <c r="AO4" i="2"/>
  <c r="AN9" i="2"/>
  <c r="AC9" i="12"/>
  <c r="AC10" i="12"/>
  <c r="AD4" i="12"/>
  <c r="AH4" i="8"/>
  <c r="AG10" i="8"/>
  <c r="AG9" i="8"/>
  <c r="AG4" i="9"/>
  <c r="AF9" i="9"/>
  <c r="AF10" i="9"/>
  <c r="AK9" i="4"/>
  <c r="AL4" i="4"/>
  <c r="AK10" i="4"/>
  <c r="AB4" i="14"/>
  <c r="AA9" i="14"/>
  <c r="AA10" i="14"/>
  <c r="AH9" i="7"/>
  <c r="AI4" i="7"/>
  <c r="AH10" i="7"/>
  <c r="AJ9" i="5"/>
  <c r="AK4" i="5"/>
  <c r="AJ10" i="5"/>
  <c r="AC4" i="13"/>
  <c r="AB9" i="13"/>
  <c r="AB10" i="13"/>
  <c r="AL9" i="3"/>
  <c r="AL10" i="3"/>
  <c r="AM4" i="3"/>
  <c r="AF4" i="10"/>
  <c r="AE9" i="10"/>
  <c r="AE10" i="10"/>
  <c r="AD9" i="11"/>
  <c r="AD10" i="11"/>
  <c r="AE4" i="11"/>
  <c r="AP4" i="2" l="1"/>
  <c r="AO9" i="2"/>
  <c r="AO10" i="2"/>
  <c r="AI9" i="7"/>
  <c r="AJ4" i="7"/>
  <c r="AI10" i="7"/>
  <c r="AK10" i="5"/>
  <c r="AK9" i="5"/>
  <c r="AL4" i="5"/>
  <c r="AH10" i="8"/>
  <c r="AH9" i="8"/>
  <c r="AI4" i="8"/>
  <c r="AK4" i="6"/>
  <c r="AJ9" i="6"/>
  <c r="AJ10" i="6"/>
  <c r="AE10" i="11"/>
  <c r="AF4" i="11"/>
  <c r="AE9" i="11"/>
  <c r="AH4" i="9"/>
  <c r="AG9" i="9"/>
  <c r="AG10" i="9"/>
  <c r="AC9" i="13"/>
  <c r="AC10" i="13"/>
  <c r="AD4" i="13"/>
  <c r="AB9" i="14"/>
  <c r="AB10" i="14"/>
  <c r="AC4" i="14"/>
  <c r="AG4" i="10"/>
  <c r="AF9" i="10"/>
  <c r="AF10" i="10"/>
  <c r="AM9" i="3"/>
  <c r="AM10" i="3"/>
  <c r="AN4" i="3"/>
  <c r="AL9" i="4"/>
  <c r="AM4" i="4"/>
  <c r="AL10" i="4"/>
  <c r="AE4" i="12"/>
  <c r="AD9" i="12"/>
  <c r="AD10" i="12"/>
  <c r="AD10" i="13" l="1"/>
  <c r="AE4" i="13"/>
  <c r="AD9" i="13"/>
  <c r="AJ10" i="7"/>
  <c r="AJ9" i="7"/>
  <c r="AK4" i="7"/>
  <c r="AM9" i="4"/>
  <c r="AN4" i="4"/>
  <c r="AM10" i="4"/>
  <c r="AF4" i="12"/>
  <c r="AE10" i="12"/>
  <c r="AE9" i="12"/>
  <c r="AL4" i="6"/>
  <c r="AK9" i="6"/>
  <c r="AK10" i="6"/>
  <c r="AG9" i="10"/>
  <c r="AG10" i="10"/>
  <c r="AH4" i="10"/>
  <c r="AI10" i="8"/>
  <c r="AI9" i="8"/>
  <c r="AJ4" i="8"/>
  <c r="AC10" i="14"/>
  <c r="AD4" i="14"/>
  <c r="AC9" i="14"/>
  <c r="AI4" i="9"/>
  <c r="AH9" i="9"/>
  <c r="AH10" i="9"/>
  <c r="AN9" i="3"/>
  <c r="AN10" i="3"/>
  <c r="AO4" i="3"/>
  <c r="AG4" i="11"/>
  <c r="AF9" i="11"/>
  <c r="AF10" i="11"/>
  <c r="AM4" i="5"/>
  <c r="AL10" i="5"/>
  <c r="AL9" i="5"/>
  <c r="AQ4" i="2"/>
  <c r="AP9" i="2"/>
  <c r="AP10" i="2"/>
  <c r="AK10" i="7" l="1"/>
  <c r="AL4" i="7"/>
  <c r="AK9" i="7"/>
  <c r="AG9" i="11"/>
  <c r="AH4" i="11"/>
  <c r="AG10" i="11"/>
  <c r="AJ10" i="8"/>
  <c r="AJ9" i="8"/>
  <c r="AK4" i="8"/>
  <c r="AO4" i="4"/>
  <c r="AN10" i="4"/>
  <c r="AN9" i="4"/>
  <c r="AE4" i="14"/>
  <c r="AD9" i="14"/>
  <c r="AD10" i="14"/>
  <c r="AO9" i="3"/>
  <c r="AO10" i="3"/>
  <c r="AP4" i="3"/>
  <c r="AR4" i="2"/>
  <c r="AQ9" i="2"/>
  <c r="AQ10" i="2"/>
  <c r="AM4" i="6"/>
  <c r="AL9" i="6"/>
  <c r="AL10" i="6"/>
  <c r="AH9" i="10"/>
  <c r="AI4" i="10"/>
  <c r="AH10" i="10"/>
  <c r="AF9" i="12"/>
  <c r="AF10" i="12"/>
  <c r="AG4" i="12"/>
  <c r="AF4" i="13"/>
  <c r="AE9" i="13"/>
  <c r="AE10" i="13"/>
  <c r="AN4" i="5"/>
  <c r="AM10" i="5"/>
  <c r="AM9" i="5"/>
  <c r="AI9" i="9"/>
  <c r="AI10" i="9"/>
  <c r="AJ4" i="9"/>
  <c r="AG4" i="13" l="1"/>
  <c r="AF9" i="13"/>
  <c r="AF10" i="13"/>
  <c r="AJ10" i="9"/>
  <c r="AJ9" i="9"/>
  <c r="AK4" i="9"/>
  <c r="AF4" i="14"/>
  <c r="AE9" i="14"/>
  <c r="AE10" i="14"/>
  <c r="AS4" i="2"/>
  <c r="AR9" i="2"/>
  <c r="AR10" i="2"/>
  <c r="AM9" i="6"/>
  <c r="AM10" i="6"/>
  <c r="AN4" i="6"/>
  <c r="AP10" i="3"/>
  <c r="AQ4" i="3"/>
  <c r="AP9" i="3"/>
  <c r="AP4" i="4"/>
  <c r="AO10" i="4"/>
  <c r="AO9" i="4"/>
  <c r="AL10" i="7"/>
  <c r="AM4" i="7"/>
  <c r="AL9" i="7"/>
  <c r="AG9" i="12"/>
  <c r="AH4" i="12"/>
  <c r="AG10" i="12"/>
  <c r="AH10" i="11"/>
  <c r="AI4" i="11"/>
  <c r="AH9" i="11"/>
  <c r="AO4" i="5"/>
  <c r="AN10" i="5"/>
  <c r="AN9" i="5"/>
  <c r="AI10" i="10"/>
  <c r="AJ4" i="10"/>
  <c r="AI9" i="10"/>
  <c r="AK10" i="8"/>
  <c r="AK9" i="8"/>
  <c r="AL4" i="8"/>
  <c r="AO10" i="5" l="1"/>
  <c r="AO9" i="5"/>
  <c r="AP4" i="5"/>
  <c r="AM10" i="7"/>
  <c r="AN4" i="7"/>
  <c r="AM9" i="7"/>
  <c r="AK10" i="9"/>
  <c r="AK9" i="9"/>
  <c r="AL4" i="9"/>
  <c r="AJ10" i="10"/>
  <c r="AK4" i="10"/>
  <c r="AJ9" i="10"/>
  <c r="AP9" i="4"/>
  <c r="AQ4" i="4"/>
  <c r="AP10" i="4"/>
  <c r="AM4" i="8"/>
  <c r="AL9" i="8"/>
  <c r="AL10" i="8"/>
  <c r="AG4" i="14"/>
  <c r="AF9" i="14"/>
  <c r="AF10" i="14"/>
  <c r="AI9" i="11"/>
  <c r="AI10" i="11"/>
  <c r="AJ4" i="11"/>
  <c r="AH10" i="12"/>
  <c r="AI4" i="12"/>
  <c r="AH9" i="12"/>
  <c r="AT4" i="2"/>
  <c r="AS9" i="2"/>
  <c r="AS10" i="2"/>
  <c r="AN10" i="6"/>
  <c r="AO4" i="6"/>
  <c r="AN9" i="6"/>
  <c r="AQ10" i="3"/>
  <c r="AQ9" i="3"/>
  <c r="AH4" i="13"/>
  <c r="AG9" i="13"/>
  <c r="AG10" i="13"/>
  <c r="AK4" i="11" l="1"/>
  <c r="AJ10" i="11"/>
  <c r="AJ9" i="11"/>
  <c r="AT9" i="2"/>
  <c r="AT10" i="2"/>
  <c r="AG9" i="14"/>
  <c r="AG10" i="14"/>
  <c r="AH4" i="14"/>
  <c r="AL4" i="10"/>
  <c r="AK9" i="10"/>
  <c r="AK10" i="10"/>
  <c r="AP10" i="5"/>
  <c r="AP9" i="5"/>
  <c r="AQ4" i="5"/>
  <c r="AM9" i="8"/>
  <c r="AM10" i="8"/>
  <c r="AN4" i="8"/>
  <c r="AQ10" i="4"/>
  <c r="AR4" i="4"/>
  <c r="AQ9" i="4"/>
  <c r="AO4" i="7"/>
  <c r="AN10" i="7"/>
  <c r="AN9" i="7"/>
  <c r="AH9" i="13"/>
  <c r="AH10" i="13"/>
  <c r="AI4" i="13"/>
  <c r="AI10" i="12"/>
  <c r="AJ4" i="12"/>
  <c r="AI9" i="12"/>
  <c r="AP4" i="6"/>
  <c r="AO9" i="6"/>
  <c r="AO10" i="6"/>
  <c r="AM4" i="9"/>
  <c r="AL9" i="9"/>
  <c r="AL10" i="9"/>
  <c r="AI4" i="14" l="1"/>
  <c r="AH10" i="14"/>
  <c r="AH9" i="14"/>
  <c r="AP4" i="7"/>
  <c r="AO9" i="7"/>
  <c r="AO10" i="7"/>
  <c r="AR4" i="5"/>
  <c r="AQ9" i="5"/>
  <c r="AQ10" i="5"/>
  <c r="AR10" i="4"/>
  <c r="AR9" i="4"/>
  <c r="AS4" i="4"/>
  <c r="AJ4" i="13"/>
  <c r="AI10" i="13"/>
  <c r="AI9" i="13"/>
  <c r="AQ4" i="6"/>
  <c r="AP9" i="6"/>
  <c r="AP10" i="6"/>
  <c r="AK4" i="12"/>
  <c r="AJ9" i="12"/>
  <c r="AJ10" i="12"/>
  <c r="AM9" i="9"/>
  <c r="AN4" i="9"/>
  <c r="AM10" i="9"/>
  <c r="AN9" i="8"/>
  <c r="AO4" i="8"/>
  <c r="AN10" i="8"/>
  <c r="AL10" i="10"/>
  <c r="AM4" i="10"/>
  <c r="AL9" i="10"/>
  <c r="AL4" i="11"/>
  <c r="AK9" i="11"/>
  <c r="AK10" i="11"/>
  <c r="AR4" i="6" l="1"/>
  <c r="AQ9" i="6"/>
  <c r="AQ10" i="6"/>
  <c r="AP9" i="7"/>
  <c r="AP10" i="7"/>
  <c r="AQ4" i="7"/>
  <c r="AL9" i="11"/>
  <c r="AL10" i="11"/>
  <c r="AM4" i="11"/>
  <c r="AR9" i="5"/>
  <c r="AS4" i="5"/>
  <c r="AR10" i="5"/>
  <c r="AK4" i="13"/>
  <c r="AJ9" i="13"/>
  <c r="AJ10" i="13"/>
  <c r="AS10" i="4"/>
  <c r="AS9" i="4"/>
  <c r="AT4" i="4"/>
  <c r="AN10" i="9"/>
  <c r="AO4" i="9"/>
  <c r="AN9" i="9"/>
  <c r="AN4" i="10"/>
  <c r="AM9" i="10"/>
  <c r="AM10" i="10"/>
  <c r="AK9" i="12"/>
  <c r="AK10" i="12"/>
  <c r="AL4" i="12"/>
  <c r="AP4" i="8"/>
  <c r="AO9" i="8"/>
  <c r="AO10" i="8"/>
  <c r="AJ4" i="14"/>
  <c r="AI9" i="14"/>
  <c r="AI10" i="14"/>
  <c r="AJ9" i="14" l="1"/>
  <c r="AJ10" i="14"/>
  <c r="AK4" i="14"/>
  <c r="AO4" i="10"/>
  <c r="AN10" i="10"/>
  <c r="AN9" i="10"/>
  <c r="AQ9" i="7"/>
  <c r="AQ10" i="7"/>
  <c r="AR4" i="7"/>
  <c r="AK9" i="13"/>
  <c r="AK10" i="13"/>
  <c r="AL4" i="13"/>
  <c r="AP4" i="9"/>
  <c r="AO10" i="9"/>
  <c r="AO9" i="9"/>
  <c r="AP10" i="8"/>
  <c r="AQ4" i="8"/>
  <c r="AP9" i="8"/>
  <c r="AM4" i="12"/>
  <c r="AL9" i="12"/>
  <c r="AL10" i="12"/>
  <c r="AS10" i="5"/>
  <c r="AS9" i="5"/>
  <c r="AT4" i="5"/>
  <c r="AT9" i="4"/>
  <c r="AT10" i="4"/>
  <c r="AM10" i="11"/>
  <c r="AN4" i="11"/>
  <c r="AM9" i="11"/>
  <c r="AR9" i="6"/>
  <c r="AR10" i="6"/>
  <c r="AS4" i="6"/>
  <c r="AT9" i="5" l="1"/>
  <c r="AT10" i="5"/>
  <c r="AK10" i="14"/>
  <c r="AL4" i="14"/>
  <c r="AK9" i="14"/>
  <c r="AT4" i="6"/>
  <c r="AS10" i="6"/>
  <c r="AS9" i="6"/>
  <c r="AO9" i="10"/>
  <c r="AO10" i="10"/>
  <c r="AP4" i="10"/>
  <c r="AN4" i="12"/>
  <c r="AM10" i="12"/>
  <c r="AM9" i="12"/>
  <c r="AQ4" i="9"/>
  <c r="AP9" i="9"/>
  <c r="AP10" i="9"/>
  <c r="AO4" i="11"/>
  <c r="AN9" i="11"/>
  <c r="AN10" i="11"/>
  <c r="AL10" i="13"/>
  <c r="AM4" i="13"/>
  <c r="AL9" i="13"/>
  <c r="AR4" i="8"/>
  <c r="AQ10" i="8"/>
  <c r="AQ9" i="8"/>
  <c r="AR10" i="7"/>
  <c r="AR9" i="7"/>
  <c r="AS4" i="7"/>
  <c r="AM4" i="14" l="1"/>
  <c r="AL9" i="14"/>
  <c r="AL10" i="14"/>
  <c r="AR10" i="8"/>
  <c r="AR9" i="8"/>
  <c r="AS4" i="8"/>
  <c r="AS10" i="7"/>
  <c r="AS9" i="7"/>
  <c r="AP9" i="10"/>
  <c r="AQ4" i="10"/>
  <c r="AP10" i="10"/>
  <c r="AQ9" i="9"/>
  <c r="AQ10" i="9"/>
  <c r="AR4" i="9"/>
  <c r="AT9" i="6"/>
  <c r="AT10" i="6"/>
  <c r="AN9" i="12"/>
  <c r="AN10" i="12"/>
  <c r="AO4" i="12"/>
  <c r="AO9" i="11"/>
  <c r="AP4" i="11"/>
  <c r="AO10" i="11"/>
  <c r="AN4" i="13"/>
  <c r="AM9" i="13"/>
  <c r="AM10" i="13"/>
  <c r="AP10" i="11" l="1"/>
  <c r="AQ4" i="11"/>
  <c r="AP9" i="11"/>
  <c r="AS10" i="8"/>
  <c r="AS9" i="8"/>
  <c r="AO4" i="13"/>
  <c r="AN9" i="13"/>
  <c r="AN10" i="13"/>
  <c r="AR10" i="9"/>
  <c r="AS4" i="9"/>
  <c r="AR9" i="9"/>
  <c r="AO9" i="12"/>
  <c r="AP4" i="12"/>
  <c r="AO10" i="12"/>
  <c r="AQ10" i="10"/>
  <c r="AQ9" i="10"/>
  <c r="AR4" i="10"/>
  <c r="AN4" i="14"/>
  <c r="AM9" i="14"/>
  <c r="AM10" i="14"/>
  <c r="AP10" i="12" l="1"/>
  <c r="AQ4" i="12"/>
  <c r="AP9" i="12"/>
  <c r="AT4" i="9"/>
  <c r="AS9" i="9"/>
  <c r="AS10" i="9"/>
  <c r="AQ9" i="11"/>
  <c r="AR4" i="11"/>
  <c r="AQ10" i="11"/>
  <c r="AP4" i="13"/>
  <c r="AO9" i="13"/>
  <c r="AO10" i="13"/>
  <c r="AO4" i="14"/>
  <c r="AN9" i="14"/>
  <c r="AN10" i="14"/>
  <c r="AR10" i="10"/>
  <c r="AR9" i="10"/>
  <c r="AS4" i="10"/>
  <c r="AS4" i="11" l="1"/>
  <c r="AR10" i="11"/>
  <c r="AR9" i="11"/>
  <c r="AS9" i="10"/>
  <c r="AS10" i="10"/>
  <c r="AP9" i="13"/>
  <c r="AP10" i="13"/>
  <c r="AQ4" i="13"/>
  <c r="AQ10" i="12"/>
  <c r="AR4" i="12"/>
  <c r="AQ9" i="12"/>
  <c r="AO9" i="14"/>
  <c r="AO10" i="14"/>
  <c r="AP4" i="14"/>
  <c r="AT9" i="9"/>
  <c r="AT10" i="9"/>
  <c r="AQ4" i="14" l="1"/>
  <c r="AP10" i="14"/>
  <c r="AP9" i="14"/>
  <c r="AR4" i="13"/>
  <c r="AQ10" i="13"/>
  <c r="AQ9" i="13"/>
  <c r="AS4" i="12"/>
  <c r="AR9" i="12"/>
  <c r="AR10" i="12"/>
  <c r="AT4" i="11"/>
  <c r="AS9" i="11"/>
  <c r="AS10" i="11"/>
  <c r="AS4" i="13" l="1"/>
  <c r="AR9" i="13"/>
  <c r="AR10" i="13"/>
  <c r="AS9" i="12"/>
  <c r="AS10" i="12"/>
  <c r="AT9" i="11"/>
  <c r="AT10" i="11"/>
  <c r="AR4" i="14"/>
  <c r="AQ9" i="14"/>
  <c r="AQ10" i="14"/>
  <c r="AR9" i="14" l="1"/>
  <c r="AR10" i="14"/>
  <c r="AS4" i="14"/>
  <c r="AS9" i="13"/>
  <c r="AS10" i="13"/>
  <c r="AT4" i="13"/>
  <c r="AT10" i="13" l="1"/>
  <c r="AT9" i="13"/>
  <c r="AS10" i="14"/>
  <c r="AT4" i="14"/>
  <c r="AS9" i="14"/>
  <c r="AT9" i="14" l="1"/>
  <c r="AT10" i="14"/>
</calcChain>
</file>

<file path=xl/sharedStrings.xml><?xml version="1.0" encoding="utf-8"?>
<sst xmlns="http://schemas.openxmlformats.org/spreadsheetml/2006/main" count="1591" uniqueCount="223">
  <si>
    <t>date d'entrée</t>
  </si>
  <si>
    <t>Matricule</t>
  </si>
  <si>
    <t>Nom</t>
  </si>
  <si>
    <t>Prénom</t>
  </si>
  <si>
    <t>Anniversaire</t>
  </si>
  <si>
    <t>Dernières visites médicale</t>
  </si>
  <si>
    <t>Prochaines visites médicale</t>
  </si>
  <si>
    <t>R.482 A (1)</t>
  </si>
  <si>
    <t>R.482 B1 (2)</t>
  </si>
  <si>
    <t>R.482 C2 (3)</t>
  </si>
  <si>
    <t>R.482 C1 (4)</t>
  </si>
  <si>
    <t>R.482 5</t>
  </si>
  <si>
    <t>R.482 D (7)</t>
  </si>
  <si>
    <t>R.482 E (8)</t>
  </si>
  <si>
    <t>R.482 F (9)</t>
  </si>
  <si>
    <t>R.482 G (10)</t>
  </si>
  <si>
    <t>Tondeuse FI</t>
  </si>
  <si>
    <t>Grue R.490</t>
  </si>
  <si>
    <t>B (Nacelle)</t>
  </si>
  <si>
    <t>Chariot R.489 / 3</t>
  </si>
  <si>
    <t>Tronço</t>
  </si>
  <si>
    <t>Permis BE - REMORQUE</t>
  </si>
  <si>
    <t>Permis PL</t>
  </si>
  <si>
    <t>FIMO</t>
  </si>
  <si>
    <t>AIPR</t>
  </si>
  <si>
    <t>Premiers secours</t>
  </si>
  <si>
    <t/>
  </si>
  <si>
    <t>N019002</t>
  </si>
  <si>
    <t>DEBREYNE</t>
  </si>
  <si>
    <t>Audrey</t>
  </si>
  <si>
    <t>début</t>
  </si>
  <si>
    <t>fin</t>
  </si>
  <si>
    <t>N024050</t>
  </si>
  <si>
    <t>LUTARD</t>
  </si>
  <si>
    <t>Karyne</t>
  </si>
  <si>
    <t>Janvier</t>
  </si>
  <si>
    <t>N018905</t>
  </si>
  <si>
    <t>HAUTDECOEUR</t>
  </si>
  <si>
    <t>Laurence</t>
  </si>
  <si>
    <t>Février</t>
  </si>
  <si>
    <t>N016820</t>
  </si>
  <si>
    <t>GRENET</t>
  </si>
  <si>
    <t>Eric</t>
  </si>
  <si>
    <t>Mars</t>
  </si>
  <si>
    <t>C003285</t>
  </si>
  <si>
    <t>FOURCADE</t>
  </si>
  <si>
    <t>Hervé</t>
  </si>
  <si>
    <t>Avril</t>
  </si>
  <si>
    <t>JT030845</t>
  </si>
  <si>
    <t>GONCALVES</t>
  </si>
  <si>
    <t>Lionel</t>
  </si>
  <si>
    <t>Mai</t>
  </si>
  <si>
    <t>N011045</t>
  </si>
  <si>
    <t>SIGALA</t>
  </si>
  <si>
    <t>Jean-Christohpe</t>
  </si>
  <si>
    <t>Juin</t>
  </si>
  <si>
    <t>N010036</t>
  </si>
  <si>
    <t>BETTINGER</t>
  </si>
  <si>
    <t>Philippe</t>
  </si>
  <si>
    <t>Juillet</t>
  </si>
  <si>
    <t>N015967</t>
  </si>
  <si>
    <t>TUCOULET</t>
  </si>
  <si>
    <t>Dorian</t>
  </si>
  <si>
    <t>Août</t>
  </si>
  <si>
    <t>N017539</t>
  </si>
  <si>
    <t>VRBOVSKA</t>
  </si>
  <si>
    <t>Xavier</t>
  </si>
  <si>
    <t>Septembre</t>
  </si>
  <si>
    <t>MAINTENANCE</t>
  </si>
  <si>
    <t>Octobre</t>
  </si>
  <si>
    <t>SURVEILLANT DE TRAVAUX</t>
  </si>
  <si>
    <t>Novembre</t>
  </si>
  <si>
    <t>C004587</t>
  </si>
  <si>
    <t xml:space="preserve">BOURGOIN </t>
  </si>
  <si>
    <t>Jean-Baptiste</t>
  </si>
  <si>
    <t>Décembre</t>
  </si>
  <si>
    <t>N02645</t>
  </si>
  <si>
    <t>MERCADIEU</t>
  </si>
  <si>
    <t>Baptiste</t>
  </si>
  <si>
    <t>ASDP</t>
  </si>
  <si>
    <t>C004845</t>
  </si>
  <si>
    <t>GARCIA</t>
  </si>
  <si>
    <t>Yoan</t>
  </si>
  <si>
    <t>C005015</t>
  </si>
  <si>
    <t>LARROUDE</t>
  </si>
  <si>
    <t>Christophe</t>
  </si>
  <si>
    <t>N020065</t>
  </si>
  <si>
    <t>SAMITIER</t>
  </si>
  <si>
    <t>Beatrice</t>
  </si>
  <si>
    <t>C005216</t>
  </si>
  <si>
    <t>PIEL</t>
  </si>
  <si>
    <t>Frédy</t>
  </si>
  <si>
    <t>PROPRETE</t>
  </si>
  <si>
    <t>JN020502</t>
  </si>
  <si>
    <t>GOURVIAT</t>
  </si>
  <si>
    <t>Annabelle</t>
  </si>
  <si>
    <t>JT032516</t>
  </si>
  <si>
    <t>LARTIGUE</t>
  </si>
  <si>
    <t>Laura</t>
  </si>
  <si>
    <t>JN010897</t>
  </si>
  <si>
    <t>TRIQUENEAUX</t>
  </si>
  <si>
    <t>Benoit</t>
  </si>
  <si>
    <t>JN010381</t>
  </si>
  <si>
    <t>ESPERON</t>
  </si>
  <si>
    <t>Alain</t>
  </si>
  <si>
    <t>JN010750</t>
  </si>
  <si>
    <t>ROUGLAN</t>
  </si>
  <si>
    <t>William</t>
  </si>
  <si>
    <t>JN010461</t>
  </si>
  <si>
    <t>NOURRI</t>
  </si>
  <si>
    <t>Danny</t>
  </si>
  <si>
    <t>REGIE</t>
  </si>
  <si>
    <t>AGENTS VOIRIE</t>
  </si>
  <si>
    <t>JT028103</t>
  </si>
  <si>
    <t>BERRIO-GAUDNER</t>
  </si>
  <si>
    <t xml:space="preserve"> Jacques</t>
  </si>
  <si>
    <t>C002908</t>
  </si>
  <si>
    <t>FONTENEAU</t>
  </si>
  <si>
    <t>Fabrice</t>
  </si>
  <si>
    <t>X</t>
  </si>
  <si>
    <t>C004504</t>
  </si>
  <si>
    <t xml:space="preserve">GUIJARRO </t>
  </si>
  <si>
    <t>Juan-Pédro</t>
  </si>
  <si>
    <t>T028198</t>
  </si>
  <si>
    <t>GOUREAU</t>
  </si>
  <si>
    <t>Jonathan</t>
  </si>
  <si>
    <t>x</t>
  </si>
  <si>
    <t>C002986</t>
  </si>
  <si>
    <t>LABORIE</t>
  </si>
  <si>
    <t>Jean-Louis</t>
  </si>
  <si>
    <t>C007317</t>
  </si>
  <si>
    <t>LARRIEU</t>
  </si>
  <si>
    <t>Cédric</t>
  </si>
  <si>
    <t>C004309</t>
  </si>
  <si>
    <t>LEVIGNAT</t>
  </si>
  <si>
    <t>Didier</t>
  </si>
  <si>
    <t>C005624</t>
  </si>
  <si>
    <t>MARTIN-HERNANDEZ</t>
  </si>
  <si>
    <t>Pierre</t>
  </si>
  <si>
    <t>C007758</t>
  </si>
  <si>
    <t>PIERRE</t>
  </si>
  <si>
    <t>Frantzy</t>
  </si>
  <si>
    <t>C004609</t>
  </si>
  <si>
    <t>SOLA</t>
  </si>
  <si>
    <t>T029734</t>
  </si>
  <si>
    <t>WEISS</t>
  </si>
  <si>
    <t>Miguel</t>
  </si>
  <si>
    <t>AGENTS ESPACES VERTS</t>
  </si>
  <si>
    <t>N018514</t>
  </si>
  <si>
    <t>DELANDE</t>
  </si>
  <si>
    <t>Romain</t>
  </si>
  <si>
    <t>T029231</t>
  </si>
  <si>
    <t>DA SILVA REIS</t>
  </si>
  <si>
    <t>Alexandra</t>
  </si>
  <si>
    <t>N011181</t>
  </si>
  <si>
    <t>ELMAGROUD</t>
  </si>
  <si>
    <t>Sofiane</t>
  </si>
  <si>
    <t>C004163</t>
  </si>
  <si>
    <t>ESTEVE</t>
  </si>
  <si>
    <t>Thierry</t>
  </si>
  <si>
    <t>C006428</t>
  </si>
  <si>
    <t>KADRI</t>
  </si>
  <si>
    <t>Houssine</t>
  </si>
  <si>
    <t>N023455</t>
  </si>
  <si>
    <t>MALLET</t>
  </si>
  <si>
    <t>Ludovic</t>
  </si>
  <si>
    <t>C007461</t>
  </si>
  <si>
    <t>MAURY</t>
  </si>
  <si>
    <t>T030790</t>
  </si>
  <si>
    <t>MOINGT</t>
  </si>
  <si>
    <t>Joffrey</t>
  </si>
  <si>
    <t>T030619</t>
  </si>
  <si>
    <t>REY</t>
  </si>
  <si>
    <t>Adrien</t>
  </si>
  <si>
    <t>N019681</t>
  </si>
  <si>
    <t>TADJROUNA</t>
  </si>
  <si>
    <t>Mohamed</t>
  </si>
  <si>
    <t>N019975</t>
  </si>
  <si>
    <t>VILLENEUVE</t>
  </si>
  <si>
    <t>COMMUN - MAGASINIER ET AGENTS ENTRETIEN</t>
  </si>
  <si>
    <t>N010342</t>
  </si>
  <si>
    <t>VOL</t>
  </si>
  <si>
    <t>C003865</t>
  </si>
  <si>
    <t xml:space="preserve">GENNA </t>
  </si>
  <si>
    <t>Grégory</t>
  </si>
  <si>
    <t>Dec-28</t>
  </si>
  <si>
    <t>N010032</t>
  </si>
  <si>
    <t>BERNARD</t>
  </si>
  <si>
    <t xml:space="preserve"> Jean-Louis</t>
  </si>
  <si>
    <t>N010563</t>
  </si>
  <si>
    <t>HAUBRAICHE</t>
  </si>
  <si>
    <t>TOTAL</t>
  </si>
  <si>
    <t>FERIE</t>
  </si>
  <si>
    <t>ARRET EVP JAN</t>
  </si>
  <si>
    <t>P</t>
  </si>
  <si>
    <t>PC</t>
  </si>
  <si>
    <t>F</t>
  </si>
  <si>
    <t>AST</t>
  </si>
  <si>
    <t>CA</t>
  </si>
  <si>
    <t>RTT</t>
  </si>
  <si>
    <t>CEX</t>
  </si>
  <si>
    <t>R</t>
  </si>
  <si>
    <t>M</t>
  </si>
  <si>
    <t>AT</t>
  </si>
  <si>
    <t>TAD</t>
  </si>
  <si>
    <t>TP</t>
  </si>
  <si>
    <t>PRESENCE</t>
  </si>
  <si>
    <t>PREV CONGES</t>
  </si>
  <si>
    <t>FORMATION</t>
  </si>
  <si>
    <t>ASTREINT</t>
  </si>
  <si>
    <t>CONGES ANNUEL</t>
  </si>
  <si>
    <t>CONGES EXC</t>
  </si>
  <si>
    <t>RESERVE</t>
  </si>
  <si>
    <t>MALADIE</t>
  </si>
  <si>
    <t>ACCIDENT DE TRAVAIL</t>
  </si>
  <si>
    <t>TRAVAI A DISTANCE</t>
  </si>
  <si>
    <t>Tps partiel TH</t>
  </si>
  <si>
    <t>BUREAU</t>
  </si>
  <si>
    <t>VOIRIE</t>
  </si>
  <si>
    <t>ESPACES VERTS</t>
  </si>
  <si>
    <t>MA</t>
  </si>
  <si>
    <t>MAGASIN</t>
  </si>
  <si>
    <t>Permis CE Sup Lourd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</si>
</sst>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textRotation="90"/>
    </xf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textRotation="90"/>
    </xf>
    <xf numFmtId="0" fontId="7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17" borderId="22" xfId="0" applyFill="1" applyBorder="1" applyAlignment="1">
      <alignment horizontal="centerContinuous" vertical="center"/>
    </xf>
    <xf numFmtId="0" fontId="0" fillId="17" borderId="23" xfId="0" applyFill="1" applyBorder="1" applyAlignment="1">
      <alignment horizontal="centerContinuous" vertical="center"/>
    </xf>
    <xf numFmtId="0" fontId="0" fillId="16" borderId="22" xfId="0" applyFill="1" applyBorder="1" applyAlignment="1">
      <alignment horizontal="centerContinuous" vertical="center"/>
    </xf>
    <xf numFmtId="0" fontId="0" fillId="16" borderId="23" xfId="0" applyFill="1" applyBorder="1" applyAlignment="1">
      <alignment horizontal="centerContinuous" vertical="center"/>
    </xf>
    <xf numFmtId="0" fontId="0" fillId="13" borderId="22" xfId="0" applyFill="1" applyBorder="1" applyAlignment="1">
      <alignment horizontal="centerContinuous" vertical="center"/>
    </xf>
    <xf numFmtId="0" fontId="0" fillId="13" borderId="23" xfId="0" applyFill="1" applyBorder="1" applyAlignment="1">
      <alignment horizontal="centerContinuous" vertical="center"/>
    </xf>
    <xf numFmtId="0" fontId="0" fillId="15" borderId="22" xfId="0" applyFill="1" applyBorder="1" applyAlignment="1">
      <alignment horizontal="centerContinuous" vertical="center"/>
    </xf>
    <xf numFmtId="0" fontId="0" fillId="15" borderId="23" xfId="0" applyFill="1" applyBorder="1" applyAlignment="1">
      <alignment horizontal="centerContinuous" vertical="center"/>
    </xf>
    <xf numFmtId="0" fontId="0" fillId="10" borderId="22" xfId="0" applyFill="1" applyBorder="1" applyAlignment="1">
      <alignment horizontal="centerContinuous" vertical="center"/>
    </xf>
    <xf numFmtId="0" fontId="0" fillId="10" borderId="23" xfId="0" applyFill="1" applyBorder="1" applyAlignment="1">
      <alignment horizontal="centerContinuous" vertical="center"/>
    </xf>
    <xf numFmtId="0" fontId="3" fillId="10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Continuous" vertical="center"/>
    </xf>
    <xf numFmtId="0" fontId="0" fillId="10" borderId="28" xfId="0" applyFill="1" applyBorder="1" applyAlignment="1">
      <alignment horizontal="centerContinuous" vertical="center"/>
    </xf>
    <xf numFmtId="0" fontId="0" fillId="10" borderId="29" xfId="0" applyFill="1" applyBorder="1" applyAlignment="1">
      <alignment horizontal="centerContinuous" vertical="center"/>
    </xf>
    <xf numFmtId="0" fontId="0" fillId="10" borderId="30" xfId="0" applyFill="1" applyBorder="1" applyAlignment="1">
      <alignment horizontal="centerContinuous" vertical="center"/>
    </xf>
    <xf numFmtId="0" fontId="0" fillId="17" borderId="27" xfId="0" applyFill="1" applyBorder="1" applyAlignment="1">
      <alignment horizontal="centerContinuous" vertical="center"/>
    </xf>
    <xf numFmtId="0" fontId="0" fillId="17" borderId="28" xfId="0" applyFill="1" applyBorder="1" applyAlignment="1">
      <alignment horizontal="centerContinuous" vertical="center"/>
    </xf>
    <xf numFmtId="0" fontId="0" fillId="17" borderId="29" xfId="0" applyFill="1" applyBorder="1" applyAlignment="1">
      <alignment horizontal="centerContinuous" vertical="center"/>
    </xf>
    <xf numFmtId="0" fontId="0" fillId="17" borderId="30" xfId="0" applyFill="1" applyBorder="1" applyAlignment="1">
      <alignment horizontal="centerContinuous"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25" borderId="1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26" borderId="1" xfId="0" applyFont="1" applyFill="1" applyBorder="1" applyAlignment="1">
      <alignment horizontal="center" vertical="center" textRotation="90" wrapText="1"/>
    </xf>
    <xf numFmtId="0" fontId="5" fillId="27" borderId="1" xfId="0" applyFont="1" applyFill="1" applyBorder="1" applyAlignment="1">
      <alignment horizontal="center" vertical="center" textRotation="90"/>
    </xf>
    <xf numFmtId="0" fontId="5" fillId="28" borderId="1" xfId="0" applyFont="1" applyFill="1" applyBorder="1" applyAlignment="1">
      <alignment horizontal="center" vertical="center" textRotation="90"/>
    </xf>
    <xf numFmtId="0" fontId="5" fillId="29" borderId="1" xfId="0" applyFont="1" applyFill="1" applyBorder="1" applyAlignment="1">
      <alignment horizontal="center" vertical="center" textRotation="90"/>
    </xf>
    <xf numFmtId="0" fontId="5" fillId="11" borderId="1" xfId="0" applyFont="1" applyFill="1" applyBorder="1" applyAlignment="1">
      <alignment horizontal="center" vertical="center" textRotation="90"/>
    </xf>
    <xf numFmtId="0" fontId="2" fillId="27" borderId="3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0" fillId="30" borderId="1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0" borderId="19" xfId="0" applyFill="1" applyBorder="1" applyAlignment="1">
      <alignment horizontal="center" vertical="center"/>
    </xf>
    <xf numFmtId="0" fontId="0" fillId="17" borderId="32" xfId="0" applyFill="1" applyBorder="1" applyAlignment="1">
      <alignment horizontal="centerContinuous" vertical="center"/>
    </xf>
    <xf numFmtId="0" fontId="0" fillId="17" borderId="34" xfId="0" applyFill="1" applyBorder="1" applyAlignment="1">
      <alignment horizontal="centerContinuous" vertical="center"/>
    </xf>
    <xf numFmtId="0" fontId="0" fillId="16" borderId="0" xfId="0" applyFill="1" applyAlignment="1">
      <alignment horizontal="centerContinuous" vertical="center"/>
    </xf>
    <xf numFmtId="0" fontId="0" fillId="10" borderId="33" xfId="0" applyFill="1" applyBorder="1" applyAlignment="1">
      <alignment horizontal="centerContinuous" vertical="center"/>
    </xf>
    <xf numFmtId="0" fontId="0" fillId="10" borderId="35" xfId="0" applyFill="1" applyBorder="1" applyAlignment="1">
      <alignment horizontal="centerContinuous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30" borderId="7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Continuous" vertical="center"/>
    </xf>
    <xf numFmtId="0" fontId="0" fillId="0" borderId="16" xfId="0" applyBorder="1" applyAlignment="1">
      <alignment horizontal="center" vertical="center"/>
    </xf>
    <xf numFmtId="0" fontId="0" fillId="30" borderId="2" xfId="0" applyFill="1" applyBorder="1" applyAlignment="1">
      <alignment horizontal="center" vertical="center"/>
    </xf>
    <xf numFmtId="14" fontId="9" fillId="31" borderId="0" xfId="0" applyNumberFormat="1" applyFont="1" applyFill="1" applyAlignment="1">
      <alignment horizontal="center" vertical="center"/>
    </xf>
    <xf numFmtId="164" fontId="2" fillId="31" borderId="3" xfId="0" applyNumberFormat="1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/>
    </xf>
    <xf numFmtId="0" fontId="0" fillId="31" borderId="18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1" borderId="19" xfId="0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164" fontId="2" fillId="31" borderId="5" xfId="0" applyNumberFormat="1" applyFont="1" applyFill="1" applyBorder="1" applyAlignment="1">
      <alignment horizontal="center" vertical="center"/>
    </xf>
    <xf numFmtId="0" fontId="2" fillId="31" borderId="15" xfId="0" applyFont="1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0" fontId="0" fillId="31" borderId="12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0" fontId="0" fillId="31" borderId="17" xfId="0" applyFill="1" applyBorder="1" applyAlignment="1">
      <alignment horizontal="center" vertical="center"/>
    </xf>
    <xf numFmtId="14" fontId="6" fillId="0" borderId="21" xfId="0" applyNumberFormat="1" applyFont="1" applyBorder="1" applyAlignment="1">
      <alignment vertical="center"/>
    </xf>
    <xf numFmtId="0" fontId="0" fillId="30" borderId="12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0" fillId="32" borderId="13" xfId="0" applyFill="1" applyBorder="1" applyAlignment="1">
      <alignment horizontal="center" vertical="center"/>
    </xf>
    <xf numFmtId="0" fontId="0" fillId="31" borderId="0" xfId="0" applyFill="1" applyAlignment="1">
      <alignment horizontal="centerContinuous" vertical="center"/>
    </xf>
    <xf numFmtId="0" fontId="0" fillId="0" borderId="4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13" borderId="33" xfId="0" applyFill="1" applyBorder="1" applyAlignment="1">
      <alignment horizontal="centerContinuous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90"/>
    </xf>
    <xf numFmtId="0" fontId="0" fillId="15" borderId="0" xfId="0" applyFill="1" applyAlignment="1">
      <alignment horizontal="centerContinuous" vertical="center"/>
    </xf>
    <xf numFmtId="0" fontId="0" fillId="15" borderId="36" xfId="0" applyFill="1" applyBorder="1" applyAlignment="1">
      <alignment horizontal="centerContinuous" vertical="center"/>
    </xf>
    <xf numFmtId="0" fontId="0" fillId="30" borderId="12" xfId="0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0" fillId="30" borderId="13" xfId="0" applyFill="1" applyBorder="1" applyAlignment="1">
      <alignment vertical="center"/>
    </xf>
    <xf numFmtId="0" fontId="0" fillId="30" borderId="8" xfId="0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64" fontId="2" fillId="0" borderId="25" xfId="0" applyNumberFormat="1" applyFont="1" applyBorder="1" applyAlignment="1">
      <alignment horizontal="center" vertical="center"/>
    </xf>
    <xf numFmtId="164" fontId="2" fillId="0" borderId="40" xfId="0" applyNumberFormat="1" applyFont="1" applyBorder="1" applyAlignment="1">
      <alignment horizontal="center" vertical="center"/>
    </xf>
    <xf numFmtId="164" fontId="2" fillId="0" borderId="48" xfId="0" applyNumberFormat="1" applyFont="1" applyBorder="1" applyAlignment="1">
      <alignment horizontal="center" vertical="center"/>
    </xf>
    <xf numFmtId="164" fontId="2" fillId="0" borderId="4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textRotation="90"/>
    </xf>
    <xf numFmtId="164" fontId="2" fillId="6" borderId="40" xfId="0" applyNumberFormat="1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0" fillId="30" borderId="38" xfId="0" applyFill="1" applyBorder="1" applyAlignment="1">
      <alignment horizontal="center" vertical="center"/>
    </xf>
    <xf numFmtId="0" fontId="0" fillId="31" borderId="38" xfId="0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164" fontId="2" fillId="0" borderId="49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15" borderId="24" xfId="0" applyFill="1" applyBorder="1" applyAlignment="1">
      <alignment horizontal="centerContinuous" vertical="center"/>
    </xf>
    <xf numFmtId="0" fontId="0" fillId="16" borderId="24" xfId="0" applyFill="1" applyBorder="1" applyAlignment="1">
      <alignment horizontal="centerContinuous" vertical="center"/>
    </xf>
    <xf numFmtId="0" fontId="0" fillId="10" borderId="24" xfId="0" applyFill="1" applyBorder="1" applyAlignment="1">
      <alignment horizontal="centerContinuous" vertical="center"/>
    </xf>
    <xf numFmtId="0" fontId="0" fillId="17" borderId="24" xfId="0" applyFill="1" applyBorder="1" applyAlignment="1">
      <alignment horizontal="centerContinuous" vertical="center"/>
    </xf>
    <xf numFmtId="164" fontId="2" fillId="31" borderId="49" xfId="0" applyNumberFormat="1" applyFont="1" applyFill="1" applyBorder="1" applyAlignment="1">
      <alignment horizontal="center" vertical="center"/>
    </xf>
    <xf numFmtId="0" fontId="2" fillId="31" borderId="4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30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10" borderId="51" xfId="0" applyFill="1" applyBorder="1" applyAlignment="1">
      <alignment horizontal="centerContinuous" vertical="center"/>
    </xf>
    <xf numFmtId="0" fontId="0" fillId="10" borderId="44" xfId="0" applyFill="1" applyBorder="1" applyAlignment="1">
      <alignment horizontal="centerContinuous" vertical="center"/>
    </xf>
    <xf numFmtId="0" fontId="0" fillId="10" borderId="45" xfId="0" applyFill="1" applyBorder="1" applyAlignment="1">
      <alignment horizontal="centerContinuous" vertical="center"/>
    </xf>
    <xf numFmtId="0" fontId="0" fillId="10" borderId="46" xfId="0" applyFill="1" applyBorder="1" applyAlignment="1">
      <alignment horizontal="centerContinuous" vertical="center"/>
    </xf>
    <xf numFmtId="0" fontId="0" fillId="10" borderId="54" xfId="0" applyFill="1" applyBorder="1" applyAlignment="1">
      <alignment horizontal="centerContinuous" vertical="center"/>
    </xf>
    <xf numFmtId="0" fontId="0" fillId="31" borderId="5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0" borderId="40" xfId="0" applyFill="1" applyBorder="1" applyAlignment="1">
      <alignment horizontal="center" vertical="center"/>
    </xf>
    <xf numFmtId="0" fontId="0" fillId="30" borderId="25" xfId="0" applyFill="1" applyBorder="1" applyAlignment="1">
      <alignment horizontal="center" vertical="center"/>
    </xf>
    <xf numFmtId="0" fontId="0" fillId="32" borderId="12" xfId="0" applyFill="1" applyBorder="1" applyAlignment="1">
      <alignment vertical="center"/>
    </xf>
    <xf numFmtId="0" fontId="0" fillId="32" borderId="1" xfId="0" applyFill="1" applyBorder="1" applyAlignment="1">
      <alignment vertical="center"/>
    </xf>
    <xf numFmtId="0" fontId="0" fillId="32" borderId="13" xfId="0" applyFill="1" applyBorder="1" applyAlignment="1">
      <alignment vertical="center"/>
    </xf>
    <xf numFmtId="0" fontId="0" fillId="33" borderId="52" xfId="0" applyFill="1" applyBorder="1" applyAlignment="1">
      <alignment horizontal="left" vertical="center"/>
    </xf>
    <xf numFmtId="0" fontId="0" fillId="33" borderId="53" xfId="0" applyFill="1" applyBorder="1" applyAlignment="1">
      <alignment vertical="center"/>
    </xf>
    <xf numFmtId="0" fontId="0" fillId="33" borderId="39" xfId="0" applyFill="1" applyBorder="1" applyAlignment="1">
      <alignment horizontal="center" vertical="center"/>
    </xf>
    <xf numFmtId="0" fontId="0" fillId="33" borderId="40" xfId="0" applyFill="1" applyBorder="1" applyAlignment="1">
      <alignment horizontal="center" vertical="center"/>
    </xf>
    <xf numFmtId="0" fontId="0" fillId="33" borderId="4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2" borderId="17" xfId="0" applyFill="1" applyBorder="1" applyAlignment="1">
      <alignment horizontal="left" vertical="center"/>
    </xf>
    <xf numFmtId="0" fontId="0" fillId="32" borderId="14" xfId="0" applyFill="1" applyBorder="1" applyAlignment="1">
      <alignment vertical="center"/>
    </xf>
    <xf numFmtId="0" fontId="0" fillId="32" borderId="8" xfId="0" applyFill="1" applyBorder="1" applyAlignment="1">
      <alignment horizontal="center" vertical="center"/>
    </xf>
    <xf numFmtId="0" fontId="0" fillId="32" borderId="18" xfId="0" applyFill="1" applyBorder="1" applyAlignment="1">
      <alignment horizontal="center" vertical="center"/>
    </xf>
    <xf numFmtId="0" fontId="0" fillId="32" borderId="25" xfId="0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34" borderId="22" xfId="0" applyFill="1" applyBorder="1" applyAlignment="1">
      <alignment horizontal="centerContinuous" vertical="center"/>
    </xf>
    <xf numFmtId="0" fontId="0" fillId="34" borderId="23" xfId="0" applyFill="1" applyBorder="1" applyAlignment="1">
      <alignment horizontal="centerContinuous" vertical="center"/>
    </xf>
    <xf numFmtId="0" fontId="0" fillId="34" borderId="27" xfId="0" applyFill="1" applyBorder="1" applyAlignment="1">
      <alignment horizontal="centerContinuous" vertical="center"/>
    </xf>
    <xf numFmtId="0" fontId="0" fillId="34" borderId="28" xfId="0" applyFill="1" applyBorder="1" applyAlignment="1">
      <alignment horizontal="centerContinuous" vertical="center"/>
    </xf>
    <xf numFmtId="0" fontId="0" fillId="34" borderId="29" xfId="0" applyFill="1" applyBorder="1" applyAlignment="1">
      <alignment horizontal="centerContinuous" vertical="center"/>
    </xf>
    <xf numFmtId="0" fontId="0" fillId="34" borderId="30" xfId="0" applyFill="1" applyBorder="1" applyAlignment="1">
      <alignment horizontal="centerContinuous" vertical="center"/>
    </xf>
    <xf numFmtId="0" fontId="0" fillId="34" borderId="24" xfId="0" applyFill="1" applyBorder="1" applyAlignment="1">
      <alignment horizontal="centerContinuous" vertical="center"/>
    </xf>
    <xf numFmtId="0" fontId="0" fillId="30" borderId="0" xfId="0" applyFill="1" applyAlignment="1">
      <alignment horizontal="center" vertical="center"/>
    </xf>
    <xf numFmtId="164" fontId="2" fillId="32" borderId="49" xfId="0" applyNumberFormat="1" applyFont="1" applyFill="1" applyBorder="1" applyAlignment="1">
      <alignment horizontal="center" vertical="center"/>
    </xf>
    <xf numFmtId="0" fontId="2" fillId="32" borderId="47" xfId="0" applyFont="1" applyFill="1" applyBorder="1" applyAlignment="1">
      <alignment horizontal="center" vertical="center"/>
    </xf>
    <xf numFmtId="0" fontId="0" fillId="32" borderId="17" xfId="0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44" xfId="0" applyFill="1" applyBorder="1" applyAlignment="1">
      <alignment horizontal="center" vertical="center"/>
    </xf>
    <xf numFmtId="0" fontId="0" fillId="30" borderId="45" xfId="0" applyFill="1" applyBorder="1" applyAlignment="1">
      <alignment horizontal="center" vertical="center"/>
    </xf>
    <xf numFmtId="0" fontId="0" fillId="30" borderId="4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0" borderId="8" xfId="0" applyFill="1" applyBorder="1" applyAlignment="1">
      <alignment vertical="center"/>
    </xf>
    <xf numFmtId="0" fontId="0" fillId="30" borderId="18" xfId="0" applyFill="1" applyBorder="1" applyAlignment="1">
      <alignment vertical="center"/>
    </xf>
    <xf numFmtId="0" fontId="0" fillId="30" borderId="9" xfId="0" applyFill="1" applyBorder="1" applyAlignment="1">
      <alignment vertical="center"/>
    </xf>
    <xf numFmtId="0" fontId="0" fillId="34" borderId="33" xfId="0" applyFill="1" applyBorder="1" applyAlignment="1">
      <alignment horizontal="centerContinuous" vertical="center"/>
    </xf>
    <xf numFmtId="0" fontId="0" fillId="34" borderId="35" xfId="0" applyFill="1" applyBorder="1" applyAlignment="1">
      <alignment horizontal="centerContinuous" vertical="center"/>
    </xf>
    <xf numFmtId="0" fontId="0" fillId="30" borderId="17" xfId="0" applyFill="1" applyBorder="1" applyAlignment="1">
      <alignment vertical="center"/>
    </xf>
    <xf numFmtId="0" fontId="0" fillId="30" borderId="7" xfId="0" applyFill="1" applyBorder="1" applyAlignment="1">
      <alignment vertical="center"/>
    </xf>
    <xf numFmtId="0" fontId="0" fillId="30" borderId="14" xfId="0" applyFill="1" applyBorder="1" applyAlignment="1">
      <alignment vertical="center"/>
    </xf>
    <xf numFmtId="0" fontId="0" fillId="31" borderId="37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33" xfId="0" applyFill="1" applyBorder="1" applyAlignment="1">
      <alignment horizontal="centerContinuous" vertical="center"/>
    </xf>
    <xf numFmtId="0" fontId="0" fillId="16" borderId="35" xfId="0" applyFill="1" applyBorder="1" applyAlignment="1">
      <alignment horizontal="centerContinuous" vertical="center"/>
    </xf>
    <xf numFmtId="0" fontId="0" fillId="16" borderId="36" xfId="0" applyFill="1" applyBorder="1" applyAlignment="1">
      <alignment horizontal="centerContinuous" vertical="center"/>
    </xf>
    <xf numFmtId="0" fontId="0" fillId="30" borderId="37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10" borderId="0" xfId="0" applyFill="1" applyAlignment="1">
      <alignment horizontal="centerContinuous" vertical="center"/>
    </xf>
    <xf numFmtId="0" fontId="0" fillId="17" borderId="0" xfId="0" applyFill="1" applyAlignment="1">
      <alignment horizontal="centerContinuous" vertical="center"/>
    </xf>
    <xf numFmtId="0" fontId="0" fillId="34" borderId="0" xfId="0" applyFill="1" applyAlignment="1">
      <alignment horizontal="centerContinuous" vertical="center"/>
    </xf>
    <xf numFmtId="0" fontId="0" fillId="13" borderId="0" xfId="0" applyFill="1" applyAlignment="1">
      <alignment horizontal="centerContinuous" vertical="center"/>
    </xf>
    <xf numFmtId="0" fontId="0" fillId="19" borderId="0" xfId="0" applyFill="1" applyAlignment="1">
      <alignment horizontal="center" vertical="center"/>
    </xf>
    <xf numFmtId="0" fontId="0" fillId="32" borderId="19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0" fillId="35" borderId="12" xfId="0" applyFill="1" applyBorder="1" applyAlignment="1">
      <alignment vertical="center"/>
    </xf>
    <xf numFmtId="0" fontId="0" fillId="35" borderId="1" xfId="0" applyFill="1" applyBorder="1" applyAlignment="1">
      <alignment vertical="center"/>
    </xf>
    <xf numFmtId="0" fontId="0" fillId="35" borderId="13" xfId="0" applyFill="1" applyBorder="1" applyAlignment="1">
      <alignment vertical="center"/>
    </xf>
    <xf numFmtId="0" fontId="0" fillId="35" borderId="8" xfId="0" applyFill="1" applyBorder="1" applyAlignment="1">
      <alignment horizontal="center" vertical="center"/>
    </xf>
    <xf numFmtId="0" fontId="0" fillId="35" borderId="18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4" borderId="36" xfId="0" applyFill="1" applyBorder="1" applyAlignment="1">
      <alignment horizontal="centerContinuous" vertical="center"/>
    </xf>
    <xf numFmtId="164" fontId="2" fillId="31" borderId="40" xfId="0" applyNumberFormat="1" applyFont="1" applyFill="1" applyBorder="1" applyAlignment="1">
      <alignment horizontal="center" vertical="center"/>
    </xf>
    <xf numFmtId="0" fontId="2" fillId="31" borderId="19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31" borderId="44" xfId="0" applyFill="1" applyBorder="1" applyAlignment="1">
      <alignment horizontal="center" vertical="center"/>
    </xf>
    <xf numFmtId="0" fontId="0" fillId="15" borderId="33" xfId="0" applyFill="1" applyBorder="1" applyAlignment="1">
      <alignment horizontal="centerContinuous" vertical="center"/>
    </xf>
    <xf numFmtId="0" fontId="0" fillId="14" borderId="36" xfId="0" applyFill="1" applyBorder="1" applyAlignment="1">
      <alignment horizontal="center" vertical="center"/>
    </xf>
    <xf numFmtId="0" fontId="0" fillId="15" borderId="35" xfId="0" applyFill="1" applyBorder="1" applyAlignment="1">
      <alignment horizontal="centerContinuous" vertical="center"/>
    </xf>
    <xf numFmtId="0" fontId="3" fillId="0" borderId="0" xfId="0" applyFont="1"/>
    <xf numFmtId="17" fontId="3" fillId="0" borderId="0" xfId="0" applyNumberFormat="1" applyFont="1"/>
    <xf numFmtId="0" fontId="0" fillId="19" borderId="58" xfId="0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14" borderId="51" xfId="0" applyFill="1" applyBorder="1" applyAlignment="1">
      <alignment horizontal="center" vertical="center"/>
    </xf>
    <xf numFmtId="0" fontId="0" fillId="0" borderId="33" xfId="0" applyBorder="1"/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textRotation="90"/>
    </xf>
    <xf numFmtId="14" fontId="6" fillId="0" borderId="1" xfId="0" applyNumberFormat="1" applyFont="1" applyBorder="1" applyAlignment="1">
      <alignment horizontal="center" vertical="center"/>
    </xf>
    <xf numFmtId="0" fontId="0" fillId="19" borderId="59" xfId="0" applyFill="1" applyBorder="1" applyAlignment="1">
      <alignment horizontal="center" vertical="center"/>
    </xf>
    <xf numFmtId="0" fontId="0" fillId="0" borderId="32" xfId="0" applyBorder="1"/>
    <xf numFmtId="0" fontId="0" fillId="0" borderId="34" xfId="0" applyBorder="1"/>
    <xf numFmtId="0" fontId="0" fillId="19" borderId="22" xfId="0" applyFill="1" applyBorder="1" applyAlignment="1">
      <alignment horizontal="center" vertical="center"/>
    </xf>
    <xf numFmtId="0" fontId="0" fillId="14" borderId="60" xfId="0" applyFill="1" applyBorder="1" applyAlignment="1">
      <alignment horizontal="center" vertical="center"/>
    </xf>
    <xf numFmtId="0" fontId="0" fillId="0" borderId="35" xfId="0" applyBorder="1"/>
    <xf numFmtId="0" fontId="0" fillId="14" borderId="22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8" borderId="0" xfId="0" applyFont="1" applyFill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>
      <alignment horizontal="left" vertical="center"/>
    </xf>
    <xf numFmtId="17" fontId="3" fillId="0" borderId="0" xfId="0" applyNumberFormat="1" applyFont="1" applyBorder="1"/>
    <xf numFmtId="0" fontId="3" fillId="20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center" vertical="center"/>
    </xf>
    <xf numFmtId="0" fontId="3" fillId="21" borderId="0" xfId="0" applyFont="1" applyFill="1" applyBorder="1" applyAlignment="1">
      <alignment horizontal="left" vertical="center"/>
    </xf>
    <xf numFmtId="0" fontId="3" fillId="17" borderId="0" xfId="0" applyFont="1" applyFill="1" applyBorder="1" applyAlignment="1">
      <alignment horizontal="center" vertical="center"/>
    </xf>
    <xf numFmtId="0" fontId="3" fillId="31" borderId="0" xfId="0" applyFont="1" applyFill="1" applyBorder="1" applyAlignment="1">
      <alignment horizontal="left" vertical="center"/>
    </xf>
    <xf numFmtId="0" fontId="3" fillId="31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left" vertical="center"/>
    </xf>
    <xf numFmtId="0" fontId="3" fillId="13" borderId="0" xfId="0" applyFont="1" applyFill="1" applyBorder="1" applyAlignment="1">
      <alignment horizontal="center" vertical="center"/>
    </xf>
    <xf numFmtId="0" fontId="3" fillId="22" borderId="0" xfId="0" applyFont="1" applyFill="1" applyBorder="1" applyAlignment="1">
      <alignment horizontal="left" vertical="center"/>
    </xf>
    <xf numFmtId="0" fontId="3" fillId="14" borderId="0" xfId="0" applyFont="1" applyFill="1" applyBorder="1" applyAlignment="1">
      <alignment horizontal="left" vertical="center"/>
    </xf>
    <xf numFmtId="0" fontId="3" fillId="14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left" vertical="center"/>
    </xf>
    <xf numFmtId="0" fontId="3" fillId="23" borderId="0" xfId="0" applyFont="1" applyFill="1" applyBorder="1" applyAlignment="1">
      <alignment horizontal="left" vertical="center"/>
    </xf>
    <xf numFmtId="0" fontId="3" fillId="23" borderId="0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4" borderId="0" xfId="0" applyFont="1" applyFill="1" applyBorder="1" applyAlignment="1">
      <alignment horizontal="left" vertical="center"/>
    </xf>
    <xf numFmtId="0" fontId="3" fillId="24" borderId="0" xfId="0" applyFont="1" applyFill="1" applyBorder="1" applyAlignment="1">
      <alignment horizontal="center" vertical="center"/>
    </xf>
  </cellXfs>
  <cellStyles count="1">
    <cellStyle name="Normal" xfId="0" builtinId="0"/>
  </cellStyles>
  <dxfs count="136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left" vertical="center"/>
      <border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left" vertical="center"/>
      <border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alignment horizontal="center" vertical="center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F3-45AD-B0D4-F7C65DA534F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F3-45AD-B0D4-F7C65DA534F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F3-45AD-B0D4-F7C65DA534F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F3-45AD-B0D4-F7C65DA534F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F3-45AD-B0D4-F7C65DA534F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8F3-45AD-B0D4-F7C65DA534F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8F3-45AD-B0D4-F7C65DA534F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8F3-45AD-B0D4-F7C65DA534F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8F3-45AD-B0D4-F7C65DA534F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8F3-45AD-B0D4-F7C65DA534F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8F3-45AD-B0D4-F7C65DA534F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8F3-45AD-B0D4-F7C65DA53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58-4971-BB59-FABB7C515C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58-4971-BB59-FABB7C515CA3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58-4971-BB59-FABB7C515C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58-4971-BB59-FABB7C515CA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58-4971-BB59-FABB7C515CA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C58-4971-BB59-FABB7C515CA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C58-4971-BB59-FABB7C515CA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C58-4971-BB59-FABB7C515CA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C58-4971-BB59-FABB7C515CA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C58-4971-BB59-FABB7C515CA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C58-4971-BB59-FABB7C515CA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58-4971-BB59-FABB7C515CA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6A-4A4F-BF02-5307D951BF5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6A-4A4F-BF02-5307D951BF5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6A-4A4F-BF02-5307D951BF5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6A-4A4F-BF02-5307D951BF5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6A-4A4F-BF02-5307D951BF5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D6A-4A4F-BF02-5307D951BF5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D6A-4A4F-BF02-5307D951BF5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D6A-4A4F-BF02-5307D951BF5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D6A-4A4F-BF02-5307D951BF5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D6A-4A4F-BF02-5307D951BF5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D6A-4A4F-BF02-5307D951BF5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6A-4A4F-BF02-5307D951BF5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D7-4E92-ADF9-4F590FFC1C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D7-4E92-ADF9-4F590FFC1C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D7-4E92-ADF9-4F590FFC1C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0D7-4E92-ADF9-4F590FFC1C9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0D7-4E92-ADF9-4F590FFC1C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0D7-4E92-ADF9-4F590FFC1C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0D7-4E92-ADF9-4F590FFC1C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0D7-4E92-ADF9-4F590FFC1C9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0D7-4E92-ADF9-4F590FFC1C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0D7-4E92-ADF9-4F590FFC1C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0D7-4E92-ADF9-4F590FFC1C9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0D7-4E92-ADF9-4F590FFC1C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E2-4578-A360-74CCF26866D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E2-4578-A360-74CCF26866D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E2-4578-A360-74CCF26866D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E2-4578-A360-74CCF26866D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1E2-4578-A360-74CCF26866D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1E2-4578-A360-74CCF26866D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1E2-4578-A360-74CCF26866D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1E2-4578-A360-74CCF26866D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1E2-4578-A360-74CCF26866D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1E2-4578-A360-74CCF26866D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1E2-4578-A360-74CCF26866D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2026'!$AS$12:$BC$12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2026'!$AS$13:$BC$13</c:f>
              <c:numCache>
                <c:formatCode>General</c:formatCode>
                <c:ptCount val="11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1E2-4578-A360-74CCF268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2D-4E6F-9BC9-31154F42BFC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2D-4E6F-9BC9-31154F42BFC8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2D-4E6F-9BC9-31154F42B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92D-4E6F-9BC9-31154F42BFC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92D-4E6F-9BC9-31154F42BFC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92D-4E6F-9BC9-31154F42BFC8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92D-4E6F-9BC9-31154F42BFC8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92D-4E6F-9BC9-31154F42BFC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92D-4E6F-9BC9-31154F42BFC8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92D-4E6F-9BC9-31154F42BFC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92D-4E6F-9BC9-31154F42BFC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2026'!$AS$51:$BC$51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2026'!$AS$52:$BC$52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2D-4E6F-9BC9-31154F42BFC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7B-438B-82B8-DE419C2B539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7B-438B-82B8-DE419C2B539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7B-438B-82B8-DE419C2B539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7B-438B-82B8-DE419C2B539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7B-438B-82B8-DE419C2B539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37B-438B-82B8-DE419C2B539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37B-438B-82B8-DE419C2B539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37B-438B-82B8-DE419C2B539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37B-438B-82B8-DE419C2B539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37B-438B-82B8-DE419C2B539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37B-438B-82B8-DE419C2B539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2026'!$AS$39:$BC$39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2026'!$AS$40:$BC$40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37B-438B-82B8-DE419C2B53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B0-495E-ACD6-FF4CA0CEF0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B0-495E-ACD6-FF4CA0CEF0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B0-495E-ACD6-FF4CA0CEF0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B0-495E-ACD6-FF4CA0CEF01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B0-495E-ACD6-FF4CA0CEF0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BB0-495E-ACD6-FF4CA0CEF0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BB0-495E-ACD6-FF4CA0CEF0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BB0-495E-ACD6-FF4CA0CEF01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BB0-495E-ACD6-FF4CA0CEF0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BB0-495E-ACD6-FF4CA0CEF0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BB0-495E-ACD6-FF4CA0CEF01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2026'!$AS$64:$BC$64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2026'!$AS$65:$BC$65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B0-495E-ACD6-FF4CA0CEF0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49-4E3B-8A0C-A1E091C9C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49-4E3B-8A0C-A1E091C9CE6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49-4E3B-8A0C-A1E091C9CE6B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49-4E3B-8A0C-A1E091C9CE6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49-4E3B-8A0C-A1E091C9CE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49-4E3B-8A0C-A1E091C9CE6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649-4E3B-8A0C-A1E091C9CE6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649-4E3B-8A0C-A1E091C9CE6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649-4E3B-8A0C-A1E091C9CE6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649-4E3B-8A0C-A1E091C9CE6B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649-4E3B-8A0C-A1E091C9CE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649-4E3B-8A0C-A1E091C9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53-495E-BBD7-D1CBEA3CF6A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53-495E-BBD7-D1CBEA3CF6A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E53-495E-BBD7-D1CBEA3CF6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E53-495E-BBD7-D1CBEA3CF6A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E53-495E-BBD7-D1CBEA3CF6A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E53-495E-BBD7-D1CBEA3CF6A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E53-495E-BBD7-D1CBEA3CF6A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E53-495E-BBD7-D1CBEA3CF6A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E53-495E-BBD7-D1CBEA3CF6A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E53-495E-BBD7-D1CBEA3CF6A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E53-495E-BBD7-D1CBEA3CF6A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E53-495E-BBD7-D1CBEA3CF6A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8C-466E-8127-C9A3E46478B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8C-466E-8127-C9A3E46478B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8C-466E-8127-C9A3E46478B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38C-466E-8127-C9A3E46478B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38C-466E-8127-C9A3E46478B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38C-466E-8127-C9A3E46478B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38C-466E-8127-C9A3E46478B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38C-466E-8127-C9A3E46478B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38C-466E-8127-C9A3E46478B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38C-466E-8127-C9A3E46478B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38C-466E-8127-C9A3E46478B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8C-466E-8127-C9A3E46478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D6-44C3-9448-189D83CC23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D6-44C3-9448-189D83CC23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D6-44C3-9448-189D83CC23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D6-44C3-9448-189D83CC235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D6-44C3-9448-189D83CC23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ED6-44C3-9448-189D83CC23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ED6-44C3-9448-189D83CC23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ED6-44C3-9448-189D83CC235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ED6-44C3-9448-189D83CC23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ED6-44C3-9448-189D83CC23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ED6-44C3-9448-189D83CC235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ED6-44C3-9448-189D83CC235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15-4CEC-9105-15FB7B53238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15-4CEC-9105-15FB7B53238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15-4CEC-9105-15FB7B532381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15-4CEC-9105-15FB7B53238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15-4CEC-9105-15FB7B53238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15-4CEC-9105-15FB7B53238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15-4CEC-9105-15FB7B53238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15-4CEC-9105-15FB7B53238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15-4CEC-9105-15FB7B53238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15-4CEC-9105-15FB7B53238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15-4CEC-9105-15FB7B53238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415-4CEC-9105-15FB7B53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0F-4F6A-A6FF-A6A3F1669B6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0F-4F6A-A6FF-A6A3F1669B6D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0F-4F6A-A6FF-A6A3F1669B6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0F-4F6A-A6FF-A6A3F1669B6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00F-4F6A-A6FF-A6A3F1669B6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00F-4F6A-A6FF-A6A3F1669B6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00F-4F6A-A6FF-A6A3F1669B6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00F-4F6A-A6FF-A6A3F1669B6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00F-4F6A-A6FF-A6A3F1669B6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00F-4F6A-A6FF-A6A3F1669B6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00F-4F6A-A6FF-A6A3F1669B6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0F-4F6A-A6FF-A6A3F1669B6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36-45DF-B41C-9A804E7BB0A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36-45DF-B41C-9A804E7BB0A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36-45DF-B41C-9A804E7BB0AB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36-45DF-B41C-9A804E7BB0A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36-45DF-B41C-9A804E7BB0A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36-45DF-B41C-9A804E7BB0A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36-45DF-B41C-9A804E7BB0A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36-45DF-B41C-9A804E7BB0A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36-45DF-B41C-9A804E7BB0A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36-45DF-B41C-9A804E7BB0A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36-45DF-B41C-9A804E7BB0A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36-45DF-B41C-9A804E7BB0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D1-4619-8EB7-2F5ACB8AC9E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D1-4619-8EB7-2F5ACB8AC9E0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D1-4619-8EB7-2F5ACB8AC9E0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D1-4619-8EB7-2F5ACB8AC9E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D1-4619-8EB7-2F5ACB8AC9E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AD1-4619-8EB7-2F5ACB8AC9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AD1-4619-8EB7-2F5ACB8AC9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AD1-4619-8EB7-2F5ACB8AC9E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AD1-4619-8EB7-2F5ACB8AC9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AD1-4619-8EB7-2F5ACB8AC9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AD1-4619-8EB7-2F5ACB8AC9E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D1-4619-8EB7-2F5ACB8AC9E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7F-4FFB-A0C3-05E703DBE3C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7F-4FFB-A0C3-05E703DBE3C3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7F-4FFB-A0C3-05E703DBE3C3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7F-4FFB-A0C3-05E703DBE3C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7F-4FFB-A0C3-05E703DBE3C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57F-4FFB-A0C3-05E703DBE3C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57F-4FFB-A0C3-05E703DBE3C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57F-4FFB-A0C3-05E703DBE3C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57F-4FFB-A0C3-05E703DBE3C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57F-4FFB-A0C3-05E703DBE3C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57F-4FFB-A0C3-05E703DBE3C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57F-4FFB-A0C3-05E703DB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E-4C50-8D1F-FB732F47119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E-4C50-8D1F-FB732F471193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E-4C50-8D1F-FB732F4711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E-4C50-8D1F-FB732F47119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E-4C50-8D1F-FB732F47119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CE-4C50-8D1F-FB732F47119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5CE-4C50-8D1F-FB732F47119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5CE-4C50-8D1F-FB732F47119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5CE-4C50-8D1F-FB732F47119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5CE-4C50-8D1F-FB732F47119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5CE-4C50-8D1F-FB732F47119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CE-4C50-8D1F-FB732F47119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71-4B1C-AF88-42AC5EA224D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71-4B1C-AF88-42AC5EA224D5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71-4B1C-AF88-42AC5EA224D5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71-4B1C-AF88-42AC5EA224D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71-4B1C-AF88-42AC5EA224D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C71-4B1C-AF88-42AC5EA224D5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C71-4B1C-AF88-42AC5EA224D5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C71-4B1C-AF88-42AC5EA224D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C71-4B1C-AF88-42AC5EA224D5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C71-4B1C-AF88-42AC5EA224D5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C71-4B1C-AF88-42AC5EA224D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71-4B1C-AF88-42AC5EA224D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F5-4F89-BAC1-D0C1DE5C761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F5-4F89-BAC1-D0C1DE5C7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F5-4F89-BAC1-D0C1DE5C7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F5-4F89-BAC1-D0C1DE5C761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F5-4F89-BAC1-D0C1DE5C761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FF5-4F89-BAC1-D0C1DE5C7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FF5-4F89-BAC1-D0C1DE5C7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FF5-4F89-BAC1-D0C1DE5C761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FF5-4F89-BAC1-D0C1DE5C76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FF5-4F89-BAC1-D0C1DE5C76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FF5-4F89-BAC1-D0C1DE5C76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FF5-4F89-BAC1-D0C1DE5C7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6F-4836-9668-BE7AB88FF6F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6F-4836-9668-BE7AB88FF6F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6F-4836-9668-BE7AB88FF6F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16F-4836-9668-BE7AB88FF6F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16F-4836-9668-BE7AB88FF6F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16F-4836-9668-BE7AB88FF6F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16F-4836-9668-BE7AB88FF6F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16F-4836-9668-BE7AB88FF6F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16F-4836-9668-BE7AB88FF6F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16F-4836-9668-BE7AB88FF6F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16F-4836-9668-BE7AB88FF6F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16F-4836-9668-BE7AB88FF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5C-4487-9D6C-4F97A56558C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5C-4487-9D6C-4F97A56558C1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5C-4487-9D6C-4F97A56558C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5C-4487-9D6C-4F97A56558C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65C-4487-9D6C-4F97A56558C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65C-4487-9D6C-4F97A56558C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65C-4487-9D6C-4F97A56558C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65C-4487-9D6C-4F97A56558C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65C-4487-9D6C-4F97A56558C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65C-4487-9D6C-4F97A56558C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65C-4487-9D6C-4F97A56558C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65C-4487-9D6C-4F97A56558C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46-48EF-8F2D-AC54469D32D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46-48EF-8F2D-AC54469D32D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46-48EF-8F2D-AC54469D32D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46-48EF-8F2D-AC54469D32D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B46-48EF-8F2D-AC54469D32D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B46-48EF-8F2D-AC54469D32D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B46-48EF-8F2D-AC54469D32D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B46-48EF-8F2D-AC54469D32D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B46-48EF-8F2D-AC54469D32D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B46-48EF-8F2D-AC54469D32D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B46-48EF-8F2D-AC54469D32D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46-48EF-8F2D-AC54469D32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31-4CD2-A3C4-81E16D8493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31-4CD2-A3C4-81E16D8493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31-4CD2-A3C4-81E16D8493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31-4CD2-A3C4-81E16D84937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431-4CD2-A3C4-81E16D84937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431-4CD2-A3C4-81E16D8493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431-4CD2-A3C4-81E16D8493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431-4CD2-A3C4-81E16D84937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431-4CD2-A3C4-81E16D8493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431-4CD2-A3C4-81E16D8493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431-4CD2-A3C4-81E16D84937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31-4CD2-A3C4-81E16D84937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81-4E44-BEEF-21F3AABB8FC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81-4E44-BEEF-21F3AABB8FC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81-4E44-BEEF-21F3AABB8FC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81-4E44-BEEF-21F3AABB8FC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81-4E44-BEEF-21F3AABB8FC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781-4E44-BEEF-21F3AABB8FC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781-4E44-BEEF-21F3AABB8FC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781-4E44-BEEF-21F3AABB8FC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781-4E44-BEEF-21F3AABB8FC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781-4E44-BEEF-21F3AABB8FC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781-4E44-BEEF-21F3AABB8FC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81-4E44-BEEF-21F3AABB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8E-400A-B285-8AA01AD0630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8E-400A-B285-8AA01AD0630C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8E-400A-B285-8AA01AD0630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8E-400A-B285-8AA01AD0630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8E-400A-B285-8AA01AD0630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8E-400A-B285-8AA01AD0630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8E-400A-B285-8AA01AD0630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8E-400A-B285-8AA01AD0630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8E-400A-B285-8AA01AD0630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8E-400A-B285-8AA01AD0630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8E-400A-B285-8AA01AD0630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8E-400A-B285-8AA01AD0630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89B-44E6-8792-4C4FD738637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89B-44E6-8792-4C4FD738637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89B-44E6-8792-4C4FD738637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89B-44E6-8792-4C4FD738637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89B-44E6-8792-4C4FD738637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89B-44E6-8792-4C4FD738637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89B-44E6-8792-4C4FD738637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89B-44E6-8792-4C4FD738637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89B-44E6-8792-4C4FD738637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89B-44E6-8792-4C4FD738637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89B-44E6-8792-4C4FD73863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89B-44E6-8792-4C4FD73863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E1-475D-BD3B-B784ABB4F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E1-475D-BD3B-B784ABB4F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E1-475D-BD3B-B784ABB4F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E1-475D-BD3B-B784ABB4F9B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FE1-475D-BD3B-B784ABB4F9B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FE1-475D-BD3B-B784ABB4F9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FE1-475D-BD3B-B784ABB4F9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FE1-475D-BD3B-B784ABB4F9B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FE1-475D-BD3B-B784ABB4F9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FE1-475D-BD3B-B784ABB4F9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FE1-475D-BD3B-B784ABB4F9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E1-475D-BD3B-B784ABB4F9B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9C-47A6-878D-65413F53705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9C-47A6-878D-65413F53705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9C-47A6-878D-65413F53705D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9C-47A6-878D-65413F53705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9C-47A6-878D-65413F53705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79C-47A6-878D-65413F53705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79C-47A6-878D-65413F53705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79C-47A6-878D-65413F53705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79C-47A6-878D-65413F53705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79C-47A6-878D-65413F53705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79C-47A6-878D-65413F53705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9C-47A6-878D-65413F53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FC-4287-A130-50B508B8FC2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FC-4287-A130-50B508B8FC2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FC-4287-A130-50B508B8FC2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FC-4287-A130-50B508B8FC2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CFC-4287-A130-50B508B8FC2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CFC-4287-A130-50B508B8FC2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CFC-4287-A130-50B508B8FC2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CFC-4287-A130-50B508B8FC2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CFC-4287-A130-50B508B8FC2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CFC-4287-A130-50B508B8FC2C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CFC-4287-A130-50B508B8FC2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2026'!$AV$52:$BF$52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2026'!$AV$53:$BF$53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FC-4287-A130-50B508B8FC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24-4431-B361-C9D3A90FCD7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24-4431-B361-C9D3A90FCD7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24-4431-B361-C9D3A90FCD7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24-4431-B361-C9D3A90FCD7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424-4431-B361-C9D3A90FCD7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424-4431-B361-C9D3A90FCD7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424-4431-B361-C9D3A90FCD7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424-4431-B361-C9D3A90FCD7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424-4431-B361-C9D3A90FCD7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424-4431-B361-C9D3A90FCD7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424-4431-B361-C9D3A90FCD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24-4431-B361-C9D3A90FCD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C9-4A09-BC25-86BF3DD426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C9-4A09-BC25-86BF3DD42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C9-4A09-BC25-86BF3DD42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BC9-4A09-BC25-86BF3DD4261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BC9-4A09-BC25-86BF3DD426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BC9-4A09-BC25-86BF3DD42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BC9-4A09-BC25-86BF3DD42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BC9-4A09-BC25-86BF3DD4261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BC9-4A09-BC25-86BF3DD426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BC9-4A09-BC25-86BF3DD426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BC9-4A09-BC25-86BF3DD426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2026'!$AV$65:$BF$65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2026'!$AV$66:$BF$66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BC9-4A09-BC25-86BF3DD42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96-431A-8BFE-32CB02AD344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96-431A-8BFE-32CB02AD3444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96-431A-8BFE-32CB02AD3444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96-431A-8BFE-32CB02AD344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96-431A-8BFE-32CB02AD344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396-431A-8BFE-32CB02AD344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396-431A-8BFE-32CB02AD344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396-431A-8BFE-32CB02AD344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396-431A-8BFE-32CB02AD344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396-431A-8BFE-32CB02AD344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396-431A-8BFE-32CB02AD344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396-431A-8BFE-32CB02AD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02-4685-9E16-573DB6C7B52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02-4685-9E16-573DB6C7B529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02-4685-9E16-573DB6C7B52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602-4685-9E16-573DB6C7B52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602-4685-9E16-573DB6C7B52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602-4685-9E16-573DB6C7B52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602-4685-9E16-573DB6C7B52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602-4685-9E16-573DB6C7B52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602-4685-9E16-573DB6C7B52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602-4685-9E16-573DB6C7B529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602-4685-9E16-573DB6C7B52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02-4685-9E16-573DB6C7B52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D5-48FB-A6E1-C7A88069B06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D5-48FB-A6E1-C7A88069B06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D5-48FB-A6E1-C7A88069B06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D5-48FB-A6E1-C7A88069B06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CD5-48FB-A6E1-C7A88069B06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CD5-48FB-A6E1-C7A88069B06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CD5-48FB-A6E1-C7A88069B06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CD5-48FB-A6E1-C7A88069B06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CD5-48FB-A6E1-C7A88069B06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CD5-48FB-A6E1-C7A88069B0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CD5-48FB-A6E1-C7A88069B0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CD5-48FB-A6E1-C7A88069B0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4A-426B-AFF6-ED76E00D931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4A-426B-AFF6-ED76E00D9318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4A-426B-AFF6-ED76E00D93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4A-426B-AFF6-ED76E00D931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34A-426B-AFF6-ED76E00D93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34A-426B-AFF6-ED76E00D93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34A-426B-AFF6-ED76E00D93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34A-426B-AFF6-ED76E00D931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34A-426B-AFF6-ED76E00D93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34A-426B-AFF6-ED76E00D93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34A-426B-AFF6-ED76E00D931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34A-426B-AFF6-ED76E00D931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EE-4A30-B14D-80CCE01683A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EE-4A30-B14D-80CCE01683A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EE-4A30-B14D-80CCE01683AF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4EE-4A30-B14D-80CCE01683A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4EE-4A30-B14D-80CCE01683A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4EE-4A30-B14D-80CCE01683A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4EE-4A30-B14D-80CCE01683A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4EE-4A30-B14D-80CCE01683A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4EE-4A30-B14D-80CCE01683A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4EE-4A30-B14D-80CCE01683AF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4EE-4A30-B14D-80CCE01683A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4EE-4A30-B14D-80CCE0168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B1-4EF5-B3B3-54EF7BB8B8E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B1-4EF5-B3B3-54EF7BB8B8E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B1-4EF5-B3B3-54EF7BB8B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4B1-4EF5-B3B3-54EF7BB8B8E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4B1-4EF5-B3B3-54EF7BB8B8E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4B1-4EF5-B3B3-54EF7BB8B8E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4B1-4EF5-B3B3-54EF7BB8B8E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4B1-4EF5-B3B3-54EF7BB8B8E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4B1-4EF5-B3B3-54EF7BB8B8E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4B1-4EF5-B3B3-54EF7BB8B8E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4B1-4EF5-B3B3-54EF7BB8B8E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4B1-4EF5-B3B3-54EF7BB8B8E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73-4FA7-BFFD-A3016D2483C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73-4FA7-BFFD-A3016D2483C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673-4FA7-BFFD-A3016D2483C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673-4FA7-BFFD-A3016D2483C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673-4FA7-BFFD-A3016D2483C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673-4FA7-BFFD-A3016D2483C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673-4FA7-BFFD-A3016D2483C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673-4FA7-BFFD-A3016D2483C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673-4FA7-BFFD-A3016D2483C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673-4FA7-BFFD-A3016D2483C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673-4FA7-BFFD-A3016D2483C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73-4FA7-BFFD-A3016D2483C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E4-4C1E-A3C4-D132D5576C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E4-4C1E-A3C4-D132D5576C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E4-4C1E-A3C4-D132D5576C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9E4-4C1E-A3C4-D132D5576CB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9E4-4C1E-A3C4-D132D5576C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9E4-4C1E-A3C4-D132D5576C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9E4-4C1E-A3C4-D132D5576CB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9E4-4C1E-A3C4-D132D5576CB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9E4-4C1E-A3C4-D132D5576CB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9E4-4C1E-A3C4-D132D5576CB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9E4-4C1E-A3C4-D132D5576CB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E4-4C1E-A3C4-D132D5576CB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50-4350-B33C-AD0A66332D9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50-4350-B33C-AD0A66332D9A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50-4350-B33C-AD0A66332D9A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50-4350-B33C-AD0A66332D9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50-4350-B33C-AD0A66332D9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50-4350-B33C-AD0A66332D9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50-4350-B33C-AD0A66332D9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750-4350-B33C-AD0A66332D9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750-4350-B33C-AD0A66332D9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750-4350-B33C-AD0A66332D9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750-4350-B33C-AD0A66332D9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50-4350-B33C-AD0A66332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DE-4588-B7A9-F63D045B020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DE-4588-B7A9-F63D045B0204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DE-4588-B7A9-F63D045B02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DE-4588-B7A9-F63D045B020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3DE-4588-B7A9-F63D045B020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3DE-4588-B7A9-F63D045B020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3DE-4588-B7A9-F63D045B020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3DE-4588-B7A9-F63D045B020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3DE-4588-B7A9-F63D045B020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3DE-4588-B7A9-F63D045B020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3DE-4588-B7A9-F63D045B02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3DE-4588-B7A9-F63D045B020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D6-4186-8DE2-522B50B2213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D6-4186-8DE2-522B50B2213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D6-4186-8DE2-522B50B2213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D6-4186-8DE2-522B50B2213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D6-4186-8DE2-522B50B2213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AD6-4186-8DE2-522B50B2213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AD6-4186-8DE2-522B50B2213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AD6-4186-8DE2-522B50B2213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AD6-4186-8DE2-522B50B2213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AD6-4186-8DE2-522B50B2213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AD6-4186-8DE2-522B50B2213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D6-4186-8DE2-522B50B2213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DC-4AC3-AC54-B7DC6F385E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DC-4AC3-AC54-B7DC6F385E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DC-4AC3-AC54-B7DC6F385E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DC-4AC3-AC54-B7DC6F385EE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DC-4AC3-AC54-B7DC6F385E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0DC-4AC3-AC54-B7DC6F385E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0DC-4AC3-AC54-B7DC6F385E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0DC-4AC3-AC54-B7DC6F385EE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0DC-4AC3-AC54-B7DC6F385E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0DC-4AC3-AC54-B7DC6F385E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0DC-4AC3-AC54-B7DC6F385EE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0DC-4AC3-AC54-B7DC6F385E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2-4F94-BC54-81256CA87A5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2-4F94-BC54-81256CA87A5E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2-4F94-BC54-81256CA87A5E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F2-4F94-BC54-81256CA87A5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F2-4F94-BC54-81256CA87A5E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4F2-4F94-BC54-81256CA87A5E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4F2-4F94-BC54-81256CA87A5E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4F2-4F94-BC54-81256CA87A5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4F2-4F94-BC54-81256CA87A5E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4F2-4F94-BC54-81256CA87A5E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4F2-4F94-BC54-81256CA87A5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F2-4F94-BC54-81256CA87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F6-426C-A299-97F78D6B1FC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F6-426C-A299-97F78D6B1FC7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F6-426C-A299-97F78D6B1FC7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DF6-426C-A299-97F78D6B1FC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DF6-426C-A299-97F78D6B1FC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DF6-426C-A299-97F78D6B1FC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DF6-426C-A299-97F78D6B1FC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DF6-426C-A299-97F78D6B1FC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DF6-426C-A299-97F78D6B1FC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DF6-426C-A299-97F78D6B1FC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DF6-426C-A299-97F78D6B1FC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DF6-426C-A299-97F78D6B1FC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F2-4F1D-9B20-5EEB2302B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F2-4F1D-9B20-5EEB2302BE6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F2-4F1D-9B20-5EEB2302BE6B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F2-4F1D-9B20-5EEB2302BE6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F2-4F1D-9B20-5EEB2302BE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BF2-4F1D-9B20-5EEB2302BE6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BF2-4F1D-9B20-5EEB2302BE6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BF2-4F1D-9B20-5EEB2302BE6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BF2-4F1D-9B20-5EEB2302BE6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BF2-4F1D-9B20-5EEB2302BE6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BF2-4F1D-9B20-5EEB2302BE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F2-4F1D-9B20-5EEB2302BE6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55-4187-B66F-4700C28C1CB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55-4187-B66F-4700C28C1CB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55-4187-B66F-4700C28C1C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55-4187-B66F-4700C28C1CB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55-4187-B66F-4700C28C1C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455-4187-B66F-4700C28C1C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455-4187-B66F-4700C28C1C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455-4187-B66F-4700C28C1CB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55-4187-B66F-4700C28C1C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455-4187-B66F-4700C28C1C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455-4187-B66F-4700C28C1CB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55-4187-B66F-4700C28C1C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18-43DA-B7B3-C82E4C3076D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18-43DA-B7B3-C82E4C3076D6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18-43DA-B7B3-C82E4C3076D6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18-43DA-B7B3-C82E4C3076D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118-43DA-B7B3-C82E4C3076D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118-43DA-B7B3-C82E4C3076D6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118-43DA-B7B3-C82E4C3076D6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118-43DA-B7B3-C82E4C3076D6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118-43DA-B7B3-C82E4C3076D6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118-43DA-B7B3-C82E4C3076D6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118-43DA-B7B3-C82E4C3076D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18-43DA-B7B3-C82E4C30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2F-4569-9FE6-7CF80F83DE4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2F-4569-9FE6-7CF80F83DE4A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2F-4569-9FE6-7CF80F83D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2F-4569-9FE6-7CF80F83DE4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2F-4569-9FE6-7CF80F83DE4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72F-4569-9FE6-7CF80F83DE4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72F-4569-9FE6-7CF80F83DE4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72F-4569-9FE6-7CF80F83DE4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72F-4569-9FE6-7CF80F83DE4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72F-4569-9FE6-7CF80F83DE4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72F-4569-9FE6-7CF80F83DE4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72F-4569-9FE6-7CF80F83DE4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92-4DDE-9FD1-F45FADB8C36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92-4DDE-9FD1-F45FADB8C36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92-4DDE-9FD1-F45FADB8C36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92-4DDE-9FD1-F45FADB8C36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92-4DDE-9FD1-F45FADB8C36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E92-4DDE-9FD1-F45FADB8C36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E92-4DDE-9FD1-F45FADB8C36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E92-4DDE-9FD1-F45FADB8C36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E92-4DDE-9FD1-F45FADB8C36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E92-4DDE-9FD1-F45FADB8C3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E92-4DDE-9FD1-F45FADB8C3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92-4DDE-9FD1-F45FADB8C3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29-4860-9310-831BF252F9D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29-4860-9310-831BF252F9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29-4860-9310-831BF252F9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29-4860-9310-831BF252F9D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29-4860-9310-831BF252F9D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429-4860-9310-831BF252F9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429-4860-9310-831BF252F9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429-4860-9310-831BF252F9D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29-4860-9310-831BF252F9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429-4860-9310-831BF252F9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429-4860-9310-831BF252F9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29-4860-9310-831BF252F9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672352</xdr:colOff>
      <xdr:row>13</xdr:row>
      <xdr:rowOff>123264</xdr:rowOff>
    </xdr:from>
    <xdr:to>
      <xdr:col>55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298662</xdr:colOff>
      <xdr:row>49</xdr:row>
      <xdr:rowOff>66262</xdr:rowOff>
    </xdr:from>
    <xdr:to>
      <xdr:col>59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273326</xdr:colOff>
      <xdr:row>37</xdr:row>
      <xdr:rowOff>16565</xdr:rowOff>
    </xdr:from>
    <xdr:to>
      <xdr:col>58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627529</xdr:colOff>
      <xdr:row>65</xdr:row>
      <xdr:rowOff>123265</xdr:rowOff>
    </xdr:from>
    <xdr:to>
      <xdr:col>55</xdr:col>
      <xdr:colOff>302557</xdr:colOff>
      <xdr:row>80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50</xdr:row>
      <xdr:rowOff>66262</xdr:rowOff>
    </xdr:from>
    <xdr:to>
      <xdr:col>62</xdr:col>
      <xdr:colOff>130572</xdr:colOff>
      <xdr:row>64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66</xdr:row>
      <xdr:rowOff>123265</xdr:rowOff>
    </xdr:from>
    <xdr:to>
      <xdr:col>58</xdr:col>
      <xdr:colOff>302557</xdr:colOff>
      <xdr:row>83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80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4" displayName="Tableau14" ref="E2:AD70" totalsRowShown="0" headerRowDxfId="1354" dataDxfId="1353">
  <autoFilter ref="E2:AD70" xr:uid="{00000000-0009-0000-0100-000001000000}"/>
  <tableColumns count="26">
    <tableColumn id="1" xr3:uid="{00000000-0010-0000-0000-000001000000}" name="Matricule" dataDxfId="1352"/>
    <tableColumn id="2" xr3:uid="{00000000-0010-0000-0000-000002000000}" name="Nom" dataDxfId="1351"/>
    <tableColumn id="3" xr3:uid="{00000000-0010-0000-0000-000003000000}" name="Prénom" dataDxfId="1350"/>
    <tableColumn id="6" xr3:uid="{00000000-0010-0000-0000-000006000000}" name="Anniversaire" dataDxfId="1349"/>
    <tableColumn id="7" xr3:uid="{00000000-0010-0000-0000-000007000000}" name="Dernières visites médicale" dataDxfId="1348"/>
    <tableColumn id="8" xr3:uid="{00000000-0010-0000-0000-000008000000}" name="Prochaines visites médicale" dataDxfId="1347"/>
    <tableColumn id="9" xr3:uid="{00000000-0010-0000-0000-000009000000}" name="R.482 A (1)" dataDxfId="1346"/>
    <tableColumn id="10" xr3:uid="{00000000-0010-0000-0000-00000A000000}" name="R.482 B1 (2)" dataDxfId="1345"/>
    <tableColumn id="11" xr3:uid="{00000000-0010-0000-0000-00000B000000}" name="R.482 C2 (3)" dataDxfId="1344"/>
    <tableColumn id="12" xr3:uid="{00000000-0010-0000-0000-00000C000000}" name="R.482 C1 (4)" dataDxfId="1343"/>
    <tableColumn id="13" xr3:uid="{00000000-0010-0000-0000-00000D000000}" name="R.482 5" dataDxfId="1342"/>
    <tableColumn id="14" xr3:uid="{00000000-0010-0000-0000-00000E000000}" name="R.482 D (7)" dataDxfId="1341"/>
    <tableColumn id="15" xr3:uid="{00000000-0010-0000-0000-00000F000000}" name="R.482 E (8)" dataDxfId="1340"/>
    <tableColumn id="16" xr3:uid="{00000000-0010-0000-0000-000010000000}" name="R.482 F (9)" dataDxfId="1339"/>
    <tableColumn id="17" xr3:uid="{00000000-0010-0000-0000-000011000000}" name="R.482 G (10)" dataDxfId="1338"/>
    <tableColumn id="4" xr3:uid="{00000000-0010-0000-0000-000004000000}" name="Tondeuse FI" dataDxfId="1337"/>
    <tableColumn id="5" xr3:uid="{00000000-0010-0000-0000-000005000000}" name="Grue R.490" dataDxfId="1336"/>
    <tableColumn id="18" xr3:uid="{00000000-0010-0000-0000-000012000000}" name="B (Nacelle)" dataDxfId="1335"/>
    <tableColumn id="19" xr3:uid="{00000000-0010-0000-0000-000013000000}" name="Chariot R.489 / 3" dataDxfId="1334"/>
    <tableColumn id="20" xr3:uid="{00000000-0010-0000-0000-000014000000}" name="Tronço" dataDxfId="1333"/>
    <tableColumn id="21" xr3:uid="{00000000-0010-0000-0000-000015000000}" name="Permis BE - REMORQUE" dataDxfId="1332"/>
    <tableColumn id="22" xr3:uid="{00000000-0010-0000-0000-000016000000}" name="Permis PL" dataDxfId="1331"/>
    <tableColumn id="23" xr3:uid="{00000000-0010-0000-0000-000017000000}" name="Permis CE Sup Lourd" dataDxfId="1330"/>
    <tableColumn id="24" xr3:uid="{00000000-0010-0000-0000-000018000000}" name="FIMO" dataDxfId="1329"/>
    <tableColumn id="25" xr3:uid="{00000000-0010-0000-0000-000019000000}" name="AIPR" dataDxfId="1328"/>
    <tableColumn id="26" xr3:uid="{00000000-0010-0000-0000-00001A000000}" name="Premiers secours" dataDxfId="13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70"/>
  <sheetViews>
    <sheetView tabSelected="1" workbookViewId="0">
      <selection activeCell="F17" sqref="F17"/>
    </sheetView>
  </sheetViews>
  <sheetFormatPr baseColWidth="10" defaultColWidth="11.42578125" defaultRowHeight="15" x14ac:dyDescent="0.25"/>
  <cols>
    <col min="1" max="1" width="13" style="1" bestFit="1" customWidth="1"/>
    <col min="2" max="3" width="10.7109375" style="1" bestFit="1" customWidth="1"/>
    <col min="4" max="4" width="10.85546875" style="1" customWidth="1"/>
    <col min="5" max="5" width="36.85546875" style="1" bestFit="1" customWidth="1"/>
    <col min="6" max="6" width="16.85546875" style="1" customWidth="1"/>
    <col min="7" max="7" width="14.28515625" style="1" customWidth="1"/>
    <col min="8" max="8" width="17.7109375" style="1" bestFit="1" customWidth="1"/>
    <col min="9" max="9" width="30.140625" bestFit="1" customWidth="1"/>
    <col min="10" max="10" width="31.140625" bestFit="1" customWidth="1"/>
    <col min="11" max="11" width="15.7109375" bestFit="1" customWidth="1"/>
    <col min="12" max="14" width="16.5703125" bestFit="1" customWidth="1"/>
    <col min="15" max="15" width="12.5703125" bestFit="1" customWidth="1"/>
    <col min="16" max="16" width="15.7109375" bestFit="1" customWidth="1"/>
    <col min="17" max="18" width="15.42578125" bestFit="1" customWidth="1"/>
    <col min="19" max="19" width="16.85546875" bestFit="1" customWidth="1"/>
    <col min="20" max="20" width="17.140625" bestFit="1" customWidth="1"/>
    <col min="21" max="21" width="16" bestFit="1" customWidth="1"/>
    <col min="22" max="22" width="16.140625" bestFit="1" customWidth="1"/>
    <col min="23" max="23" width="20.7109375" bestFit="1" customWidth="1"/>
    <col min="24" max="24" width="12.42578125" bestFit="1" customWidth="1"/>
    <col min="25" max="25" width="27.42578125" bestFit="1" customWidth="1"/>
    <col min="26" max="26" width="15" bestFit="1" customWidth="1"/>
    <col min="27" max="27" width="25.5703125" bestFit="1" customWidth="1"/>
    <col min="28" max="28" width="11.28515625" bestFit="1" customWidth="1"/>
    <col min="29" max="29" width="10.5703125" bestFit="1" customWidth="1"/>
    <col min="30" max="30" width="21.7109375" bestFit="1" customWidth="1"/>
  </cols>
  <sheetData>
    <row r="2" spans="1:30" x14ac:dyDescent="0.25">
      <c r="A2" s="1" t="s">
        <v>0</v>
      </c>
      <c r="B2" s="3">
        <v>46023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222</v>
      </c>
      <c r="AB2" s="1" t="s">
        <v>23</v>
      </c>
      <c r="AC2" s="1" t="s">
        <v>24</v>
      </c>
      <c r="AD2" s="1" t="s">
        <v>25</v>
      </c>
    </row>
    <row r="3" spans="1:30" x14ac:dyDescent="0.25">
      <c r="A3" s="1" t="s">
        <v>26</v>
      </c>
      <c r="B3" s="3"/>
      <c r="E3" s="308" t="s">
        <v>27</v>
      </c>
      <c r="F3" s="308" t="s">
        <v>28</v>
      </c>
      <c r="G3" s="306" t="s">
        <v>29</v>
      </c>
      <c r="H3" s="307"/>
      <c r="I3" s="309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</row>
    <row r="4" spans="1:30" x14ac:dyDescent="0.25">
      <c r="B4" s="1" t="s">
        <v>30</v>
      </c>
      <c r="C4" s="1" t="s">
        <v>31</v>
      </c>
      <c r="E4" s="310" t="s">
        <v>32</v>
      </c>
      <c r="F4" s="310" t="s">
        <v>33</v>
      </c>
      <c r="G4" s="306" t="s">
        <v>34</v>
      </c>
      <c r="H4" s="307"/>
      <c r="I4" s="309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</row>
    <row r="5" spans="1:30" x14ac:dyDescent="0.25">
      <c r="A5" s="1" t="s">
        <v>35</v>
      </c>
      <c r="B5" s="3">
        <f>B2</f>
        <v>46023</v>
      </c>
      <c r="C5" s="3">
        <f t="shared" ref="C5:C18" si="0">EOMONTH(B5,0)</f>
        <v>46053</v>
      </c>
      <c r="E5" s="310" t="s">
        <v>36</v>
      </c>
      <c r="F5" s="310" t="s">
        <v>37</v>
      </c>
      <c r="G5" s="306" t="s">
        <v>38</v>
      </c>
      <c r="H5" s="307"/>
      <c r="I5" s="309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</row>
    <row r="6" spans="1:30" x14ac:dyDescent="0.25">
      <c r="A6" s="1" t="s">
        <v>39</v>
      </c>
      <c r="B6" s="3">
        <f t="shared" ref="B6:B18" si="1">EDATE(B5,1)</f>
        <v>46054</v>
      </c>
      <c r="C6" s="3">
        <f t="shared" si="0"/>
        <v>46081</v>
      </c>
      <c r="E6" s="310" t="s">
        <v>40</v>
      </c>
      <c r="F6" s="310" t="s">
        <v>41</v>
      </c>
      <c r="G6" s="306" t="s">
        <v>42</v>
      </c>
      <c r="H6" s="307"/>
      <c r="I6" s="309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85"/>
    </row>
    <row r="7" spans="1:30" x14ac:dyDescent="0.25">
      <c r="A7" s="1" t="s">
        <v>43</v>
      </c>
      <c r="B7" s="3">
        <f t="shared" si="1"/>
        <v>46082</v>
      </c>
      <c r="C7" s="3">
        <f t="shared" si="0"/>
        <v>46112</v>
      </c>
      <c r="E7" s="310" t="s">
        <v>44</v>
      </c>
      <c r="F7" s="310" t="s">
        <v>45</v>
      </c>
      <c r="G7" s="306" t="s">
        <v>46</v>
      </c>
      <c r="H7" s="307"/>
      <c r="I7" s="311">
        <v>45413</v>
      </c>
      <c r="J7" s="286">
        <v>46143</v>
      </c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</row>
    <row r="8" spans="1:30" x14ac:dyDescent="0.25">
      <c r="A8" s="1" t="s">
        <v>47</v>
      </c>
      <c r="B8" s="3">
        <f t="shared" si="1"/>
        <v>46113</v>
      </c>
      <c r="C8" s="3">
        <f t="shared" si="0"/>
        <v>46142</v>
      </c>
      <c r="E8" s="310" t="s">
        <v>48</v>
      </c>
      <c r="F8" s="310" t="s">
        <v>49</v>
      </c>
      <c r="G8" s="306" t="s">
        <v>50</v>
      </c>
      <c r="H8" s="307">
        <v>30758</v>
      </c>
      <c r="I8" s="311">
        <v>45627</v>
      </c>
      <c r="J8" s="286">
        <v>46357</v>
      </c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5"/>
      <c r="AB8" s="285"/>
      <c r="AC8" s="285"/>
      <c r="AD8" s="285"/>
    </row>
    <row r="9" spans="1:30" x14ac:dyDescent="0.25">
      <c r="A9" s="1" t="s">
        <v>51</v>
      </c>
      <c r="B9" s="3">
        <f t="shared" si="1"/>
        <v>46143</v>
      </c>
      <c r="C9" s="3">
        <f t="shared" si="0"/>
        <v>46173</v>
      </c>
      <c r="E9" s="310" t="s">
        <v>52</v>
      </c>
      <c r="F9" s="310" t="s">
        <v>53</v>
      </c>
      <c r="G9" s="306" t="s">
        <v>54</v>
      </c>
      <c r="H9" s="307"/>
      <c r="I9" s="311">
        <v>45413</v>
      </c>
      <c r="J9" s="286">
        <v>46143</v>
      </c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5"/>
      <c r="AB9" s="285"/>
      <c r="AC9" s="285"/>
      <c r="AD9" s="285"/>
    </row>
    <row r="10" spans="1:30" x14ac:dyDescent="0.25">
      <c r="A10" s="1" t="s">
        <v>55</v>
      </c>
      <c r="B10" s="3">
        <f t="shared" si="1"/>
        <v>46174</v>
      </c>
      <c r="C10" s="3">
        <f t="shared" si="0"/>
        <v>46203</v>
      </c>
      <c r="E10" s="310" t="s">
        <v>56</v>
      </c>
      <c r="F10" s="310" t="s">
        <v>57</v>
      </c>
      <c r="G10" s="306" t="s">
        <v>58</v>
      </c>
      <c r="H10" s="307"/>
      <c r="I10" s="309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</row>
    <row r="11" spans="1:30" x14ac:dyDescent="0.25">
      <c r="A11" s="1" t="s">
        <v>59</v>
      </c>
      <c r="B11" s="3">
        <f t="shared" si="1"/>
        <v>46204</v>
      </c>
      <c r="C11" s="3">
        <f t="shared" si="0"/>
        <v>46234</v>
      </c>
      <c r="E11" s="310" t="s">
        <v>60</v>
      </c>
      <c r="F11" s="310" t="s">
        <v>61</v>
      </c>
      <c r="G11" s="306" t="s">
        <v>62</v>
      </c>
      <c r="H11" s="307"/>
      <c r="I11" s="311">
        <v>45383</v>
      </c>
      <c r="J11" s="286">
        <v>46113</v>
      </c>
      <c r="K11" s="286">
        <v>47178</v>
      </c>
      <c r="L11" s="285"/>
      <c r="M11" s="285"/>
      <c r="N11" s="286">
        <v>47178</v>
      </c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</row>
    <row r="12" spans="1:30" x14ac:dyDescent="0.25">
      <c r="A12" s="1" t="s">
        <v>63</v>
      </c>
      <c r="B12" s="3">
        <f t="shared" si="1"/>
        <v>46235</v>
      </c>
      <c r="C12" s="3">
        <f t="shared" si="0"/>
        <v>46265</v>
      </c>
      <c r="E12" s="310" t="s">
        <v>64</v>
      </c>
      <c r="F12" s="310" t="s">
        <v>65</v>
      </c>
      <c r="G12" s="306" t="s">
        <v>66</v>
      </c>
      <c r="H12" s="307"/>
      <c r="I12" s="309"/>
      <c r="J12" s="43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</row>
    <row r="13" spans="1:30" x14ac:dyDescent="0.25">
      <c r="A13" s="1" t="s">
        <v>67</v>
      </c>
      <c r="B13" s="3">
        <f t="shared" si="1"/>
        <v>46266</v>
      </c>
      <c r="C13" s="3">
        <f t="shared" si="0"/>
        <v>46295</v>
      </c>
      <c r="E13" s="312" t="s">
        <v>68</v>
      </c>
      <c r="F13" s="312"/>
      <c r="G13" s="313"/>
      <c r="H13" s="313"/>
      <c r="I13" s="313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</row>
    <row r="14" spans="1:30" x14ac:dyDescent="0.25">
      <c r="A14" s="1" t="s">
        <v>69</v>
      </c>
      <c r="B14" s="3">
        <f t="shared" si="1"/>
        <v>46296</v>
      </c>
      <c r="C14" s="3">
        <f t="shared" si="0"/>
        <v>46326</v>
      </c>
      <c r="E14" s="314" t="s">
        <v>70</v>
      </c>
      <c r="F14" s="314"/>
      <c r="G14" s="315"/>
      <c r="H14" s="315"/>
      <c r="I14" s="315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</row>
    <row r="15" spans="1:30" x14ac:dyDescent="0.25">
      <c r="A15" s="1" t="s">
        <v>71</v>
      </c>
      <c r="B15" s="3">
        <f t="shared" si="1"/>
        <v>46327</v>
      </c>
      <c r="C15" s="3">
        <f t="shared" si="0"/>
        <v>46356</v>
      </c>
      <c r="E15" s="310" t="s">
        <v>72</v>
      </c>
      <c r="F15" s="310" t="s">
        <v>73</v>
      </c>
      <c r="G15" s="306" t="s">
        <v>74</v>
      </c>
      <c r="H15" s="307"/>
      <c r="I15" s="309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</row>
    <row r="16" spans="1:30" x14ac:dyDescent="0.25">
      <c r="A16" s="1" t="s">
        <v>75</v>
      </c>
      <c r="B16" s="3">
        <f t="shared" si="1"/>
        <v>46357</v>
      </c>
      <c r="C16" s="3">
        <f t="shared" si="0"/>
        <v>46387</v>
      </c>
      <c r="E16" s="310" t="s">
        <v>76</v>
      </c>
      <c r="F16" s="310" t="s">
        <v>77</v>
      </c>
      <c r="G16" s="306" t="s">
        <v>78</v>
      </c>
      <c r="H16" s="307"/>
      <c r="I16" s="309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</row>
    <row r="17" spans="1:30" x14ac:dyDescent="0.25">
      <c r="A17" s="1" t="s">
        <v>35</v>
      </c>
      <c r="B17" s="3">
        <f t="shared" si="1"/>
        <v>46388</v>
      </c>
      <c r="C17" s="3">
        <f t="shared" si="0"/>
        <v>46418</v>
      </c>
      <c r="D17" s="2"/>
      <c r="E17" s="310" t="s">
        <v>79</v>
      </c>
      <c r="F17" s="310"/>
      <c r="G17" s="306"/>
      <c r="H17" s="307"/>
      <c r="I17" s="309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</row>
    <row r="18" spans="1:30" x14ac:dyDescent="0.25">
      <c r="A18" s="1" t="s">
        <v>39</v>
      </c>
      <c r="B18" s="3">
        <f t="shared" si="1"/>
        <v>46419</v>
      </c>
      <c r="C18" s="3">
        <f t="shared" si="0"/>
        <v>46446</v>
      </c>
      <c r="E18" s="310" t="s">
        <v>80</v>
      </c>
      <c r="F18" s="310" t="s">
        <v>81</v>
      </c>
      <c r="G18" s="306" t="s">
        <v>82</v>
      </c>
      <c r="H18" s="307"/>
      <c r="I18" s="309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</row>
    <row r="19" spans="1:30" x14ac:dyDescent="0.25">
      <c r="E19" s="310" t="s">
        <v>83</v>
      </c>
      <c r="F19" s="310" t="s">
        <v>84</v>
      </c>
      <c r="G19" s="306" t="s">
        <v>85</v>
      </c>
      <c r="H19" s="307"/>
      <c r="I19" s="309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</row>
    <row r="20" spans="1:30" s="1" customFormat="1" x14ac:dyDescent="0.25">
      <c r="E20" s="310" t="s">
        <v>86</v>
      </c>
      <c r="F20" s="310" t="s">
        <v>87</v>
      </c>
      <c r="G20" s="306" t="s">
        <v>88</v>
      </c>
      <c r="H20" s="307"/>
      <c r="I20" s="306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spans="1:30" x14ac:dyDescent="0.25">
      <c r="E21" s="310" t="s">
        <v>89</v>
      </c>
      <c r="F21" s="310" t="s">
        <v>90</v>
      </c>
      <c r="G21" s="306" t="s">
        <v>91</v>
      </c>
      <c r="H21" s="307"/>
      <c r="I21" s="309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</row>
    <row r="22" spans="1:30" x14ac:dyDescent="0.25">
      <c r="E22" s="316" t="s">
        <v>92</v>
      </c>
      <c r="F22" s="317"/>
      <c r="G22" s="317"/>
      <c r="H22" s="317"/>
      <c r="I22" s="3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</row>
    <row r="23" spans="1:30" x14ac:dyDescent="0.25">
      <c r="E23" s="310" t="s">
        <v>93</v>
      </c>
      <c r="F23" s="310" t="s">
        <v>94</v>
      </c>
      <c r="G23" s="306" t="s">
        <v>95</v>
      </c>
      <c r="H23" s="307"/>
      <c r="I23" s="309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</row>
    <row r="24" spans="1:30" x14ac:dyDescent="0.25">
      <c r="E24" s="310" t="s">
        <v>96</v>
      </c>
      <c r="F24" s="310" t="s">
        <v>97</v>
      </c>
      <c r="G24" s="306" t="s">
        <v>98</v>
      </c>
      <c r="H24" s="307"/>
      <c r="I24" s="309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</row>
    <row r="25" spans="1:30" x14ac:dyDescent="0.25">
      <c r="E25" s="310" t="s">
        <v>99</v>
      </c>
      <c r="F25" s="310" t="s">
        <v>100</v>
      </c>
      <c r="G25" s="306" t="s">
        <v>101</v>
      </c>
      <c r="H25" s="307"/>
      <c r="I25" s="309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</row>
    <row r="26" spans="1:30" x14ac:dyDescent="0.25">
      <c r="E26" s="310" t="s">
        <v>102</v>
      </c>
      <c r="F26" s="310" t="s">
        <v>103</v>
      </c>
      <c r="G26" s="306" t="s">
        <v>104</v>
      </c>
      <c r="H26" s="307"/>
      <c r="I26" s="309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</row>
    <row r="27" spans="1:30" x14ac:dyDescent="0.25">
      <c r="E27" s="310" t="s">
        <v>105</v>
      </c>
      <c r="F27" s="310" t="s">
        <v>106</v>
      </c>
      <c r="G27" s="306" t="s">
        <v>107</v>
      </c>
      <c r="H27" s="307"/>
      <c r="I27" s="309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</row>
    <row r="28" spans="1:30" x14ac:dyDescent="0.25">
      <c r="E28" s="310" t="s">
        <v>108</v>
      </c>
      <c r="F28" s="310" t="s">
        <v>109</v>
      </c>
      <c r="G28" s="306" t="s">
        <v>110</v>
      </c>
      <c r="H28" s="307"/>
      <c r="I28" s="309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</row>
    <row r="29" spans="1:30" x14ac:dyDescent="0.25">
      <c r="E29" s="318" t="s">
        <v>111</v>
      </c>
      <c r="F29" s="318"/>
      <c r="G29" s="319"/>
      <c r="H29" s="319"/>
      <c r="I29" s="319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</row>
    <row r="30" spans="1:30" x14ac:dyDescent="0.25">
      <c r="E30" s="320" t="s">
        <v>112</v>
      </c>
      <c r="F30" s="321"/>
      <c r="G30" s="322"/>
      <c r="H30" s="322"/>
      <c r="I30" s="322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</row>
    <row r="31" spans="1:30" x14ac:dyDescent="0.25">
      <c r="E31" s="308" t="s">
        <v>113</v>
      </c>
      <c r="F31" s="308" t="s">
        <v>114</v>
      </c>
      <c r="G31" s="323" t="s">
        <v>115</v>
      </c>
      <c r="H31" s="307"/>
      <c r="I31" s="311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</row>
    <row r="32" spans="1:30" x14ac:dyDescent="0.25">
      <c r="E32" s="310" t="s">
        <v>116</v>
      </c>
      <c r="F32" s="310" t="s">
        <v>117</v>
      </c>
      <c r="G32" s="306" t="s">
        <v>118</v>
      </c>
      <c r="H32" s="307"/>
      <c r="I32" s="311">
        <v>45536</v>
      </c>
      <c r="J32" s="286">
        <v>46266</v>
      </c>
      <c r="K32" s="286">
        <v>11780</v>
      </c>
      <c r="L32" s="286"/>
      <c r="M32" s="286"/>
      <c r="N32" s="286">
        <v>11232</v>
      </c>
      <c r="O32" s="286"/>
      <c r="P32" s="286"/>
      <c r="Q32" s="286"/>
      <c r="R32" s="286"/>
      <c r="S32" s="286"/>
      <c r="T32" s="286"/>
      <c r="U32" s="286"/>
      <c r="V32" s="286"/>
      <c r="W32" s="286">
        <v>46661</v>
      </c>
      <c r="X32" s="286" t="s">
        <v>119</v>
      </c>
      <c r="Y32" s="286" t="s">
        <v>119</v>
      </c>
      <c r="Z32" s="286">
        <v>46447</v>
      </c>
      <c r="AA32" s="286"/>
      <c r="AB32" s="286"/>
      <c r="AC32" s="286">
        <v>46478</v>
      </c>
      <c r="AD32" s="286"/>
    </row>
    <row r="33" spans="5:30" x14ac:dyDescent="0.25">
      <c r="E33" s="308" t="s">
        <v>120</v>
      </c>
      <c r="F33" s="308" t="s">
        <v>121</v>
      </c>
      <c r="G33" s="323" t="s">
        <v>122</v>
      </c>
      <c r="H33" s="307"/>
      <c r="I33" s="311">
        <v>45413</v>
      </c>
      <c r="J33" s="286">
        <v>46143</v>
      </c>
      <c r="K33" s="286">
        <v>46905</v>
      </c>
      <c r="L33" s="286"/>
      <c r="M33" s="286"/>
      <c r="N33" s="286">
        <v>12663</v>
      </c>
      <c r="O33" s="286"/>
      <c r="P33" s="286"/>
      <c r="Q33" s="286">
        <v>46722</v>
      </c>
      <c r="R33" s="286">
        <v>12663</v>
      </c>
      <c r="S33" s="286"/>
      <c r="T33" s="286"/>
      <c r="U33" s="286">
        <v>11018</v>
      </c>
      <c r="V33" s="286"/>
      <c r="W33" s="286"/>
      <c r="X33" s="286" t="s">
        <v>119</v>
      </c>
      <c r="Y33" s="286" t="s">
        <v>119</v>
      </c>
      <c r="Z33" s="286">
        <v>46082</v>
      </c>
      <c r="AA33" s="286">
        <v>46082</v>
      </c>
      <c r="AB33" s="286">
        <v>46813</v>
      </c>
      <c r="AC33" s="286">
        <v>46419</v>
      </c>
      <c r="AD33" s="286"/>
    </row>
    <row r="34" spans="5:30" x14ac:dyDescent="0.25">
      <c r="E34" s="310" t="s">
        <v>123</v>
      </c>
      <c r="F34" s="310" t="s">
        <v>124</v>
      </c>
      <c r="G34" s="306" t="s">
        <v>125</v>
      </c>
      <c r="H34" s="307"/>
      <c r="I34" s="311">
        <v>45383</v>
      </c>
      <c r="J34" s="286">
        <v>46113</v>
      </c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 t="s">
        <v>126</v>
      </c>
      <c r="Y34" s="286"/>
      <c r="Z34" s="286"/>
      <c r="AA34" s="286"/>
      <c r="AB34" s="286"/>
      <c r="AC34" s="286"/>
      <c r="AD34" s="286"/>
    </row>
    <row r="35" spans="5:30" x14ac:dyDescent="0.25">
      <c r="E35" s="310" t="s">
        <v>127</v>
      </c>
      <c r="F35" s="310" t="s">
        <v>128</v>
      </c>
      <c r="G35" s="306" t="s">
        <v>129</v>
      </c>
      <c r="H35" s="307"/>
      <c r="I35" s="311">
        <v>45778</v>
      </c>
      <c r="J35" s="286">
        <v>46508</v>
      </c>
      <c r="K35" s="286">
        <v>47209</v>
      </c>
      <c r="L35" s="286"/>
      <c r="M35" s="286"/>
      <c r="N35" s="286">
        <v>47209</v>
      </c>
      <c r="O35" s="286"/>
      <c r="P35" s="286"/>
      <c r="Q35" s="286"/>
      <c r="R35" s="286">
        <v>47209</v>
      </c>
      <c r="S35" s="286"/>
      <c r="T35" s="286"/>
      <c r="U35" s="286"/>
      <c r="V35" s="286"/>
      <c r="W35" s="286"/>
      <c r="X35" s="286" t="s">
        <v>119</v>
      </c>
      <c r="Y35" s="286" t="s">
        <v>119</v>
      </c>
      <c r="Z35" s="286">
        <v>10959</v>
      </c>
      <c r="AA35" s="286">
        <v>10959</v>
      </c>
      <c r="AB35" s="286"/>
      <c r="AC35" s="286"/>
      <c r="AD35" s="286"/>
    </row>
    <row r="36" spans="5:30" x14ac:dyDescent="0.25">
      <c r="E36" s="310" t="s">
        <v>130</v>
      </c>
      <c r="F36" s="310" t="s">
        <v>131</v>
      </c>
      <c r="G36" s="306" t="s">
        <v>132</v>
      </c>
      <c r="H36" s="307"/>
      <c r="I36" s="311">
        <v>45383</v>
      </c>
      <c r="J36" s="286">
        <v>46113</v>
      </c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</row>
    <row r="37" spans="5:30" x14ac:dyDescent="0.25">
      <c r="E37" s="310" t="s">
        <v>133</v>
      </c>
      <c r="F37" s="310" t="s">
        <v>134</v>
      </c>
      <c r="G37" s="306" t="s">
        <v>135</v>
      </c>
      <c r="H37" s="307"/>
      <c r="I37" s="311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286"/>
    </row>
    <row r="38" spans="5:30" x14ac:dyDescent="0.25">
      <c r="E38" s="310" t="s">
        <v>136</v>
      </c>
      <c r="F38" s="310" t="s">
        <v>137</v>
      </c>
      <c r="G38" s="306" t="s">
        <v>138</v>
      </c>
      <c r="H38" s="307"/>
      <c r="I38" s="311">
        <v>44927</v>
      </c>
      <c r="J38" s="286">
        <v>45658</v>
      </c>
      <c r="K38" s="286"/>
      <c r="L38" s="286"/>
      <c r="M38" s="286"/>
      <c r="N38" s="286">
        <v>12086</v>
      </c>
      <c r="O38" s="286"/>
      <c r="P38" s="286"/>
      <c r="Q38" s="286"/>
      <c r="R38" s="286">
        <v>45931</v>
      </c>
      <c r="S38" s="286"/>
      <c r="T38" s="286"/>
      <c r="U38" s="286"/>
      <c r="V38" s="286"/>
      <c r="W38" s="286"/>
      <c r="X38" s="286" t="s">
        <v>119</v>
      </c>
      <c r="Y38" s="286"/>
      <c r="Z38" s="286"/>
      <c r="AA38" s="286"/>
      <c r="AB38" s="286"/>
      <c r="AC38" s="286"/>
      <c r="AD38" s="286"/>
    </row>
    <row r="39" spans="5:30" x14ac:dyDescent="0.25">
      <c r="E39" s="310" t="s">
        <v>139</v>
      </c>
      <c r="F39" s="310" t="s">
        <v>140</v>
      </c>
      <c r="G39" s="306" t="s">
        <v>141</v>
      </c>
      <c r="H39" s="307"/>
      <c r="I39" s="311">
        <v>45778</v>
      </c>
      <c r="J39" s="286">
        <v>46508</v>
      </c>
      <c r="K39" s="286">
        <v>47150</v>
      </c>
      <c r="L39" s="286"/>
      <c r="M39" s="286"/>
      <c r="N39" s="286">
        <v>47150</v>
      </c>
      <c r="O39" s="286"/>
      <c r="P39" s="286"/>
      <c r="Q39" s="286"/>
      <c r="R39" s="286">
        <v>11049</v>
      </c>
      <c r="S39" s="286"/>
      <c r="T39" s="286"/>
      <c r="U39" s="286"/>
      <c r="V39" s="286"/>
      <c r="W39" s="286"/>
      <c r="X39" s="286" t="s">
        <v>119</v>
      </c>
      <c r="Y39" s="286"/>
      <c r="Z39" s="286"/>
      <c r="AA39" s="286"/>
      <c r="AB39" s="286"/>
      <c r="AC39" s="286">
        <v>11110</v>
      </c>
      <c r="AD39" s="286"/>
    </row>
    <row r="40" spans="5:30" x14ac:dyDescent="0.25">
      <c r="E40" s="324" t="s">
        <v>142</v>
      </c>
      <c r="F40" s="324" t="s">
        <v>143</v>
      </c>
      <c r="G40" s="306" t="s">
        <v>66</v>
      </c>
      <c r="H40" s="307"/>
      <c r="I40" s="311">
        <v>45383</v>
      </c>
      <c r="J40" s="286">
        <v>46113</v>
      </c>
      <c r="K40" s="286">
        <v>47119</v>
      </c>
      <c r="L40" s="286"/>
      <c r="M40" s="286"/>
      <c r="N40" s="286"/>
      <c r="O40" s="286"/>
      <c r="P40" s="286"/>
      <c r="Q40" s="286"/>
      <c r="R40" s="286">
        <v>11018</v>
      </c>
      <c r="S40" s="286"/>
      <c r="T40" s="286"/>
      <c r="U40" s="286"/>
      <c r="V40" s="286"/>
      <c r="W40" s="286"/>
      <c r="X40" s="286" t="s">
        <v>119</v>
      </c>
      <c r="Y40" s="286"/>
      <c r="Z40" s="286"/>
      <c r="AA40" s="286"/>
      <c r="AB40" s="286"/>
      <c r="AC40" s="286"/>
      <c r="AD40" s="286"/>
    </row>
    <row r="41" spans="5:30" x14ac:dyDescent="0.25">
      <c r="E41" s="310" t="s">
        <v>144</v>
      </c>
      <c r="F41" s="310" t="s">
        <v>145</v>
      </c>
      <c r="G41" s="306" t="s">
        <v>146</v>
      </c>
      <c r="H41" s="307"/>
      <c r="I41" s="311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</row>
    <row r="42" spans="5:30" x14ac:dyDescent="0.25">
      <c r="E42" s="325"/>
      <c r="F42" s="325"/>
      <c r="G42" s="326"/>
      <c r="H42" s="307"/>
      <c r="I42" s="311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</row>
    <row r="43" spans="5:30" x14ac:dyDescent="0.25">
      <c r="E43" s="310" t="s">
        <v>147</v>
      </c>
      <c r="F43" s="308"/>
      <c r="G43" s="306"/>
      <c r="H43" s="307"/>
      <c r="I43" s="311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</row>
    <row r="44" spans="5:30" x14ac:dyDescent="0.25">
      <c r="E44" s="310" t="s">
        <v>148</v>
      </c>
      <c r="F44" s="310" t="s">
        <v>149</v>
      </c>
      <c r="G44" s="306" t="s">
        <v>150</v>
      </c>
      <c r="H44" s="307"/>
      <c r="I44" s="311">
        <v>45383</v>
      </c>
      <c r="J44" s="286">
        <v>46113</v>
      </c>
      <c r="K44" s="286">
        <v>11597</v>
      </c>
      <c r="L44" s="286"/>
      <c r="M44" s="286"/>
      <c r="N44" s="286">
        <v>11597</v>
      </c>
      <c r="O44" s="286"/>
      <c r="P44" s="286"/>
      <c r="Q44" s="286"/>
      <c r="R44" s="286">
        <v>11597</v>
      </c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</row>
    <row r="45" spans="5:30" x14ac:dyDescent="0.25">
      <c r="E45" s="310" t="s">
        <v>151</v>
      </c>
      <c r="F45" s="308" t="s">
        <v>152</v>
      </c>
      <c r="G45" s="306" t="s">
        <v>153</v>
      </c>
      <c r="H45" s="307"/>
      <c r="I45" s="311">
        <v>45413</v>
      </c>
      <c r="J45" s="286">
        <v>46143</v>
      </c>
      <c r="K45" s="286">
        <v>12086</v>
      </c>
      <c r="L45" s="286"/>
      <c r="M45" s="286"/>
      <c r="N45" s="286">
        <v>12571</v>
      </c>
      <c r="O45" s="286"/>
      <c r="P45" s="286"/>
      <c r="Q45" s="286"/>
      <c r="R45" s="286">
        <v>12571</v>
      </c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>
        <v>47270</v>
      </c>
      <c r="AD45" s="286"/>
    </row>
    <row r="46" spans="5:30" x14ac:dyDescent="0.25">
      <c r="E46" s="327" t="s">
        <v>154</v>
      </c>
      <c r="F46" s="328" t="s">
        <v>155</v>
      </c>
      <c r="G46" s="329" t="s">
        <v>156</v>
      </c>
      <c r="H46" s="307"/>
      <c r="I46" s="311">
        <v>45778</v>
      </c>
      <c r="J46" s="286">
        <v>46508</v>
      </c>
      <c r="K46" s="286">
        <v>47150</v>
      </c>
      <c r="L46" s="286"/>
      <c r="M46" s="286"/>
      <c r="N46" s="286">
        <v>47150</v>
      </c>
      <c r="O46" s="286"/>
      <c r="P46" s="286"/>
      <c r="Q46" s="286"/>
      <c r="R46" s="286">
        <v>46905</v>
      </c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</row>
    <row r="47" spans="5:30" x14ac:dyDescent="0.25">
      <c r="E47" s="310" t="s">
        <v>157</v>
      </c>
      <c r="F47" s="310" t="s">
        <v>158</v>
      </c>
      <c r="G47" s="306" t="s">
        <v>159</v>
      </c>
      <c r="H47" s="307"/>
      <c r="I47" s="311">
        <v>45383</v>
      </c>
      <c r="J47" s="286">
        <v>46113</v>
      </c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</row>
    <row r="48" spans="5:30" x14ac:dyDescent="0.25">
      <c r="E48" s="310" t="s">
        <v>160</v>
      </c>
      <c r="F48" s="310" t="s">
        <v>161</v>
      </c>
      <c r="G48" s="306" t="s">
        <v>162</v>
      </c>
      <c r="H48" s="307"/>
      <c r="I48" s="311">
        <v>45383</v>
      </c>
      <c r="J48" s="286">
        <v>46113</v>
      </c>
      <c r="K48" s="286">
        <v>46813</v>
      </c>
      <c r="L48" s="286"/>
      <c r="M48" s="286"/>
      <c r="N48" s="286">
        <v>11383</v>
      </c>
      <c r="O48" s="286"/>
      <c r="P48" s="286">
        <v>46174</v>
      </c>
      <c r="Q48" s="286"/>
      <c r="R48" s="286">
        <v>12540</v>
      </c>
      <c r="S48" s="286"/>
      <c r="T48" s="286"/>
      <c r="U48" s="286"/>
      <c r="V48" s="286"/>
      <c r="W48" s="286">
        <v>11049</v>
      </c>
      <c r="X48" s="286" t="s">
        <v>119</v>
      </c>
      <c r="Y48" s="286"/>
      <c r="Z48" s="286"/>
      <c r="AA48" s="286"/>
      <c r="AB48" s="286"/>
      <c r="AC48" s="286">
        <v>47239</v>
      </c>
      <c r="AD48" s="286"/>
    </row>
    <row r="49" spans="5:30" x14ac:dyDescent="0.25">
      <c r="E49" s="308" t="s">
        <v>163</v>
      </c>
      <c r="F49" s="308" t="s">
        <v>164</v>
      </c>
      <c r="G49" s="323" t="s">
        <v>165</v>
      </c>
      <c r="H49" s="307"/>
      <c r="I49" s="311">
        <v>45383</v>
      </c>
      <c r="J49" s="286">
        <v>46113</v>
      </c>
      <c r="K49" s="286">
        <v>12571</v>
      </c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>
        <v>46905</v>
      </c>
      <c r="AA49" s="286"/>
      <c r="AB49" s="286"/>
      <c r="AC49" s="286">
        <v>11110</v>
      </c>
      <c r="AD49" s="286"/>
    </row>
    <row r="50" spans="5:30" x14ac:dyDescent="0.25">
      <c r="E50" s="308" t="s">
        <v>166</v>
      </c>
      <c r="F50" s="308" t="s">
        <v>167</v>
      </c>
      <c r="G50" s="323" t="s">
        <v>66</v>
      </c>
      <c r="H50" s="307"/>
      <c r="I50" s="311">
        <v>45383</v>
      </c>
      <c r="J50" s="286">
        <v>46113</v>
      </c>
      <c r="K50" s="286">
        <v>11689</v>
      </c>
      <c r="L50" s="286"/>
      <c r="M50" s="286"/>
      <c r="N50" s="286">
        <v>11689</v>
      </c>
      <c r="O50" s="286"/>
      <c r="P50" s="286"/>
      <c r="Q50" s="286">
        <v>46631</v>
      </c>
      <c r="R50" s="286">
        <v>45444</v>
      </c>
      <c r="S50" s="286"/>
      <c r="T50" s="286"/>
      <c r="U50" s="286"/>
      <c r="V50" s="286"/>
      <c r="W50" s="286"/>
      <c r="X50" s="286" t="s">
        <v>119</v>
      </c>
      <c r="Y50" s="286" t="s">
        <v>119</v>
      </c>
      <c r="Z50" s="286">
        <v>11018</v>
      </c>
      <c r="AA50" s="286"/>
      <c r="AB50" s="286"/>
      <c r="AC50" s="286">
        <v>46388</v>
      </c>
      <c r="AD50" s="286"/>
    </row>
    <row r="51" spans="5:30" x14ac:dyDescent="0.25">
      <c r="E51" s="328" t="s">
        <v>168</v>
      </c>
      <c r="F51" s="310" t="s">
        <v>169</v>
      </c>
      <c r="G51" s="306" t="s">
        <v>170</v>
      </c>
      <c r="H51" s="307"/>
      <c r="I51" s="311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  <c r="AD51" s="286"/>
    </row>
    <row r="52" spans="5:30" x14ac:dyDescent="0.25">
      <c r="E52" s="324" t="s">
        <v>171</v>
      </c>
      <c r="F52" s="308" t="s">
        <v>172</v>
      </c>
      <c r="G52" s="323" t="s">
        <v>173</v>
      </c>
      <c r="H52" s="307"/>
      <c r="I52" s="311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6"/>
    </row>
    <row r="53" spans="5:30" x14ac:dyDescent="0.25">
      <c r="E53" s="310" t="s">
        <v>174</v>
      </c>
      <c r="F53" s="310" t="s">
        <v>175</v>
      </c>
      <c r="G53" s="306" t="s">
        <v>176</v>
      </c>
      <c r="H53" s="307"/>
      <c r="I53" s="311">
        <v>45474</v>
      </c>
      <c r="J53" s="286">
        <v>46204</v>
      </c>
      <c r="K53" s="286">
        <v>12663</v>
      </c>
      <c r="L53" s="286"/>
      <c r="M53" s="286"/>
      <c r="N53" s="286">
        <v>11567</v>
      </c>
      <c r="O53" s="286"/>
      <c r="P53" s="286"/>
      <c r="Q53" s="286">
        <v>12663</v>
      </c>
      <c r="R53" s="286"/>
      <c r="S53" s="286"/>
      <c r="T53" s="286"/>
      <c r="U53" s="286"/>
      <c r="V53" s="286"/>
      <c r="W53" s="286">
        <v>11049</v>
      </c>
      <c r="X53" s="286"/>
      <c r="Y53" s="286"/>
      <c r="Z53" s="286">
        <v>46692</v>
      </c>
      <c r="AA53" s="286"/>
      <c r="AB53" s="286"/>
      <c r="AC53" s="286">
        <v>47362</v>
      </c>
      <c r="AD53" s="286"/>
    </row>
    <row r="54" spans="5:30" x14ac:dyDescent="0.25">
      <c r="E54" s="310" t="s">
        <v>177</v>
      </c>
      <c r="F54" s="310" t="s">
        <v>178</v>
      </c>
      <c r="G54" s="306" t="s">
        <v>118</v>
      </c>
      <c r="H54" s="307"/>
      <c r="I54" s="311">
        <v>45383</v>
      </c>
      <c r="J54" s="286">
        <v>46113</v>
      </c>
      <c r="K54" s="286"/>
      <c r="L54" s="286"/>
      <c r="M54" s="286"/>
      <c r="N54" s="286">
        <v>11475</v>
      </c>
      <c r="O54" s="286"/>
      <c r="P54" s="286"/>
      <c r="Q54" s="286"/>
      <c r="R54" s="286">
        <v>11475</v>
      </c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>
        <v>47270</v>
      </c>
      <c r="AD54" s="286"/>
    </row>
    <row r="55" spans="5:30" x14ac:dyDescent="0.25">
      <c r="E55" s="330"/>
      <c r="F55" s="330"/>
      <c r="G55" s="331"/>
      <c r="H55" s="307"/>
      <c r="I55" s="311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</row>
    <row r="56" spans="5:30" x14ac:dyDescent="0.25">
      <c r="E56" s="310" t="s">
        <v>179</v>
      </c>
      <c r="F56" s="310"/>
      <c r="G56" s="306"/>
      <c r="H56" s="307"/>
      <c r="I56" s="311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</row>
    <row r="57" spans="5:30" x14ac:dyDescent="0.25">
      <c r="E57" s="308" t="s">
        <v>180</v>
      </c>
      <c r="F57" s="308" t="s">
        <v>181</v>
      </c>
      <c r="G57" s="323" t="s">
        <v>85</v>
      </c>
      <c r="H57" s="307"/>
      <c r="I57" s="311">
        <v>45383</v>
      </c>
      <c r="J57" s="286">
        <v>46113</v>
      </c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</row>
    <row r="58" spans="5:30" x14ac:dyDescent="0.25">
      <c r="E58" s="310" t="s">
        <v>182</v>
      </c>
      <c r="F58" s="310" t="s">
        <v>183</v>
      </c>
      <c r="G58" s="306" t="s">
        <v>184</v>
      </c>
      <c r="H58" s="307"/>
      <c r="I58" s="311">
        <v>44866</v>
      </c>
      <c r="J58" s="286">
        <v>45597</v>
      </c>
      <c r="K58" s="286">
        <v>11232</v>
      </c>
      <c r="L58" s="286"/>
      <c r="M58" s="286"/>
      <c r="N58" s="286">
        <v>11232</v>
      </c>
      <c r="O58" s="286"/>
      <c r="P58" s="286"/>
      <c r="Q58" s="286">
        <v>47088</v>
      </c>
      <c r="R58" s="286">
        <v>11232</v>
      </c>
      <c r="S58" s="286"/>
      <c r="T58" s="286"/>
      <c r="U58" s="286">
        <v>11049</v>
      </c>
      <c r="V58" s="286"/>
      <c r="W58" s="286">
        <v>46997</v>
      </c>
      <c r="X58" s="286" t="s">
        <v>119</v>
      </c>
      <c r="Y58" s="286" t="s">
        <v>119</v>
      </c>
      <c r="Z58" s="286" t="s">
        <v>185</v>
      </c>
      <c r="AA58" s="286"/>
      <c r="AB58" s="286"/>
      <c r="AC58" s="286">
        <v>47392</v>
      </c>
      <c r="AD58" s="286"/>
    </row>
    <row r="59" spans="5:30" x14ac:dyDescent="0.25">
      <c r="E59" s="308" t="s">
        <v>186</v>
      </c>
      <c r="F59" s="308" t="s">
        <v>187</v>
      </c>
      <c r="G59" s="323" t="s">
        <v>188</v>
      </c>
      <c r="H59" s="307"/>
      <c r="I59" s="311">
        <v>45383</v>
      </c>
      <c r="J59" s="286">
        <v>46113</v>
      </c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  <c r="AD59" s="286"/>
    </row>
    <row r="60" spans="5:30" x14ac:dyDescent="0.25">
      <c r="E60" s="310" t="s">
        <v>189</v>
      </c>
      <c r="F60" s="310" t="s">
        <v>190</v>
      </c>
      <c r="G60" s="306" t="s">
        <v>58</v>
      </c>
      <c r="H60" s="307"/>
      <c r="I60" s="311">
        <v>45383</v>
      </c>
      <c r="J60" s="286">
        <v>46113</v>
      </c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</row>
    <row r="61" spans="5:30" x14ac:dyDescent="0.25">
      <c r="E61" s="310"/>
      <c r="F61" s="310"/>
      <c r="G61" s="306"/>
      <c r="H61" s="307"/>
      <c r="I61" s="309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85"/>
      <c r="AB61" s="285"/>
      <c r="AC61" s="285"/>
      <c r="AD61" s="285"/>
    </row>
    <row r="62" spans="5:30" x14ac:dyDescent="0.25">
      <c r="E62" s="310"/>
      <c r="F62" s="310"/>
      <c r="G62" s="306"/>
      <c r="H62" s="307"/>
      <c r="I62" s="309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</row>
    <row r="63" spans="5:30" x14ac:dyDescent="0.25">
      <c r="E63" s="310"/>
      <c r="F63" s="310"/>
      <c r="G63" s="306"/>
      <c r="H63" s="307"/>
      <c r="I63" s="309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</row>
    <row r="64" spans="5:30" x14ac:dyDescent="0.25">
      <c r="E64" s="310"/>
      <c r="F64" s="310"/>
      <c r="G64" s="306"/>
      <c r="H64" s="307"/>
      <c r="I64" s="309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85"/>
      <c r="AB64" s="285"/>
      <c r="AC64" s="285"/>
      <c r="AD64" s="285"/>
    </row>
    <row r="65" spans="5:30" x14ac:dyDescent="0.25">
      <c r="E65" s="310"/>
      <c r="F65" s="310"/>
      <c r="G65" s="306"/>
      <c r="H65" s="307"/>
      <c r="I65" s="309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</row>
    <row r="66" spans="5:30" x14ac:dyDescent="0.25">
      <c r="E66" s="310"/>
      <c r="F66" s="310"/>
      <c r="G66" s="306"/>
      <c r="H66" s="307"/>
      <c r="I66" s="309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</row>
    <row r="67" spans="5:30" x14ac:dyDescent="0.25">
      <c r="E67" s="310"/>
      <c r="F67" s="310"/>
      <c r="G67" s="306"/>
      <c r="H67" s="307"/>
      <c r="I67" s="309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</row>
    <row r="68" spans="5:30" x14ac:dyDescent="0.25">
      <c r="E68" s="310"/>
      <c r="F68" s="310"/>
      <c r="G68" s="306"/>
      <c r="H68" s="307"/>
      <c r="I68" s="309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</row>
    <row r="69" spans="5:30" x14ac:dyDescent="0.25">
      <c r="E69" s="308"/>
      <c r="F69" s="308"/>
      <c r="G69" s="306"/>
      <c r="H69" s="307"/>
      <c r="I69" s="309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</row>
    <row r="70" spans="5:30" x14ac:dyDescent="0.25">
      <c r="E70" s="310"/>
      <c r="F70" s="310"/>
      <c r="G70" s="306"/>
      <c r="H70" s="306"/>
      <c r="I70" s="309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285"/>
    </row>
  </sheetData>
  <conditionalFormatting sqref="A20:D20 I20:XFD20">
    <cfRule type="containsText" dxfId="1365" priority="1" operator="containsText" text="TP">
      <formula>NOT(ISERROR(SEARCH("TP",A20)))</formula>
    </cfRule>
    <cfRule type="containsText" priority="2" operator="containsText" text="TAD">
      <formula>NOT(ISERROR(SEARCH("TAD",A20)))</formula>
    </cfRule>
    <cfRule type="containsText" dxfId="1364" priority="3" operator="containsText" text="AT">
      <formula>NOT(ISERROR(SEARCH("AT",A20)))</formula>
    </cfRule>
    <cfRule type="containsText" dxfId="1363" priority="4" operator="containsText" text="MA">
      <formula>NOT(ISERROR(SEARCH("MA",A20)))</formula>
    </cfRule>
    <cfRule type="containsText" dxfId="1362" priority="5" operator="containsText" text="RES">
      <formula>NOT(ISERROR(SEARCH("RES",A20)))</formula>
    </cfRule>
    <cfRule type="containsText" dxfId="1361" priority="6" operator="containsText" text="CEX">
      <formula>NOT(ISERROR(SEARCH("CEX",A20)))</formula>
    </cfRule>
    <cfRule type="containsText" dxfId="1360" priority="7" operator="containsText" text="RTT">
      <formula>NOT(ISERROR(SEARCH("RTT",A20)))</formula>
    </cfRule>
    <cfRule type="beginsWith" dxfId="1359" priority="8" operator="beginsWith" text="CA">
      <formula>LEFT(A20,LEN("CA"))="CA"</formula>
    </cfRule>
    <cfRule type="containsText" dxfId="1358" priority="9" operator="containsText" text="AST">
      <formula>NOT(ISERROR(SEARCH("AST",A20)))</formula>
    </cfRule>
    <cfRule type="containsText" dxfId="1357" priority="10" operator="containsText" text="F">
      <formula>NOT(ISERROR(SEARCH("F",A20)))</formula>
    </cfRule>
    <cfRule type="containsText" dxfId="1356" priority="11" operator="containsText" text="PC">
      <formula>NOT(ISERROR(SEARCH("PC",A20)))</formula>
    </cfRule>
    <cfRule type="containsText" dxfId="1355" priority="12" operator="containsText" text="P">
      <formula>NOT(ISERROR(SEARCH("P",A20)))</formula>
    </cfRule>
  </conditionalFormatting>
  <dataValidations count="1">
    <dataValidation type="list" allowBlank="1" showInputMessage="1" showErrorMessage="1" sqref="A20:D20 H20:XFD20" xr:uid="{00000000-0002-0000-0000-000000000000}">
      <formula1>"P, PC, F, AST, CA, RTT, CEX, RES, MA, AT, TAD, TP"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78"/>
  <sheetViews>
    <sheetView zoomScale="85" zoomScaleNormal="85" workbookViewId="0">
      <pane xSplit="2" ySplit="10" topLeftCell="C38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config!B5</f>
        <v>46023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config!C5</f>
        <v>46053</v>
      </c>
    </row>
    <row r="3" spans="1:58" ht="15" customHeight="1" x14ac:dyDescent="0.25">
      <c r="A3" s="27"/>
    </row>
    <row r="4" spans="1:58" ht="76.5" customHeight="1" x14ac:dyDescent="0.25">
      <c r="A4" s="27"/>
      <c r="P4" s="28">
        <f>A1</f>
        <v>46023</v>
      </c>
      <c r="Q4" s="28">
        <f t="shared" ref="Q4:AT4" si="0">P4+1</f>
        <v>46024</v>
      </c>
      <c r="R4" s="28">
        <f t="shared" si="0"/>
        <v>46025</v>
      </c>
      <c r="S4" s="28">
        <f t="shared" si="0"/>
        <v>46026</v>
      </c>
      <c r="T4" s="28">
        <f t="shared" si="0"/>
        <v>46027</v>
      </c>
      <c r="U4" s="28">
        <f t="shared" si="0"/>
        <v>46028</v>
      </c>
      <c r="V4" s="28">
        <f t="shared" si="0"/>
        <v>46029</v>
      </c>
      <c r="W4" s="28">
        <f t="shared" si="0"/>
        <v>46030</v>
      </c>
      <c r="X4" s="28">
        <f t="shared" si="0"/>
        <v>46031</v>
      </c>
      <c r="Y4" s="28">
        <f t="shared" si="0"/>
        <v>46032</v>
      </c>
      <c r="Z4" s="28">
        <f t="shared" si="0"/>
        <v>46033</v>
      </c>
      <c r="AA4" s="28">
        <f t="shared" si="0"/>
        <v>46034</v>
      </c>
      <c r="AB4" s="28">
        <f t="shared" si="0"/>
        <v>46035</v>
      </c>
      <c r="AC4" s="28">
        <f t="shared" si="0"/>
        <v>46036</v>
      </c>
      <c r="AD4" s="28">
        <f t="shared" si="0"/>
        <v>46037</v>
      </c>
      <c r="AE4" s="28">
        <f t="shared" si="0"/>
        <v>46038</v>
      </c>
      <c r="AF4" s="28">
        <f t="shared" si="0"/>
        <v>46039</v>
      </c>
      <c r="AG4" s="28">
        <f t="shared" si="0"/>
        <v>46040</v>
      </c>
      <c r="AH4" s="28">
        <f t="shared" si="0"/>
        <v>46041</v>
      </c>
      <c r="AI4" s="28">
        <f t="shared" si="0"/>
        <v>46042</v>
      </c>
      <c r="AJ4" s="28">
        <f t="shared" si="0"/>
        <v>46043</v>
      </c>
      <c r="AK4" s="28">
        <f t="shared" si="0"/>
        <v>46044</v>
      </c>
      <c r="AL4" s="28">
        <f t="shared" si="0"/>
        <v>46045</v>
      </c>
      <c r="AM4" s="28">
        <f t="shared" si="0"/>
        <v>46046</v>
      </c>
      <c r="AN4" s="28">
        <f t="shared" si="0"/>
        <v>46047</v>
      </c>
      <c r="AO4" s="28">
        <f t="shared" si="0"/>
        <v>46048</v>
      </c>
      <c r="AP4" s="28">
        <f t="shared" si="0"/>
        <v>46049</v>
      </c>
      <c r="AQ4" s="28">
        <f t="shared" si="0"/>
        <v>46050</v>
      </c>
      <c r="AR4" s="28">
        <f t="shared" si="0"/>
        <v>46051</v>
      </c>
      <c r="AS4" s="28">
        <f t="shared" si="0"/>
        <v>46052</v>
      </c>
      <c r="AT4" s="28">
        <f t="shared" si="0"/>
        <v>46053</v>
      </c>
      <c r="AU4" s="28"/>
      <c r="AV4" s="27"/>
      <c r="AW4" s="27"/>
      <c r="AX4" s="27"/>
      <c r="AY4" s="27"/>
      <c r="AZ4" s="27"/>
      <c r="BA4" s="27"/>
      <c r="BB4" s="27"/>
    </row>
    <row r="5" spans="1:58" ht="36" customHeight="1" x14ac:dyDescent="0.25">
      <c r="A5" s="295" t="str">
        <f>TEXT(A1,"mmmmmmmmmmmm")</f>
        <v>janvier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3"/>
    </row>
    <row r="6" spans="1:58" ht="36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3"/>
    </row>
    <row r="7" spans="1:58" ht="36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3"/>
    </row>
    <row r="8" spans="1:58" s="29" customFormat="1" ht="21.75" customHeight="1" thickBot="1" x14ac:dyDescent="0.3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08" t="s">
        <v>192</v>
      </c>
      <c r="Q8" s="18"/>
      <c r="R8" s="18"/>
      <c r="S8" s="18"/>
      <c r="T8" s="18"/>
      <c r="U8" s="18"/>
      <c r="V8" s="18"/>
      <c r="W8" s="164"/>
      <c r="X8" s="18"/>
      <c r="Y8" s="18"/>
      <c r="Z8" s="18"/>
      <c r="AA8" s="18"/>
      <c r="AB8" s="18"/>
      <c r="AC8" s="164"/>
      <c r="AD8" s="164"/>
      <c r="AE8" s="18"/>
      <c r="AF8" s="18"/>
      <c r="AG8" s="18"/>
      <c r="AH8" s="18"/>
      <c r="AI8" s="149"/>
      <c r="AJ8" s="164"/>
      <c r="AK8" s="149"/>
      <c r="AL8" s="149"/>
      <c r="AM8" s="149" t="s">
        <v>193</v>
      </c>
      <c r="AN8" s="149"/>
      <c r="AO8" s="149"/>
      <c r="AP8" s="149"/>
      <c r="AQ8" s="149"/>
      <c r="AR8" s="164"/>
      <c r="AS8" s="149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57" t="s">
        <v>205</v>
      </c>
      <c r="P9" s="181">
        <f t="shared" ref="P9:AT9" si="1">IFERROR(WEEKDAY(P4),"")</f>
        <v>5</v>
      </c>
      <c r="Q9" s="150">
        <f t="shared" si="1"/>
        <v>6</v>
      </c>
      <c r="R9" s="151">
        <f t="shared" si="1"/>
        <v>7</v>
      </c>
      <c r="S9" s="151">
        <f t="shared" si="1"/>
        <v>1</v>
      </c>
      <c r="T9" s="151">
        <f t="shared" si="1"/>
        <v>2</v>
      </c>
      <c r="U9" s="151">
        <f t="shared" si="1"/>
        <v>3</v>
      </c>
      <c r="V9" s="151">
        <f t="shared" si="1"/>
        <v>4</v>
      </c>
      <c r="W9" s="151">
        <f t="shared" si="1"/>
        <v>5</v>
      </c>
      <c r="X9" s="151">
        <f t="shared" si="1"/>
        <v>6</v>
      </c>
      <c r="Y9" s="151">
        <f t="shared" si="1"/>
        <v>7</v>
      </c>
      <c r="Z9" s="151">
        <f t="shared" si="1"/>
        <v>1</v>
      </c>
      <c r="AA9" s="151">
        <f t="shared" si="1"/>
        <v>2</v>
      </c>
      <c r="AB9" s="151">
        <f t="shared" si="1"/>
        <v>3</v>
      </c>
      <c r="AC9" s="151">
        <f t="shared" si="1"/>
        <v>4</v>
      </c>
      <c r="AD9" s="151">
        <f t="shared" si="1"/>
        <v>5</v>
      </c>
      <c r="AE9" s="151">
        <f t="shared" si="1"/>
        <v>6</v>
      </c>
      <c r="AF9" s="151">
        <f t="shared" si="1"/>
        <v>7</v>
      </c>
      <c r="AG9" s="151">
        <f t="shared" si="1"/>
        <v>1</v>
      </c>
      <c r="AH9" s="151">
        <f t="shared" si="1"/>
        <v>2</v>
      </c>
      <c r="AI9" s="151">
        <f t="shared" si="1"/>
        <v>3</v>
      </c>
      <c r="AJ9" s="151">
        <f t="shared" si="1"/>
        <v>4</v>
      </c>
      <c r="AK9" s="151">
        <f t="shared" si="1"/>
        <v>5</v>
      </c>
      <c r="AL9" s="151">
        <f t="shared" si="1"/>
        <v>6</v>
      </c>
      <c r="AM9" s="159">
        <f t="shared" si="1"/>
        <v>7</v>
      </c>
      <c r="AN9" s="151">
        <f t="shared" si="1"/>
        <v>1</v>
      </c>
      <c r="AO9" s="151">
        <f t="shared" si="1"/>
        <v>2</v>
      </c>
      <c r="AP9" s="151">
        <f t="shared" si="1"/>
        <v>3</v>
      </c>
      <c r="AQ9" s="151">
        <f t="shared" si="1"/>
        <v>4</v>
      </c>
      <c r="AR9" s="151">
        <f t="shared" si="1"/>
        <v>5</v>
      </c>
      <c r="AS9" s="152">
        <f t="shared" si="1"/>
        <v>6</v>
      </c>
      <c r="AT9" s="153">
        <f t="shared" si="1"/>
        <v>7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58" t="s">
        <v>216</v>
      </c>
      <c r="P10" s="182">
        <f t="shared" ref="P10:AT10" si="2">DAY(P4)</f>
        <v>1</v>
      </c>
      <c r="Q10" s="154">
        <f t="shared" si="2"/>
        <v>2</v>
      </c>
      <c r="R10" s="155">
        <f t="shared" si="2"/>
        <v>3</v>
      </c>
      <c r="S10" s="155">
        <f t="shared" si="2"/>
        <v>4</v>
      </c>
      <c r="T10" s="155">
        <f t="shared" si="2"/>
        <v>5</v>
      </c>
      <c r="U10" s="155">
        <f t="shared" si="2"/>
        <v>6</v>
      </c>
      <c r="V10" s="155">
        <f t="shared" si="2"/>
        <v>7</v>
      </c>
      <c r="W10" s="155">
        <f t="shared" si="2"/>
        <v>8</v>
      </c>
      <c r="X10" s="155">
        <f t="shared" si="2"/>
        <v>9</v>
      </c>
      <c r="Y10" s="155">
        <f t="shared" si="2"/>
        <v>10</v>
      </c>
      <c r="Z10" s="155">
        <f t="shared" si="2"/>
        <v>11</v>
      </c>
      <c r="AA10" s="155">
        <f t="shared" si="2"/>
        <v>12</v>
      </c>
      <c r="AB10" s="155">
        <f t="shared" si="2"/>
        <v>13</v>
      </c>
      <c r="AC10" s="155">
        <f t="shared" si="2"/>
        <v>14</v>
      </c>
      <c r="AD10" s="155">
        <f t="shared" si="2"/>
        <v>15</v>
      </c>
      <c r="AE10" s="155">
        <f t="shared" si="2"/>
        <v>16</v>
      </c>
      <c r="AF10" s="155">
        <f t="shared" si="2"/>
        <v>17</v>
      </c>
      <c r="AG10" s="155">
        <f t="shared" si="2"/>
        <v>18</v>
      </c>
      <c r="AH10" s="155">
        <f t="shared" si="2"/>
        <v>19</v>
      </c>
      <c r="AI10" s="155">
        <f t="shared" si="2"/>
        <v>20</v>
      </c>
      <c r="AJ10" s="155">
        <f t="shared" si="2"/>
        <v>21</v>
      </c>
      <c r="AK10" s="155">
        <f t="shared" si="2"/>
        <v>22</v>
      </c>
      <c r="AL10" s="155">
        <f t="shared" si="2"/>
        <v>23</v>
      </c>
      <c r="AM10" s="160">
        <f t="shared" si="2"/>
        <v>24</v>
      </c>
      <c r="AN10" s="155">
        <f t="shared" si="2"/>
        <v>25</v>
      </c>
      <c r="AO10" s="155">
        <f t="shared" si="2"/>
        <v>26</v>
      </c>
      <c r="AP10" s="155">
        <f t="shared" si="2"/>
        <v>27</v>
      </c>
      <c r="AQ10" s="155">
        <f t="shared" si="2"/>
        <v>28</v>
      </c>
      <c r="AR10" s="155">
        <f t="shared" si="2"/>
        <v>29</v>
      </c>
      <c r="AS10" s="154">
        <f t="shared" si="2"/>
        <v>30</v>
      </c>
      <c r="AT10" s="156">
        <f t="shared" si="2"/>
        <v>31</v>
      </c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12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120"/>
      <c r="Q11" s="22" t="s">
        <v>195</v>
      </c>
      <c r="R11" s="104"/>
      <c r="S11" s="104"/>
      <c r="T11" s="22"/>
      <c r="U11" s="22"/>
      <c r="V11" s="22"/>
      <c r="W11" s="22"/>
      <c r="X11" s="22" t="s">
        <v>195</v>
      </c>
      <c r="Y11" s="104"/>
      <c r="Z11" s="104"/>
      <c r="AA11" s="22" t="s">
        <v>195</v>
      </c>
      <c r="AB11" s="22" t="s">
        <v>195</v>
      </c>
      <c r="AC11" s="22" t="s">
        <v>195</v>
      </c>
      <c r="AD11" s="22" t="s">
        <v>195</v>
      </c>
      <c r="AE11" s="22" t="s">
        <v>195</v>
      </c>
      <c r="AF11" s="104"/>
      <c r="AG11" s="104"/>
      <c r="AH11" s="22" t="s">
        <v>195</v>
      </c>
      <c r="AI11" s="22" t="s">
        <v>195</v>
      </c>
      <c r="AJ11" s="22" t="s">
        <v>195</v>
      </c>
      <c r="AK11" s="22" t="s">
        <v>195</v>
      </c>
      <c r="AL11" s="22" t="s">
        <v>195</v>
      </c>
      <c r="AM11" s="104"/>
      <c r="AN11" s="104"/>
      <c r="AO11" s="22"/>
      <c r="AP11" s="22"/>
      <c r="AQ11" s="22"/>
      <c r="AR11" s="22"/>
      <c r="AS11" s="22"/>
      <c r="AT11" s="104"/>
      <c r="AU11" s="1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1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118"/>
      <c r="Q12" s="8" t="s">
        <v>195</v>
      </c>
      <c r="R12" s="94"/>
      <c r="S12" s="94"/>
      <c r="T12" s="8"/>
      <c r="U12" s="8"/>
      <c r="V12" s="8"/>
      <c r="W12" s="8"/>
      <c r="X12" s="8"/>
      <c r="Y12" s="94"/>
      <c r="Z12" s="94"/>
      <c r="AA12" s="8"/>
      <c r="AB12" s="8"/>
      <c r="AC12" s="8"/>
      <c r="AD12" s="8"/>
      <c r="AE12" s="8"/>
      <c r="AF12" s="94"/>
      <c r="AG12" s="94"/>
      <c r="AH12" s="8"/>
      <c r="AI12" s="8"/>
      <c r="AJ12" s="8"/>
      <c r="AK12" s="8"/>
      <c r="AL12" s="8"/>
      <c r="AM12" s="94"/>
      <c r="AN12" s="94"/>
      <c r="AO12" s="8"/>
      <c r="AP12" s="8"/>
      <c r="AQ12" s="8"/>
      <c r="AR12" s="8"/>
      <c r="AS12" s="8"/>
      <c r="AT12" s="94"/>
      <c r="AU12" s="1"/>
      <c r="AV12" s="168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118"/>
      <c r="Q13" s="8"/>
      <c r="R13" s="94"/>
      <c r="S13" s="94"/>
      <c r="T13" s="8"/>
      <c r="U13" s="8"/>
      <c r="V13" s="8"/>
      <c r="W13" s="8"/>
      <c r="X13" s="8"/>
      <c r="Y13" s="94"/>
      <c r="Z13" s="94"/>
      <c r="AA13" s="8"/>
      <c r="AB13" s="8"/>
      <c r="AC13" s="8"/>
      <c r="AD13" s="8"/>
      <c r="AE13" s="8"/>
      <c r="AF13" s="94"/>
      <c r="AG13" s="94"/>
      <c r="AH13" s="8"/>
      <c r="AI13" s="8"/>
      <c r="AJ13" s="8"/>
      <c r="AK13" s="8"/>
      <c r="AL13" s="8"/>
      <c r="AM13" s="94"/>
      <c r="AN13" s="94"/>
      <c r="AO13" s="8"/>
      <c r="AP13" s="8"/>
      <c r="AQ13" s="8"/>
      <c r="AR13" s="8"/>
      <c r="AS13" s="8"/>
      <c r="AT13" s="94"/>
      <c r="AU13" s="1"/>
      <c r="AV13" s="19">
        <f>COUNTIF(P11:AS29,"p")</f>
        <v>0</v>
      </c>
      <c r="AW13" s="19">
        <f>COUNTIF(P11:AS29,"PC")</f>
        <v>35</v>
      </c>
      <c r="AX13" s="19">
        <f>COUNTIF(P11:AS29,"f")</f>
        <v>6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21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145" t="str">
        <f>IFERROR(IF(config!E6="","",config!E6),"")</f>
        <v>N016820</v>
      </c>
      <c r="B14" s="146" t="str">
        <f>IFERROR(IF(config!F6="","",config!F6),"")</f>
        <v>GRENET</v>
      </c>
      <c r="C14" s="147" t="str">
        <f>IFERROR(IF(config!G6="","",config!G6),"")</f>
        <v>Eric</v>
      </c>
      <c r="D14" s="87">
        <f t="shared" si="3"/>
        <v>0</v>
      </c>
      <c r="E14" s="20">
        <f t="shared" si="4"/>
        <v>6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118"/>
      <c r="Q14" s="94" t="s">
        <v>195</v>
      </c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 t="s">
        <v>195</v>
      </c>
      <c r="AP14" s="94" t="s">
        <v>195</v>
      </c>
      <c r="AQ14" s="94" t="s">
        <v>195</v>
      </c>
      <c r="AR14" s="94" t="s">
        <v>195</v>
      </c>
      <c r="AS14" s="94" t="s">
        <v>195</v>
      </c>
      <c r="AT14" s="94"/>
      <c r="AU14" s="1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118"/>
      <c r="Q15" s="8"/>
      <c r="R15" s="94"/>
      <c r="S15" s="94"/>
      <c r="T15" s="8"/>
      <c r="U15" s="8"/>
      <c r="V15" s="8"/>
      <c r="W15" s="8"/>
      <c r="X15" s="8"/>
      <c r="Y15" s="94"/>
      <c r="Z15" s="94"/>
      <c r="AA15" s="8"/>
      <c r="AB15" s="8"/>
      <c r="AC15" s="8"/>
      <c r="AD15" s="8"/>
      <c r="AE15" s="8"/>
      <c r="AF15" s="94"/>
      <c r="AG15" s="94"/>
      <c r="AH15" s="8"/>
      <c r="AI15" s="8"/>
      <c r="AJ15" s="8"/>
      <c r="AK15" s="8"/>
      <c r="AL15" s="8"/>
      <c r="AM15" s="94"/>
      <c r="AN15" s="94"/>
      <c r="AO15" s="8"/>
      <c r="AP15" s="8"/>
      <c r="AQ15" s="8"/>
      <c r="AR15" s="8"/>
      <c r="AS15" s="8"/>
      <c r="AT15" s="94"/>
      <c r="AU15" s="1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118"/>
      <c r="Q16" s="8"/>
      <c r="R16" s="94"/>
      <c r="S16" s="94"/>
      <c r="T16" s="8"/>
      <c r="U16" s="8"/>
      <c r="V16" s="8"/>
      <c r="W16" s="8"/>
      <c r="X16" s="8"/>
      <c r="Y16" s="94"/>
      <c r="Z16" s="94"/>
      <c r="AA16" s="8"/>
      <c r="AB16" s="8"/>
      <c r="AC16" s="8"/>
      <c r="AD16" s="8"/>
      <c r="AE16" s="8"/>
      <c r="AF16" s="94"/>
      <c r="AG16" s="94"/>
      <c r="AH16" s="8"/>
      <c r="AI16" s="8"/>
      <c r="AJ16" s="8"/>
      <c r="AK16" s="8"/>
      <c r="AL16" s="8"/>
      <c r="AM16" s="94"/>
      <c r="AN16" s="94"/>
      <c r="AO16" s="8"/>
      <c r="AP16" s="8"/>
      <c r="AQ16" s="8"/>
      <c r="AR16" s="8"/>
      <c r="AS16" s="8"/>
      <c r="AT16" s="94"/>
      <c r="AU16" s="1"/>
    </row>
    <row r="17" spans="1:47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118"/>
      <c r="Q17" s="8"/>
      <c r="R17" s="94"/>
      <c r="S17" s="94"/>
      <c r="T17" s="8"/>
      <c r="U17" s="8"/>
      <c r="V17" s="8"/>
      <c r="W17" s="8"/>
      <c r="X17" s="8"/>
      <c r="Y17" s="94"/>
      <c r="Z17" s="94"/>
      <c r="AA17" s="8"/>
      <c r="AB17" s="8"/>
      <c r="AC17" s="8"/>
      <c r="AD17" s="8"/>
      <c r="AE17" s="8"/>
      <c r="AF17" s="94"/>
      <c r="AG17" s="94"/>
      <c r="AH17" s="8"/>
      <c r="AI17" s="8"/>
      <c r="AJ17" s="8"/>
      <c r="AK17" s="8"/>
      <c r="AL17" s="8"/>
      <c r="AM17" s="94"/>
      <c r="AN17" s="94"/>
      <c r="AO17" s="8"/>
      <c r="AP17" s="8"/>
      <c r="AQ17" s="8"/>
      <c r="AR17" s="8"/>
      <c r="AS17" s="8"/>
      <c r="AT17" s="94"/>
      <c r="AU17" s="1"/>
    </row>
    <row r="18" spans="1:47" ht="20.100000000000001" customHeight="1" thickBot="1" x14ac:dyDescent="0.3">
      <c r="A18" s="32" t="str">
        <f>IFERROR(IF(config!E10="","",config!E10),"")</f>
        <v>N010036</v>
      </c>
      <c r="B18" s="39" t="str">
        <f>IFERROR(IF(config!F10="","",config!F10),"")</f>
        <v>BETTINGER</v>
      </c>
      <c r="C18" s="69" t="str">
        <f>IFERROR(IF(config!G10="","",config!G10),"")</f>
        <v>Philippe</v>
      </c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0</v>
      </c>
      <c r="I18" s="20">
        <f t="shared" si="8"/>
        <v>0</v>
      </c>
      <c r="J18" s="20">
        <f t="shared" si="9"/>
        <v>21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118"/>
      <c r="Q18" s="8" t="s">
        <v>200</v>
      </c>
      <c r="R18" s="94"/>
      <c r="S18" s="94"/>
      <c r="T18" s="8" t="s">
        <v>200</v>
      </c>
      <c r="U18" s="8" t="s">
        <v>200</v>
      </c>
      <c r="V18" s="8" t="s">
        <v>200</v>
      </c>
      <c r="W18" s="8" t="s">
        <v>200</v>
      </c>
      <c r="X18" s="8" t="s">
        <v>200</v>
      </c>
      <c r="Y18" s="94"/>
      <c r="Z18" s="94"/>
      <c r="AA18" s="8" t="s">
        <v>200</v>
      </c>
      <c r="AB18" s="8" t="s">
        <v>200</v>
      </c>
      <c r="AC18" s="8" t="s">
        <v>200</v>
      </c>
      <c r="AD18" s="8" t="s">
        <v>200</v>
      </c>
      <c r="AE18" s="8" t="s">
        <v>200</v>
      </c>
      <c r="AF18" s="94"/>
      <c r="AG18" s="94"/>
      <c r="AH18" s="8" t="s">
        <v>200</v>
      </c>
      <c r="AI18" s="8" t="s">
        <v>200</v>
      </c>
      <c r="AJ18" s="8" t="s">
        <v>200</v>
      </c>
      <c r="AK18" s="8" t="s">
        <v>200</v>
      </c>
      <c r="AL18" s="8" t="s">
        <v>200</v>
      </c>
      <c r="AM18" s="94"/>
      <c r="AN18" s="94"/>
      <c r="AO18" s="8" t="s">
        <v>200</v>
      </c>
      <c r="AP18" s="8" t="s">
        <v>200</v>
      </c>
      <c r="AQ18" s="8" t="s">
        <v>200</v>
      </c>
      <c r="AR18" s="8" t="s">
        <v>200</v>
      </c>
      <c r="AS18" s="8" t="s">
        <v>200</v>
      </c>
      <c r="AT18" s="94"/>
      <c r="AU18" s="1"/>
    </row>
    <row r="19" spans="1:47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6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118"/>
      <c r="Q19" s="21" t="s">
        <v>195</v>
      </c>
      <c r="R19" s="94"/>
      <c r="S19" s="94"/>
      <c r="T19" s="8" t="s">
        <v>195</v>
      </c>
      <c r="U19" s="8" t="s">
        <v>195</v>
      </c>
      <c r="V19" s="8" t="s">
        <v>195</v>
      </c>
      <c r="W19" s="8" t="s">
        <v>195</v>
      </c>
      <c r="X19" s="8" t="s">
        <v>195</v>
      </c>
      <c r="Y19" s="94"/>
      <c r="Z19" s="94"/>
      <c r="AA19" s="8"/>
      <c r="AB19" s="8"/>
      <c r="AC19" s="8"/>
      <c r="AD19" s="8"/>
      <c r="AE19" s="8"/>
      <c r="AF19" s="94"/>
      <c r="AG19" s="94"/>
      <c r="AH19" s="8"/>
      <c r="AI19" s="8"/>
      <c r="AJ19" s="8"/>
      <c r="AK19" s="8"/>
      <c r="AL19" s="8"/>
      <c r="AM19" s="94"/>
      <c r="AN19" s="94"/>
      <c r="AO19" s="8"/>
      <c r="AP19" s="8"/>
      <c r="AQ19" s="8"/>
      <c r="AR19" s="8"/>
      <c r="AS19" s="8"/>
      <c r="AT19" s="94"/>
      <c r="AU19" s="1"/>
    </row>
    <row r="20" spans="1:47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1</v>
      </c>
      <c r="F20" s="20">
        <f t="shared" si="5"/>
        <v>6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119"/>
      <c r="Q20" s="21" t="s">
        <v>195</v>
      </c>
      <c r="R20" s="95"/>
      <c r="S20" s="95"/>
      <c r="T20" s="21"/>
      <c r="U20" s="21"/>
      <c r="V20" s="21"/>
      <c r="W20" s="21"/>
      <c r="X20" s="21"/>
      <c r="Y20" s="95"/>
      <c r="Z20" s="95"/>
      <c r="AA20" s="21"/>
      <c r="AB20" s="21"/>
      <c r="AC20" s="21"/>
      <c r="AD20" s="21"/>
      <c r="AE20" s="21"/>
      <c r="AF20" s="95"/>
      <c r="AG20" s="95"/>
      <c r="AH20" s="21"/>
      <c r="AI20" s="21" t="s">
        <v>196</v>
      </c>
      <c r="AJ20" s="21" t="s">
        <v>196</v>
      </c>
      <c r="AK20" s="21" t="s">
        <v>196</v>
      </c>
      <c r="AL20" s="21"/>
      <c r="AM20" s="95"/>
      <c r="AN20" s="95"/>
      <c r="AO20" s="21"/>
      <c r="AP20" s="21"/>
      <c r="AQ20" s="21" t="s">
        <v>196</v>
      </c>
      <c r="AR20" s="21" t="s">
        <v>196</v>
      </c>
      <c r="AS20" s="21" t="s">
        <v>196</v>
      </c>
      <c r="AT20" s="95"/>
      <c r="AU20" s="1"/>
    </row>
    <row r="21" spans="1:47" ht="20.100000000000001" customHeight="1" thickBot="1" x14ac:dyDescent="0.3">
      <c r="A21" s="54" t="str">
        <f>IFERROR(IF(config!E13="","",config!E13),"")</f>
        <v>MAINTENANCE</v>
      </c>
      <c r="B21" s="54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  <c r="AR21" s="179"/>
      <c r="AS21" s="179"/>
      <c r="AT21" s="179"/>
    </row>
    <row r="22" spans="1:47" ht="20.100000000000001" customHeight="1" thickBot="1" x14ac:dyDescent="0.3">
      <c r="A22" s="46" t="str">
        <f>IFERROR(IF(config!E14="","",config!E14),"")</f>
        <v>SURVEILLANT DE TRAVAUX</v>
      </c>
      <c r="B22" s="46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180"/>
      <c r="AR22" s="180"/>
      <c r="AS22" s="180"/>
      <c r="AT22" s="180"/>
    </row>
    <row r="23" spans="1:47" ht="20.100000000000001" customHeight="1" thickBot="1" x14ac:dyDescent="0.3">
      <c r="A23" s="30" t="str">
        <f>IFERROR(IF(config!E15="","",config!E15),"")</f>
        <v>C004587</v>
      </c>
      <c r="B23" s="40" t="str">
        <f>IFERROR(IF(config!F15="","",config!F15),"")</f>
        <v xml:space="preserve">BOURGOIN </v>
      </c>
      <c r="C23" s="102" t="str">
        <f>IFERROR(IF(config!G15="","",config!G15),"")</f>
        <v>Jean-Baptiste</v>
      </c>
      <c r="D23" s="103">
        <f>COUNTIF(P23:AS23,"p")</f>
        <v>0</v>
      </c>
      <c r="E23" s="22">
        <f>COUNTIF(P23:AS23,"PC")</f>
        <v>1</v>
      </c>
      <c r="F23" s="22">
        <f>COUNTIF(P23:AS23,"f")</f>
        <v>0</v>
      </c>
      <c r="G23" s="22">
        <f>COUNTIF(P23:AS23,"ast")</f>
        <v>0</v>
      </c>
      <c r="H23" s="22">
        <f>COUNTIF(P23:AS23,"cA")</f>
        <v>0</v>
      </c>
      <c r="I23" s="22">
        <f>COUNTIF(P23:AS23,"rtt")</f>
        <v>0</v>
      </c>
      <c r="J23" s="22">
        <f>COUNTIF(P23:AS23,"cex")</f>
        <v>0</v>
      </c>
      <c r="K23" s="22">
        <f>COUNTIF(P23:AS23,"res")</f>
        <v>0</v>
      </c>
      <c r="L23" s="22">
        <f>COUNTIF(P23:AS23,"mA")</f>
        <v>0</v>
      </c>
      <c r="M23" s="22">
        <f>COUNTIF(P23:AS23,"at")</f>
        <v>0</v>
      </c>
      <c r="N23" s="22">
        <f>COUNTIF(P23:AS23,"TAD")</f>
        <v>0</v>
      </c>
      <c r="O23" s="106">
        <f>COUNTIF(P23:AS23,"TP")</f>
        <v>0</v>
      </c>
      <c r="P23" s="120"/>
      <c r="Q23" s="22" t="s">
        <v>195</v>
      </c>
      <c r="R23" s="104"/>
      <c r="S23" s="104"/>
      <c r="T23" s="22"/>
      <c r="U23" s="22"/>
      <c r="V23" s="22"/>
      <c r="W23" s="22"/>
      <c r="X23" s="22"/>
      <c r="Y23" s="104"/>
      <c r="Z23" s="104"/>
      <c r="AA23" s="22"/>
      <c r="AB23" s="22"/>
      <c r="AC23" s="22"/>
      <c r="AD23" s="22"/>
      <c r="AE23" s="22"/>
      <c r="AF23" s="104"/>
      <c r="AG23" s="104"/>
      <c r="AH23" s="22"/>
      <c r="AI23" s="22"/>
      <c r="AJ23" s="22"/>
      <c r="AK23" s="22"/>
      <c r="AL23" s="22"/>
      <c r="AM23" s="104"/>
      <c r="AN23" s="104"/>
      <c r="AO23" s="22"/>
      <c r="AP23" s="22"/>
      <c r="AQ23" s="22"/>
      <c r="AR23" s="22"/>
      <c r="AS23" s="22"/>
      <c r="AT23" s="104"/>
    </row>
    <row r="24" spans="1:47" ht="20.100000000000001" customHeight="1" thickBot="1" x14ac:dyDescent="0.3">
      <c r="A24" s="131" t="str">
        <f>IFERROR(IF(config!E16="","",config!E16),"")</f>
        <v>N02645</v>
      </c>
      <c r="B24" s="132" t="str">
        <f>IFERROR(IF(config!F16="","",config!F16),"")</f>
        <v>MERCADIEU</v>
      </c>
      <c r="C24" s="133" t="str">
        <f>IFERROR(IF(config!G16="","",config!G16),"")</f>
        <v>Baptiste</v>
      </c>
      <c r="D24" s="134">
        <f>COUNTIF(P24:AS24,"p")</f>
        <v>0</v>
      </c>
      <c r="E24" s="123">
        <f>COUNTIF(P24:AS24,"PC")</f>
        <v>1</v>
      </c>
      <c r="F24" s="123">
        <f>COUNTIF(P24:AS24,"f")</f>
        <v>0</v>
      </c>
      <c r="G24" s="123">
        <f>COUNTIF(P24:AS24,"ast")</f>
        <v>0</v>
      </c>
      <c r="H24" s="123">
        <f>COUNTIF(P24:AS24,"cA")</f>
        <v>0</v>
      </c>
      <c r="I24" s="123">
        <f>COUNTIF(P24:AS24,"rtt")</f>
        <v>0</v>
      </c>
      <c r="J24" s="123">
        <f>COUNTIF(P24:AS24,"cex")</f>
        <v>0</v>
      </c>
      <c r="K24" s="123">
        <f>COUNTIF(P24:AS24,"res")</f>
        <v>0</v>
      </c>
      <c r="L24" s="123">
        <f>COUNTIF(P24:AS24,"mA")</f>
        <v>0</v>
      </c>
      <c r="M24" s="123">
        <f>COUNTIF(P24:AS24,"at")</f>
        <v>0</v>
      </c>
      <c r="N24" s="123">
        <f>COUNTIF(P24:AS24,"TAD")</f>
        <v>0</v>
      </c>
      <c r="O24" s="140">
        <f>COUNTIF(P24:AS24,"TP")</f>
        <v>0</v>
      </c>
      <c r="P24" s="120"/>
      <c r="Q24" s="22" t="s">
        <v>195</v>
      </c>
      <c r="R24" s="104"/>
      <c r="S24" s="104"/>
      <c r="T24" s="22"/>
      <c r="U24" s="22"/>
      <c r="V24" s="22"/>
      <c r="W24" s="22"/>
      <c r="X24" s="22"/>
      <c r="Y24" s="104"/>
      <c r="Z24" s="104"/>
      <c r="AA24" s="22"/>
      <c r="AB24" s="22"/>
      <c r="AC24" s="22"/>
      <c r="AD24" s="22"/>
      <c r="AE24" s="22"/>
      <c r="AF24" s="104"/>
      <c r="AG24" s="104"/>
      <c r="AH24" s="22"/>
      <c r="AI24" s="22"/>
      <c r="AJ24" s="22"/>
      <c r="AK24" s="22"/>
      <c r="AL24" s="22"/>
      <c r="AM24" s="104"/>
      <c r="AN24" s="104"/>
      <c r="AO24" s="22"/>
      <c r="AP24" s="22"/>
      <c r="AQ24" s="22"/>
      <c r="AR24" s="22"/>
      <c r="AS24" s="22"/>
      <c r="AT24" s="104"/>
    </row>
    <row r="25" spans="1:47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178"/>
    </row>
    <row r="26" spans="1:47" ht="20.100000000000001" customHeight="1" thickBot="1" x14ac:dyDescent="0.3">
      <c r="A26" s="33" t="str">
        <f>IFERROR(IF(config!E18="","",config!E18),"")</f>
        <v>C004845</v>
      </c>
      <c r="B26" s="40" t="str">
        <f>IFERROR(IF(config!F18="","",config!F18),"")</f>
        <v>GARCIA</v>
      </c>
      <c r="C26" s="102" t="str">
        <f>IFERROR(IF(config!G18="","",config!G18),"")</f>
        <v>Yoan</v>
      </c>
      <c r="D26" s="103">
        <f>COUNTIF(P26:AS26,"p")</f>
        <v>0</v>
      </c>
      <c r="E26" s="22">
        <f>COUNTIF(P26:AS26,"PC")</f>
        <v>0</v>
      </c>
      <c r="F26" s="22">
        <f>COUNTIF(P26:AS26,"f")</f>
        <v>0</v>
      </c>
      <c r="G26" s="22">
        <f>COUNTIF(P26:AS26,"ast")</f>
        <v>0</v>
      </c>
      <c r="H26" s="22">
        <f>COUNTIF(P26:AS26,"cA")</f>
        <v>0</v>
      </c>
      <c r="I26" s="22">
        <f>COUNTIF(P26:AS26,"rtt")</f>
        <v>0</v>
      </c>
      <c r="J26" s="22">
        <f>COUNTIF(P26:AS26,"cex")</f>
        <v>0</v>
      </c>
      <c r="K26" s="22">
        <f>COUNTIF(P26:AS26,"res")</f>
        <v>0</v>
      </c>
      <c r="L26" s="22">
        <f>COUNTIF(P26:AS26,"mA")</f>
        <v>0</v>
      </c>
      <c r="M26" s="22">
        <f>COUNTIF(P26:AS26,"at")</f>
        <v>0</v>
      </c>
      <c r="N26" s="22">
        <f>COUNTIF(P26:AS26,"TAD")</f>
        <v>0</v>
      </c>
      <c r="O26" s="22">
        <f>COUNTIF(P26:AS26,"TP")</f>
        <v>0</v>
      </c>
      <c r="P26" s="120"/>
      <c r="Q26" s="22"/>
      <c r="R26" s="104"/>
      <c r="S26" s="104"/>
      <c r="T26" s="22"/>
      <c r="U26" s="22"/>
      <c r="V26" s="22"/>
      <c r="W26" s="22"/>
      <c r="X26" s="22"/>
      <c r="Y26" s="104"/>
      <c r="Z26" s="104"/>
      <c r="AA26" s="22"/>
      <c r="AB26" s="22"/>
      <c r="AC26" s="22"/>
      <c r="AD26" s="22"/>
      <c r="AE26" s="22"/>
      <c r="AF26" s="104"/>
      <c r="AG26" s="104"/>
      <c r="AH26" s="22"/>
      <c r="AI26" s="22"/>
      <c r="AJ26" s="22"/>
      <c r="AK26" s="22"/>
      <c r="AL26" s="22"/>
      <c r="AM26" s="104"/>
      <c r="AN26" s="104"/>
      <c r="AO26" s="22"/>
      <c r="AP26" s="22"/>
      <c r="AQ26" s="22"/>
      <c r="AR26" s="22"/>
      <c r="AS26" s="22"/>
      <c r="AT26" s="104"/>
    </row>
    <row r="27" spans="1:47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6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120"/>
      <c r="Q27" s="22" t="s">
        <v>195</v>
      </c>
      <c r="R27" s="104"/>
      <c r="S27" s="104"/>
      <c r="T27" s="22" t="s">
        <v>195</v>
      </c>
      <c r="U27" s="22" t="s">
        <v>195</v>
      </c>
      <c r="V27" s="22" t="s">
        <v>195</v>
      </c>
      <c r="W27" s="22" t="s">
        <v>195</v>
      </c>
      <c r="X27" s="22" t="s">
        <v>195</v>
      </c>
      <c r="Y27" s="104"/>
      <c r="Z27" s="104"/>
      <c r="AA27" s="22"/>
      <c r="AB27" s="22"/>
      <c r="AC27" s="22"/>
      <c r="AD27" s="22"/>
      <c r="AE27" s="22"/>
      <c r="AF27" s="104"/>
      <c r="AG27" s="104"/>
      <c r="AH27" s="22"/>
      <c r="AI27" s="22"/>
      <c r="AJ27" s="22"/>
      <c r="AK27" s="22"/>
      <c r="AL27" s="22"/>
      <c r="AM27" s="104"/>
      <c r="AN27" s="104"/>
      <c r="AO27" s="22"/>
      <c r="AP27" s="22"/>
      <c r="AQ27" s="22"/>
      <c r="AR27" s="22"/>
      <c r="AS27" s="22"/>
      <c r="AT27" s="104"/>
    </row>
    <row r="28" spans="1:47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1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120"/>
      <c r="Q28" s="22" t="s">
        <v>195</v>
      </c>
      <c r="R28" s="104"/>
      <c r="S28" s="104"/>
      <c r="T28" s="22"/>
      <c r="U28" s="22"/>
      <c r="V28" s="22"/>
      <c r="W28" s="22"/>
      <c r="X28" s="22"/>
      <c r="Y28" s="104"/>
      <c r="Z28" s="104"/>
      <c r="AA28" s="22"/>
      <c r="AB28" s="22"/>
      <c r="AC28" s="22"/>
      <c r="AD28" s="22"/>
      <c r="AE28" s="22"/>
      <c r="AF28" s="104"/>
      <c r="AG28" s="104"/>
      <c r="AH28" s="22"/>
      <c r="AI28" s="22"/>
      <c r="AJ28" s="22"/>
      <c r="AK28" s="22"/>
      <c r="AL28" s="22"/>
      <c r="AM28" s="104"/>
      <c r="AN28" s="104"/>
      <c r="AO28" s="22"/>
      <c r="AP28" s="22"/>
      <c r="AQ28" s="22"/>
      <c r="AR28" s="22"/>
      <c r="AS28" s="22"/>
      <c r="AT28" s="104"/>
    </row>
    <row r="29" spans="1:47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23">
        <f>COUNTIF(P29:AS29,"TP")</f>
        <v>0</v>
      </c>
      <c r="P29" s="120"/>
      <c r="Q29" s="22"/>
      <c r="R29" s="104"/>
      <c r="S29" s="104"/>
      <c r="T29" s="22"/>
      <c r="U29" s="22"/>
      <c r="V29" s="22"/>
      <c r="W29" s="22"/>
      <c r="X29" s="22"/>
      <c r="Y29" s="104"/>
      <c r="Z29" s="104"/>
      <c r="AA29" s="22"/>
      <c r="AB29" s="22"/>
      <c r="AC29" s="22"/>
      <c r="AD29" s="22"/>
      <c r="AE29" s="22"/>
      <c r="AF29" s="104"/>
      <c r="AG29" s="104"/>
      <c r="AH29" s="22"/>
      <c r="AI29" s="22"/>
      <c r="AJ29" s="22"/>
      <c r="AK29" s="22"/>
      <c r="AL29" s="22"/>
      <c r="AM29" s="104"/>
      <c r="AN29" s="104"/>
      <c r="AO29" s="22"/>
      <c r="AP29" s="22"/>
      <c r="AQ29" s="22"/>
      <c r="AR29" s="22"/>
      <c r="AS29" s="22"/>
      <c r="AT29" s="104"/>
    </row>
    <row r="30" spans="1:47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  <c r="AT30" s="226"/>
    </row>
    <row r="31" spans="1:47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23">
        <f t="shared" ref="O31:O36" si="26">COUNTIF(P31:AS31,"TP")</f>
        <v>0</v>
      </c>
      <c r="P31" s="120"/>
      <c r="Q31" s="22"/>
      <c r="R31" s="104"/>
      <c r="S31" s="104"/>
      <c r="T31" s="22"/>
      <c r="U31" s="22"/>
      <c r="V31" s="22"/>
      <c r="W31" s="22"/>
      <c r="X31" s="22"/>
      <c r="Y31" s="104"/>
      <c r="Z31" s="104"/>
      <c r="AA31" s="22"/>
      <c r="AB31" s="22"/>
      <c r="AC31" s="22"/>
      <c r="AD31" s="22"/>
      <c r="AE31" s="22"/>
      <c r="AF31" s="104"/>
      <c r="AG31" s="104"/>
      <c r="AH31" s="22"/>
      <c r="AI31" s="22"/>
      <c r="AJ31" s="22"/>
      <c r="AK31" s="22"/>
      <c r="AL31" s="22"/>
      <c r="AM31" s="104"/>
      <c r="AN31" s="104"/>
      <c r="AO31" s="22"/>
      <c r="AP31" s="22"/>
      <c r="AQ31" s="22"/>
      <c r="AR31" s="22"/>
      <c r="AS31" s="22"/>
      <c r="AT31" s="104"/>
    </row>
    <row r="32" spans="1:47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23">
        <f t="shared" si="26"/>
        <v>0</v>
      </c>
      <c r="P32" s="120"/>
      <c r="Q32" s="22"/>
      <c r="R32" s="104"/>
      <c r="S32" s="104"/>
      <c r="T32" s="22"/>
      <c r="U32" s="22"/>
      <c r="V32" s="22"/>
      <c r="W32" s="22"/>
      <c r="X32" s="22"/>
      <c r="Y32" s="104"/>
      <c r="Z32" s="104"/>
      <c r="AA32" s="22"/>
      <c r="AB32" s="22"/>
      <c r="AC32" s="22"/>
      <c r="AD32" s="22"/>
      <c r="AE32" s="22"/>
      <c r="AF32" s="104"/>
      <c r="AG32" s="104"/>
      <c r="AH32" s="22"/>
      <c r="AI32" s="22"/>
      <c r="AJ32" s="22"/>
      <c r="AK32" s="22"/>
      <c r="AL32" s="22"/>
      <c r="AM32" s="104"/>
      <c r="AN32" s="104"/>
      <c r="AO32" s="22"/>
      <c r="AP32" s="22"/>
      <c r="AQ32" s="22"/>
      <c r="AR32" s="22"/>
      <c r="AS32" s="22"/>
      <c r="AT32" s="104"/>
    </row>
    <row r="33" spans="1:58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23">
        <f t="shared" si="26"/>
        <v>0</v>
      </c>
      <c r="P33" s="120"/>
      <c r="Q33" s="22"/>
      <c r="R33" s="104"/>
      <c r="S33" s="104"/>
      <c r="T33" s="22"/>
      <c r="U33" s="22"/>
      <c r="V33" s="22"/>
      <c r="W33" s="22"/>
      <c r="X33" s="22"/>
      <c r="Y33" s="104"/>
      <c r="Z33" s="104"/>
      <c r="AA33" s="22"/>
      <c r="AB33" s="22"/>
      <c r="AC33" s="22"/>
      <c r="AD33" s="22"/>
      <c r="AE33" s="22"/>
      <c r="AF33" s="104"/>
      <c r="AG33" s="104"/>
      <c r="AH33" s="22"/>
      <c r="AI33" s="22"/>
      <c r="AJ33" s="22"/>
      <c r="AK33" s="22"/>
      <c r="AL33" s="22"/>
      <c r="AM33" s="104"/>
      <c r="AN33" s="104"/>
      <c r="AO33" s="22"/>
      <c r="AP33" s="22"/>
      <c r="AQ33" s="22"/>
      <c r="AR33" s="22"/>
      <c r="AS33" s="22"/>
      <c r="AT33" s="104"/>
    </row>
    <row r="34" spans="1:58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23">
        <f t="shared" si="26"/>
        <v>0</v>
      </c>
      <c r="P34" s="120"/>
      <c r="Q34" s="22"/>
      <c r="R34" s="104"/>
      <c r="S34" s="104"/>
      <c r="T34" s="22"/>
      <c r="U34" s="22"/>
      <c r="V34" s="22"/>
      <c r="W34" s="22"/>
      <c r="X34" s="22"/>
      <c r="Y34" s="104"/>
      <c r="Z34" s="104"/>
      <c r="AA34" s="22"/>
      <c r="AB34" s="22"/>
      <c r="AC34" s="22"/>
      <c r="AD34" s="22"/>
      <c r="AE34" s="22"/>
      <c r="AF34" s="104"/>
      <c r="AG34" s="104"/>
      <c r="AH34" s="22"/>
      <c r="AI34" s="22"/>
      <c r="AJ34" s="22"/>
      <c r="AK34" s="22"/>
      <c r="AL34" s="22"/>
      <c r="AM34" s="104"/>
      <c r="AN34" s="104"/>
      <c r="AO34" s="22"/>
      <c r="AP34" s="22"/>
      <c r="AQ34" s="22"/>
      <c r="AR34" s="22"/>
      <c r="AS34" s="22"/>
      <c r="AT34" s="104"/>
    </row>
    <row r="35" spans="1:58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23">
        <f t="shared" si="26"/>
        <v>0</v>
      </c>
      <c r="P35" s="120"/>
      <c r="Q35" s="22"/>
      <c r="R35" s="104"/>
      <c r="S35" s="104"/>
      <c r="T35" s="22"/>
      <c r="U35" s="22"/>
      <c r="V35" s="22"/>
      <c r="W35" s="22"/>
      <c r="X35" s="22"/>
      <c r="Y35" s="104"/>
      <c r="Z35" s="104"/>
      <c r="AA35" s="22"/>
      <c r="AB35" s="22"/>
      <c r="AC35" s="22"/>
      <c r="AD35" s="22"/>
      <c r="AE35" s="22"/>
      <c r="AF35" s="104"/>
      <c r="AG35" s="104"/>
      <c r="AH35" s="22"/>
      <c r="AI35" s="22"/>
      <c r="AJ35" s="22"/>
      <c r="AK35" s="22"/>
      <c r="AL35" s="22"/>
      <c r="AM35" s="104"/>
      <c r="AN35" s="104"/>
      <c r="AO35" s="22"/>
      <c r="AP35" s="22"/>
      <c r="AQ35" s="22"/>
      <c r="AR35" s="22"/>
      <c r="AS35" s="22"/>
      <c r="AT35" s="104"/>
    </row>
    <row r="36" spans="1:58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23">
        <f t="shared" si="26"/>
        <v>0</v>
      </c>
      <c r="P36" s="120"/>
      <c r="Q36" s="22"/>
      <c r="R36" s="104"/>
      <c r="S36" s="104"/>
      <c r="T36" s="22"/>
      <c r="U36" s="22"/>
      <c r="V36" s="22"/>
      <c r="W36" s="22"/>
      <c r="X36" s="22"/>
      <c r="Y36" s="104"/>
      <c r="Z36" s="104"/>
      <c r="AA36" s="22"/>
      <c r="AB36" s="22"/>
      <c r="AC36" s="22"/>
      <c r="AD36" s="22"/>
      <c r="AE36" s="22"/>
      <c r="AF36" s="104"/>
      <c r="AG36" s="104"/>
      <c r="AH36" s="22"/>
      <c r="AI36" s="22"/>
      <c r="AJ36" s="22"/>
      <c r="AK36" s="22"/>
      <c r="AL36" s="22"/>
      <c r="AM36" s="104"/>
      <c r="AN36" s="104"/>
      <c r="AO36" s="22"/>
      <c r="AP36" s="22"/>
      <c r="AQ36" s="22"/>
      <c r="AR36" s="22"/>
      <c r="AS36" s="22"/>
      <c r="AT36" s="104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167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117"/>
      <c r="Q39" s="20"/>
      <c r="R39" s="86"/>
      <c r="S39" s="86"/>
      <c r="T39" s="20"/>
      <c r="U39" s="20"/>
      <c r="V39" s="20"/>
      <c r="W39" s="20"/>
      <c r="X39" s="20"/>
      <c r="Y39" s="86"/>
      <c r="Z39" s="86"/>
      <c r="AA39" s="20"/>
      <c r="AB39" s="20"/>
      <c r="AC39" s="20"/>
      <c r="AD39" s="20"/>
      <c r="AE39" s="20"/>
      <c r="AF39" s="86"/>
      <c r="AG39" s="86"/>
      <c r="AH39" s="20"/>
      <c r="AI39" s="20"/>
      <c r="AJ39" s="20"/>
      <c r="AK39" s="20"/>
      <c r="AL39" s="20"/>
      <c r="AM39" s="86"/>
      <c r="AN39" s="86"/>
      <c r="AO39" s="20"/>
      <c r="AP39" s="20"/>
      <c r="AQ39" s="20"/>
      <c r="AR39" s="20"/>
      <c r="AS39" s="20"/>
      <c r="AT39" s="124"/>
      <c r="AV39" s="168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1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120"/>
      <c r="Q40" s="22" t="s">
        <v>195</v>
      </c>
      <c r="R40" s="104"/>
      <c r="S40" s="104"/>
      <c r="T40" s="22"/>
      <c r="U40" s="22"/>
      <c r="V40" s="22"/>
      <c r="W40" s="22"/>
      <c r="X40" s="22"/>
      <c r="Y40" s="104"/>
      <c r="Z40" s="104"/>
      <c r="AA40" s="22"/>
      <c r="AB40" s="22"/>
      <c r="AC40" s="22"/>
      <c r="AD40" s="22"/>
      <c r="AE40" s="22"/>
      <c r="AF40" s="104"/>
      <c r="AG40" s="104"/>
      <c r="AH40" s="22"/>
      <c r="AI40" s="22"/>
      <c r="AJ40" s="22"/>
      <c r="AK40" s="22"/>
      <c r="AL40" s="22"/>
      <c r="AM40" s="104"/>
      <c r="AN40" s="104"/>
      <c r="AO40" s="22"/>
      <c r="AP40" s="22"/>
      <c r="AQ40" s="22"/>
      <c r="AR40" s="22"/>
      <c r="AS40" s="22"/>
      <c r="AT40" s="197"/>
      <c r="AU40" s="19"/>
      <c r="AV40" s="19">
        <f>COUNTIF(P39:AS49,"p")</f>
        <v>0</v>
      </c>
      <c r="AW40" s="19">
        <f>COUNTIF(P39:AS49,"pc")</f>
        <v>2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30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1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120"/>
      <c r="Q41" s="22" t="s">
        <v>195</v>
      </c>
      <c r="R41" s="104"/>
      <c r="S41" s="104"/>
      <c r="T41" s="22"/>
      <c r="U41" s="22"/>
      <c r="V41" s="22"/>
      <c r="W41" s="22"/>
      <c r="X41" s="22"/>
      <c r="Y41" s="104"/>
      <c r="Z41" s="104"/>
      <c r="AA41" s="22"/>
      <c r="AB41" s="22"/>
      <c r="AC41" s="22"/>
      <c r="AD41" s="22"/>
      <c r="AE41" s="22"/>
      <c r="AF41" s="104"/>
      <c r="AG41" s="104"/>
      <c r="AH41" s="22"/>
      <c r="AI41" s="22"/>
      <c r="AJ41" s="22"/>
      <c r="AK41" s="22"/>
      <c r="AL41" s="22"/>
      <c r="AM41" s="104"/>
      <c r="AN41" s="104"/>
      <c r="AO41" s="22"/>
      <c r="AP41" s="22"/>
      <c r="AQ41" s="22"/>
      <c r="AR41" s="22"/>
      <c r="AS41" s="22"/>
      <c r="AT41" s="197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120"/>
      <c r="Q42" s="22"/>
      <c r="R42" s="104"/>
      <c r="S42" s="104"/>
      <c r="T42" s="22"/>
      <c r="U42" s="22"/>
      <c r="V42" s="22"/>
      <c r="W42" s="22"/>
      <c r="X42" s="22"/>
      <c r="Y42" s="104"/>
      <c r="Z42" s="104"/>
      <c r="AA42" s="22"/>
      <c r="AB42" s="22"/>
      <c r="AC42" s="22"/>
      <c r="AD42" s="22"/>
      <c r="AE42" s="22"/>
      <c r="AF42" s="104"/>
      <c r="AG42" s="104"/>
      <c r="AH42" s="22"/>
      <c r="AI42" s="22"/>
      <c r="AJ42" s="22"/>
      <c r="AK42" s="22"/>
      <c r="AL42" s="22"/>
      <c r="AM42" s="104"/>
      <c r="AN42" s="104"/>
      <c r="AO42" s="22"/>
      <c r="AP42" s="22"/>
      <c r="AQ42" s="22"/>
      <c r="AR42" s="22"/>
      <c r="AS42" s="22"/>
      <c r="AT42" s="197"/>
      <c r="AU42" s="19"/>
    </row>
    <row r="43" spans="1:58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120"/>
      <c r="Q43" s="22"/>
      <c r="R43" s="104"/>
      <c r="S43" s="104"/>
      <c r="T43" s="22"/>
      <c r="U43" s="22"/>
      <c r="V43" s="22"/>
      <c r="W43" s="22"/>
      <c r="X43" s="22"/>
      <c r="Y43" s="104"/>
      <c r="Z43" s="104"/>
      <c r="AA43" s="22"/>
      <c r="AB43" s="22"/>
      <c r="AC43" s="22"/>
      <c r="AD43" s="22"/>
      <c r="AE43" s="22"/>
      <c r="AF43" s="104"/>
      <c r="AG43" s="104"/>
      <c r="AH43" s="22"/>
      <c r="AI43" s="22"/>
      <c r="AJ43" s="22"/>
      <c r="AK43" s="22"/>
      <c r="AL43" s="22"/>
      <c r="AM43" s="104"/>
      <c r="AN43" s="104"/>
      <c r="AO43" s="22"/>
      <c r="AP43" s="22"/>
      <c r="AQ43" s="22"/>
      <c r="AR43" s="22"/>
      <c r="AS43" s="22"/>
      <c r="AT43" s="197"/>
    </row>
    <row r="44" spans="1:58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120"/>
      <c r="Q44" s="22"/>
      <c r="R44" s="104"/>
      <c r="S44" s="104"/>
      <c r="T44" s="22"/>
      <c r="U44" s="22"/>
      <c r="V44" s="22"/>
      <c r="W44" s="22"/>
      <c r="X44" s="22"/>
      <c r="Y44" s="104"/>
      <c r="Z44" s="104"/>
      <c r="AA44" s="22"/>
      <c r="AB44" s="22"/>
      <c r="AC44" s="22"/>
      <c r="AD44" s="22"/>
      <c r="AE44" s="22"/>
      <c r="AF44" s="104"/>
      <c r="AG44" s="104"/>
      <c r="AH44" s="22"/>
      <c r="AI44" s="22"/>
      <c r="AJ44" s="22"/>
      <c r="AK44" s="22"/>
      <c r="AL44" s="22"/>
      <c r="AM44" s="104"/>
      <c r="AN44" s="104"/>
      <c r="AO44" s="22"/>
      <c r="AP44" s="22"/>
      <c r="AQ44" s="22"/>
      <c r="AR44" s="22"/>
      <c r="AS44" s="22"/>
      <c r="AT44" s="197"/>
    </row>
    <row r="45" spans="1:58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30</v>
      </c>
      <c r="N45" s="20">
        <f t="shared" si="37"/>
        <v>0</v>
      </c>
      <c r="O45" s="92">
        <f t="shared" si="38"/>
        <v>0</v>
      </c>
      <c r="P45" s="118" t="s">
        <v>203</v>
      </c>
      <c r="Q45" s="112" t="s">
        <v>203</v>
      </c>
      <c r="R45" s="112" t="s">
        <v>203</v>
      </c>
      <c r="S45" s="112" t="s">
        <v>203</v>
      </c>
      <c r="T45" s="112" t="s">
        <v>203</v>
      </c>
      <c r="U45" s="112" t="s">
        <v>203</v>
      </c>
      <c r="V45" s="112" t="s">
        <v>203</v>
      </c>
      <c r="W45" s="112" t="s">
        <v>203</v>
      </c>
      <c r="X45" s="112" t="s">
        <v>203</v>
      </c>
      <c r="Y45" s="112" t="s">
        <v>203</v>
      </c>
      <c r="Z45" s="112" t="s">
        <v>203</v>
      </c>
      <c r="AA45" s="112" t="s">
        <v>203</v>
      </c>
      <c r="AB45" s="112" t="s">
        <v>203</v>
      </c>
      <c r="AC45" s="112" t="s">
        <v>203</v>
      </c>
      <c r="AD45" s="112" t="s">
        <v>203</v>
      </c>
      <c r="AE45" s="112" t="s">
        <v>203</v>
      </c>
      <c r="AF45" s="112" t="s">
        <v>203</v>
      </c>
      <c r="AG45" s="112" t="s">
        <v>203</v>
      </c>
      <c r="AH45" s="112" t="s">
        <v>203</v>
      </c>
      <c r="AI45" s="112" t="s">
        <v>203</v>
      </c>
      <c r="AJ45" s="112" t="s">
        <v>203</v>
      </c>
      <c r="AK45" s="112" t="s">
        <v>203</v>
      </c>
      <c r="AL45" s="112" t="s">
        <v>203</v>
      </c>
      <c r="AM45" s="112" t="s">
        <v>203</v>
      </c>
      <c r="AN45" s="112" t="s">
        <v>203</v>
      </c>
      <c r="AO45" s="112" t="s">
        <v>203</v>
      </c>
      <c r="AP45" s="112" t="s">
        <v>203</v>
      </c>
      <c r="AQ45" s="112" t="s">
        <v>203</v>
      </c>
      <c r="AR45" s="112" t="s">
        <v>203</v>
      </c>
      <c r="AS45" s="112" t="s">
        <v>203</v>
      </c>
      <c r="AT45" s="280" t="s">
        <v>203</v>
      </c>
    </row>
    <row r="46" spans="1:58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120"/>
      <c r="Q46" s="22"/>
      <c r="R46" s="104"/>
      <c r="S46" s="104"/>
      <c r="T46" s="22"/>
      <c r="U46" s="22"/>
      <c r="V46" s="22"/>
      <c r="W46" s="22"/>
      <c r="X46" s="22"/>
      <c r="Y46" s="104"/>
      <c r="Z46" s="104"/>
      <c r="AA46" s="22"/>
      <c r="AB46" s="22"/>
      <c r="AC46" s="22"/>
      <c r="AD46" s="22"/>
      <c r="AE46" s="22"/>
      <c r="AF46" s="104"/>
      <c r="AG46" s="104"/>
      <c r="AH46" s="22"/>
      <c r="AI46" s="22"/>
      <c r="AJ46" s="22"/>
      <c r="AK46" s="22"/>
      <c r="AL46" s="22"/>
      <c r="AM46" s="104"/>
      <c r="AN46" s="104"/>
      <c r="AO46" s="22"/>
      <c r="AP46" s="22"/>
      <c r="AQ46" s="22"/>
      <c r="AR46" s="22"/>
      <c r="AS46" s="22"/>
      <c r="AT46" s="197"/>
    </row>
    <row r="47" spans="1:58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120"/>
      <c r="Q47" s="22"/>
      <c r="R47" s="104"/>
      <c r="S47" s="104"/>
      <c r="T47" s="22"/>
      <c r="U47" s="22"/>
      <c r="V47" s="22"/>
      <c r="W47" s="22"/>
      <c r="X47" s="22"/>
      <c r="Y47" s="104"/>
      <c r="Z47" s="104"/>
      <c r="AA47" s="22"/>
      <c r="AB47" s="22"/>
      <c r="AC47" s="22"/>
      <c r="AD47" s="22"/>
      <c r="AE47" s="22"/>
      <c r="AF47" s="104"/>
      <c r="AG47" s="104"/>
      <c r="AH47" s="22"/>
      <c r="AI47" s="22"/>
      <c r="AJ47" s="22"/>
      <c r="AK47" s="22"/>
      <c r="AL47" s="22"/>
      <c r="AM47" s="104"/>
      <c r="AN47" s="104"/>
      <c r="AO47" s="22"/>
      <c r="AP47" s="22"/>
      <c r="AQ47" s="22"/>
      <c r="AR47" s="22"/>
      <c r="AS47" s="22"/>
      <c r="AT47" s="197"/>
    </row>
    <row r="48" spans="1:58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120"/>
      <c r="Q48" s="22"/>
      <c r="R48" s="104"/>
      <c r="S48" s="104"/>
      <c r="T48" s="22"/>
      <c r="U48" s="22"/>
      <c r="V48" s="22"/>
      <c r="W48" s="22"/>
      <c r="X48" s="22"/>
      <c r="Y48" s="104"/>
      <c r="Z48" s="104"/>
      <c r="AA48" s="22"/>
      <c r="AB48" s="22"/>
      <c r="AC48" s="22"/>
      <c r="AD48" s="22"/>
      <c r="AE48" s="22"/>
      <c r="AF48" s="104"/>
      <c r="AG48" s="104"/>
      <c r="AH48" s="22"/>
      <c r="AI48" s="22"/>
      <c r="AJ48" s="22"/>
      <c r="AK48" s="22"/>
      <c r="AL48" s="22"/>
      <c r="AM48" s="104"/>
      <c r="AN48" s="104"/>
      <c r="AO48" s="22"/>
      <c r="AP48" s="22"/>
      <c r="AQ48" s="22"/>
      <c r="AR48" s="22"/>
      <c r="AS48" s="22"/>
      <c r="AT48" s="197"/>
    </row>
    <row r="49" spans="1:58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134">
        <f t="shared" si="27"/>
        <v>0</v>
      </c>
      <c r="E49" s="123">
        <f t="shared" si="28"/>
        <v>0</v>
      </c>
      <c r="F49" s="123">
        <f t="shared" si="29"/>
        <v>0</v>
      </c>
      <c r="G49" s="123">
        <f t="shared" si="30"/>
        <v>0</v>
      </c>
      <c r="H49" s="123">
        <f t="shared" si="31"/>
        <v>0</v>
      </c>
      <c r="I49" s="123">
        <f t="shared" si="32"/>
        <v>0</v>
      </c>
      <c r="J49" s="123">
        <f t="shared" si="33"/>
        <v>0</v>
      </c>
      <c r="K49" s="123">
        <f t="shared" si="34"/>
        <v>0</v>
      </c>
      <c r="L49" s="123">
        <f t="shared" si="35"/>
        <v>0</v>
      </c>
      <c r="M49" s="123">
        <f t="shared" si="36"/>
        <v>0</v>
      </c>
      <c r="N49" s="123">
        <f t="shared" si="37"/>
        <v>0</v>
      </c>
      <c r="O49" s="140">
        <f t="shared" si="38"/>
        <v>0</v>
      </c>
      <c r="P49" s="281"/>
      <c r="Q49" s="184"/>
      <c r="R49" s="233"/>
      <c r="S49" s="233"/>
      <c r="T49" s="184"/>
      <c r="U49" s="184"/>
      <c r="V49" s="184"/>
      <c r="W49" s="184"/>
      <c r="X49" s="184"/>
      <c r="Y49" s="233"/>
      <c r="Z49" s="233"/>
      <c r="AA49" s="184"/>
      <c r="AB49" s="184"/>
      <c r="AC49" s="184"/>
      <c r="AD49" s="184"/>
      <c r="AE49" s="184"/>
      <c r="AF49" s="233"/>
      <c r="AG49" s="233"/>
      <c r="AH49" s="184"/>
      <c r="AI49" s="184"/>
      <c r="AJ49" s="184"/>
      <c r="AK49" s="184"/>
      <c r="AL49" s="184"/>
      <c r="AM49" s="233"/>
      <c r="AN49" s="233"/>
      <c r="AO49" s="184"/>
      <c r="AP49" s="184"/>
      <c r="AQ49" s="184"/>
      <c r="AR49" s="184"/>
      <c r="AS49" s="184"/>
      <c r="AT49" s="234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177"/>
      <c r="AT50" s="177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103">
        <f t="shared" ref="D51:D62" si="39">COUNTIF(P51:AS51,"p")</f>
        <v>0</v>
      </c>
      <c r="E51" s="22">
        <f t="shared" ref="E51:E62" si="40">COUNTIF(P51:AS51,"PC")</f>
        <v>0</v>
      </c>
      <c r="F51" s="22">
        <f t="shared" ref="F51:F62" si="41">COUNTIF(P51:AS51,"f")</f>
        <v>0</v>
      </c>
      <c r="G51" s="22">
        <f t="shared" ref="G51:G62" si="42">COUNTIF(P51:AS51,"ast")</f>
        <v>0</v>
      </c>
      <c r="H51" s="22">
        <f t="shared" ref="H51:H62" si="43">COUNTIF(P51:AS51,"cA")</f>
        <v>0</v>
      </c>
      <c r="I51" s="22">
        <f t="shared" ref="I51:I62" si="44">COUNTIF(P51:AS51,"rtt")</f>
        <v>0</v>
      </c>
      <c r="J51" s="22">
        <f t="shared" ref="J51:J62" si="45">COUNTIF(P51:AS51,"cex")</f>
        <v>0</v>
      </c>
      <c r="K51" s="22">
        <f t="shared" ref="K51:K62" si="46">COUNTIF(P51:AS51,"res")</f>
        <v>0</v>
      </c>
      <c r="L51" s="22">
        <f t="shared" ref="L51:L62" si="47">COUNTIF(P51:AS51,"mA")</f>
        <v>0</v>
      </c>
      <c r="M51" s="22">
        <f t="shared" ref="M51:M62" si="48">COUNTIF(P51:AS51,"at")</f>
        <v>0</v>
      </c>
      <c r="N51" s="22">
        <f t="shared" ref="N51:N62" si="49">COUNTIF(P51:AS51,"TAD")</f>
        <v>0</v>
      </c>
      <c r="O51" s="106">
        <f t="shared" ref="O51:O62" si="50">COUNTIF(P51:AS51,"TP")</f>
        <v>0</v>
      </c>
      <c r="P51" s="120"/>
      <c r="Q51" s="22"/>
      <c r="R51" s="104"/>
      <c r="S51" s="104"/>
      <c r="T51" s="22"/>
      <c r="U51" s="22"/>
      <c r="V51" s="22"/>
      <c r="W51" s="22"/>
      <c r="X51" s="22"/>
      <c r="Y51" s="104"/>
      <c r="Z51" s="104"/>
      <c r="AA51" s="22"/>
      <c r="AB51" s="22"/>
      <c r="AC51" s="22"/>
      <c r="AD51" s="22"/>
      <c r="AE51" s="22"/>
      <c r="AF51" s="104"/>
      <c r="AG51" s="104"/>
      <c r="AH51" s="22"/>
      <c r="AI51" s="22"/>
      <c r="AJ51" s="22"/>
      <c r="AK51" s="22"/>
      <c r="AL51" s="22"/>
      <c r="AM51" s="104"/>
      <c r="AN51" s="104"/>
      <c r="AO51" s="22"/>
      <c r="AP51" s="22"/>
      <c r="AQ51" s="22"/>
      <c r="AR51" s="22"/>
      <c r="AS51" s="22"/>
      <c r="AT51" s="104"/>
      <c r="AV51" s="168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2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120"/>
      <c r="Q52" s="22" t="s">
        <v>220</v>
      </c>
      <c r="R52" s="104"/>
      <c r="S52" s="104"/>
      <c r="T52" s="22" t="s">
        <v>220</v>
      </c>
      <c r="U52" s="22"/>
      <c r="V52" s="22"/>
      <c r="W52" s="22"/>
      <c r="X52" s="22"/>
      <c r="Y52" s="104"/>
      <c r="Z52" s="104"/>
      <c r="AA52" s="22"/>
      <c r="AB52" s="22"/>
      <c r="AC52" s="22"/>
      <c r="AD52" s="22"/>
      <c r="AE52" s="22"/>
      <c r="AF52" s="104"/>
      <c r="AG52" s="104"/>
      <c r="AH52" s="22"/>
      <c r="AI52" s="22"/>
      <c r="AJ52" s="22"/>
      <c r="AK52" s="22"/>
      <c r="AL52" s="22"/>
      <c r="AM52" s="104"/>
      <c r="AN52" s="104"/>
      <c r="AO52" s="22"/>
      <c r="AP52" s="22"/>
      <c r="AQ52" s="22"/>
      <c r="AR52" s="22"/>
      <c r="AS52" s="22"/>
      <c r="AT52" s="104"/>
      <c r="AU52" s="19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2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120"/>
      <c r="Q53" s="22"/>
      <c r="R53" s="104"/>
      <c r="S53" s="104"/>
      <c r="T53" s="22"/>
      <c r="U53" s="22"/>
      <c r="V53" s="22"/>
      <c r="W53" s="22"/>
      <c r="X53" s="22"/>
      <c r="Y53" s="104"/>
      <c r="Z53" s="104"/>
      <c r="AA53" s="22"/>
      <c r="AB53" s="22"/>
      <c r="AC53" s="22"/>
      <c r="AD53" s="22"/>
      <c r="AE53" s="22"/>
      <c r="AF53" s="104"/>
      <c r="AG53" s="104"/>
      <c r="AH53" s="22"/>
      <c r="AI53" s="22"/>
      <c r="AJ53" s="22"/>
      <c r="AK53" s="22"/>
      <c r="AL53" s="22"/>
      <c r="AM53" s="104"/>
      <c r="AN53" s="104"/>
      <c r="AO53" s="22"/>
      <c r="AP53" s="22"/>
      <c r="AQ53" s="22"/>
      <c r="AR53" s="22"/>
      <c r="AS53" s="22"/>
      <c r="AT53" s="104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120"/>
      <c r="Q54" s="22"/>
      <c r="R54" s="104"/>
      <c r="S54" s="104"/>
      <c r="T54" s="22"/>
      <c r="U54" s="22"/>
      <c r="V54" s="22"/>
      <c r="W54" s="22"/>
      <c r="X54" s="22"/>
      <c r="Y54" s="104"/>
      <c r="Z54" s="104"/>
      <c r="AA54" s="22"/>
      <c r="AB54" s="22"/>
      <c r="AC54" s="22"/>
      <c r="AD54" s="22"/>
      <c r="AE54" s="22"/>
      <c r="AF54" s="104"/>
      <c r="AG54" s="104"/>
      <c r="AH54" s="22"/>
      <c r="AI54" s="22"/>
      <c r="AJ54" s="22"/>
      <c r="AK54" s="22"/>
      <c r="AL54" s="22"/>
      <c r="AM54" s="104"/>
      <c r="AN54" s="104"/>
      <c r="AO54" s="22"/>
      <c r="AP54" s="22"/>
      <c r="AQ54" s="22"/>
      <c r="AR54" s="22"/>
      <c r="AS54" s="22"/>
      <c r="AT54" s="104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120"/>
      <c r="Q55" s="22"/>
      <c r="R55" s="104"/>
      <c r="S55" s="104"/>
      <c r="T55" s="22"/>
      <c r="U55" s="22"/>
      <c r="V55" s="22"/>
      <c r="W55" s="22"/>
      <c r="X55" s="22"/>
      <c r="Y55" s="104"/>
      <c r="Z55" s="104"/>
      <c r="AA55" s="22"/>
      <c r="AB55" s="22"/>
      <c r="AC55" s="22"/>
      <c r="AD55" s="22"/>
      <c r="AE55" s="22"/>
      <c r="AF55" s="104"/>
      <c r="AG55" s="104"/>
      <c r="AH55" s="22"/>
      <c r="AI55" s="22"/>
      <c r="AJ55" s="22"/>
      <c r="AK55" s="22"/>
      <c r="AL55" s="22"/>
      <c r="AM55" s="104"/>
      <c r="AN55" s="104"/>
      <c r="AO55" s="22"/>
      <c r="AP55" s="22"/>
      <c r="AQ55" s="22"/>
      <c r="AR55" s="22"/>
      <c r="AS55" s="22"/>
      <c r="AT55" s="104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120"/>
      <c r="Q56" s="22"/>
      <c r="R56" s="104"/>
      <c r="S56" s="104"/>
      <c r="T56" s="22"/>
      <c r="U56" s="22"/>
      <c r="V56" s="22"/>
      <c r="W56" s="22"/>
      <c r="X56" s="22"/>
      <c r="Y56" s="104"/>
      <c r="Z56" s="104"/>
      <c r="AA56" s="22"/>
      <c r="AB56" s="22"/>
      <c r="AC56" s="22"/>
      <c r="AD56" s="22"/>
      <c r="AE56" s="22"/>
      <c r="AF56" s="104"/>
      <c r="AG56" s="104"/>
      <c r="AH56" s="22"/>
      <c r="AI56" s="22"/>
      <c r="AJ56" s="22"/>
      <c r="AK56" s="22"/>
      <c r="AL56" s="22"/>
      <c r="AM56" s="104"/>
      <c r="AN56" s="104"/>
      <c r="AO56" s="22"/>
      <c r="AP56" s="22"/>
      <c r="AQ56" s="22"/>
      <c r="AR56" s="22"/>
      <c r="AS56" s="22"/>
      <c r="AT56" s="104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120"/>
      <c r="Q57" s="22"/>
      <c r="R57" s="104"/>
      <c r="S57" s="104"/>
      <c r="T57" s="22"/>
      <c r="U57" s="22"/>
      <c r="V57" s="22"/>
      <c r="W57" s="22"/>
      <c r="X57" s="22"/>
      <c r="Y57" s="104"/>
      <c r="Z57" s="104"/>
      <c r="AA57" s="22"/>
      <c r="AB57" s="22"/>
      <c r="AC57" s="22"/>
      <c r="AD57" s="22"/>
      <c r="AE57" s="22"/>
      <c r="AF57" s="104"/>
      <c r="AG57" s="104"/>
      <c r="AH57" s="22"/>
      <c r="AI57" s="22"/>
      <c r="AJ57" s="22"/>
      <c r="AK57" s="22"/>
      <c r="AL57" s="22"/>
      <c r="AM57" s="104"/>
      <c r="AN57" s="104"/>
      <c r="AO57" s="22"/>
      <c r="AP57" s="22"/>
      <c r="AQ57" s="22"/>
      <c r="AR57" s="22"/>
      <c r="AS57" s="22"/>
      <c r="AT57" s="104"/>
      <c r="AU57" s="19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120"/>
      <c r="Q58" s="22"/>
      <c r="R58" s="104"/>
      <c r="S58" s="104"/>
      <c r="T58" s="22"/>
      <c r="U58" s="22"/>
      <c r="V58" s="22"/>
      <c r="W58" s="22"/>
      <c r="X58" s="22"/>
      <c r="Y58" s="104"/>
      <c r="Z58" s="104"/>
      <c r="AA58" s="22"/>
      <c r="AB58" s="22"/>
      <c r="AC58" s="22"/>
      <c r="AD58" s="22"/>
      <c r="AE58" s="22"/>
      <c r="AF58" s="104"/>
      <c r="AG58" s="104"/>
      <c r="AH58" s="22"/>
      <c r="AI58" s="22"/>
      <c r="AJ58" s="22"/>
      <c r="AK58" s="22"/>
      <c r="AL58" s="22"/>
      <c r="AM58" s="104"/>
      <c r="AN58" s="104"/>
      <c r="AO58" s="22"/>
      <c r="AP58" s="22"/>
      <c r="AQ58" s="22"/>
      <c r="AR58" s="22"/>
      <c r="AS58" s="22"/>
      <c r="AT58" s="104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120"/>
      <c r="Q59" s="22"/>
      <c r="R59" s="104"/>
      <c r="S59" s="104"/>
      <c r="T59" s="22"/>
      <c r="U59" s="22"/>
      <c r="V59" s="22"/>
      <c r="W59" s="22"/>
      <c r="X59" s="22"/>
      <c r="Y59" s="104"/>
      <c r="Z59" s="104"/>
      <c r="AA59" s="22"/>
      <c r="AB59" s="22"/>
      <c r="AC59" s="22"/>
      <c r="AD59" s="22"/>
      <c r="AE59" s="22"/>
      <c r="AF59" s="104"/>
      <c r="AG59" s="104"/>
      <c r="AH59" s="22"/>
      <c r="AI59" s="22"/>
      <c r="AJ59" s="22"/>
      <c r="AK59" s="22"/>
      <c r="AL59" s="22"/>
      <c r="AM59" s="104"/>
      <c r="AN59" s="104"/>
      <c r="AO59" s="22"/>
      <c r="AP59" s="22"/>
      <c r="AQ59" s="22"/>
      <c r="AR59" s="22"/>
      <c r="AS59" s="22"/>
      <c r="AT59" s="104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120"/>
      <c r="Q60" s="22"/>
      <c r="R60" s="104"/>
      <c r="S60" s="104"/>
      <c r="T60" s="22"/>
      <c r="U60" s="22"/>
      <c r="V60" s="22"/>
      <c r="W60" s="22"/>
      <c r="X60" s="22"/>
      <c r="Y60" s="104"/>
      <c r="Z60" s="104"/>
      <c r="AA60" s="22"/>
      <c r="AB60" s="22"/>
      <c r="AC60" s="22"/>
      <c r="AD60" s="22"/>
      <c r="AE60" s="22"/>
      <c r="AF60" s="104"/>
      <c r="AG60" s="104"/>
      <c r="AH60" s="22"/>
      <c r="AI60" s="22"/>
      <c r="AJ60" s="22"/>
      <c r="AK60" s="22"/>
      <c r="AL60" s="22"/>
      <c r="AM60" s="104"/>
      <c r="AN60" s="104"/>
      <c r="AO60" s="22"/>
      <c r="AP60" s="22"/>
      <c r="AQ60" s="22"/>
      <c r="AR60" s="22"/>
      <c r="AS60" s="22"/>
      <c r="AT60" s="104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120"/>
      <c r="Q61" s="22"/>
      <c r="R61" s="104"/>
      <c r="S61" s="104"/>
      <c r="T61" s="22"/>
      <c r="U61" s="22"/>
      <c r="V61" s="22"/>
      <c r="W61" s="22"/>
      <c r="X61" s="22"/>
      <c r="Y61" s="104"/>
      <c r="Z61" s="104"/>
      <c r="AA61" s="22"/>
      <c r="AB61" s="22"/>
      <c r="AC61" s="22"/>
      <c r="AD61" s="22"/>
      <c r="AE61" s="22"/>
      <c r="AF61" s="104"/>
      <c r="AG61" s="104"/>
      <c r="AH61" s="22"/>
      <c r="AI61" s="22"/>
      <c r="AJ61" s="22"/>
      <c r="AK61" s="22"/>
      <c r="AL61" s="22"/>
      <c r="AM61" s="104"/>
      <c r="AN61" s="104"/>
      <c r="AO61" s="22"/>
      <c r="AP61" s="22"/>
      <c r="AQ61" s="22"/>
      <c r="AR61" s="22"/>
      <c r="AS61" s="22"/>
      <c r="AT61" s="104"/>
    </row>
    <row r="62" spans="1:58" ht="20.100000000000001" customHeight="1" thickBot="1" x14ac:dyDescent="0.3">
      <c r="A62" s="174" t="str">
        <f>IFERROR(IF(config!E54="","",config!E54),"")</f>
        <v>N019975</v>
      </c>
      <c r="B62" s="174" t="str">
        <f>IFERROR(IF(config!F54="","",config!F54),"")</f>
        <v>VILLENEUVE</v>
      </c>
      <c r="C62" s="175" t="str">
        <f>IFERROR(IF(config!G54="","",config!G54),"")</f>
        <v>Fabrice</v>
      </c>
      <c r="D62" s="134">
        <f t="shared" si="39"/>
        <v>0</v>
      </c>
      <c r="E62" s="123">
        <f t="shared" si="40"/>
        <v>0</v>
      </c>
      <c r="F62" s="123">
        <f t="shared" si="41"/>
        <v>0</v>
      </c>
      <c r="G62" s="123">
        <f t="shared" si="42"/>
        <v>0</v>
      </c>
      <c r="H62" s="123">
        <f t="shared" si="43"/>
        <v>0</v>
      </c>
      <c r="I62" s="123">
        <f t="shared" si="44"/>
        <v>0</v>
      </c>
      <c r="J62" s="123">
        <f t="shared" si="45"/>
        <v>0</v>
      </c>
      <c r="K62" s="123">
        <f t="shared" si="46"/>
        <v>0</v>
      </c>
      <c r="L62" s="123">
        <f t="shared" si="47"/>
        <v>0</v>
      </c>
      <c r="M62" s="123">
        <f t="shared" si="48"/>
        <v>0</v>
      </c>
      <c r="N62" s="123">
        <f t="shared" si="49"/>
        <v>0</v>
      </c>
      <c r="O62" s="140">
        <f t="shared" si="50"/>
        <v>0</v>
      </c>
      <c r="P62" s="120"/>
      <c r="Q62" s="22"/>
      <c r="R62" s="104"/>
      <c r="S62" s="104"/>
      <c r="T62" s="22"/>
      <c r="U62" s="22"/>
      <c r="V62" s="22"/>
      <c r="W62" s="22"/>
      <c r="X62" s="22"/>
      <c r="Y62" s="104"/>
      <c r="Z62" s="104"/>
      <c r="AA62" s="22"/>
      <c r="AB62" s="22"/>
      <c r="AC62" s="22"/>
      <c r="AD62" s="22"/>
      <c r="AE62" s="22"/>
      <c r="AF62" s="104"/>
      <c r="AG62" s="104"/>
      <c r="AH62" s="22"/>
      <c r="AI62" s="22"/>
      <c r="AJ62" s="22"/>
      <c r="AK62" s="22"/>
      <c r="AL62" s="22"/>
      <c r="AM62" s="104"/>
      <c r="AN62" s="104"/>
      <c r="AO62" s="22"/>
      <c r="AP62" s="22"/>
      <c r="AQ62" s="22"/>
      <c r="AR62" s="22"/>
      <c r="AS62" s="22"/>
      <c r="AT62" s="104"/>
    </row>
    <row r="63" spans="1:58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9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120"/>
      <c r="Q64" s="22"/>
      <c r="R64" s="104"/>
      <c r="S64" s="104"/>
      <c r="T64" s="22"/>
      <c r="U64" s="22"/>
      <c r="V64" s="22"/>
      <c r="W64" s="22"/>
      <c r="X64" s="22"/>
      <c r="Y64" s="104"/>
      <c r="Z64" s="104"/>
      <c r="AA64" s="22"/>
      <c r="AB64" s="22"/>
      <c r="AC64" s="22"/>
      <c r="AD64" s="22"/>
      <c r="AE64" s="22"/>
      <c r="AF64" s="104"/>
      <c r="AG64" s="104"/>
      <c r="AH64" s="22"/>
      <c r="AI64" s="22"/>
      <c r="AJ64" s="22"/>
      <c r="AK64" s="22"/>
      <c r="AL64" s="22"/>
      <c r="AM64" s="104"/>
      <c r="AN64" s="104"/>
      <c r="AO64" s="22"/>
      <c r="AP64" s="22"/>
      <c r="AQ64" s="22"/>
      <c r="AR64" s="22"/>
      <c r="AS64" s="22"/>
      <c r="AT64" s="104"/>
      <c r="AV64" s="168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120"/>
      <c r="Q65" s="22"/>
      <c r="R65" s="104"/>
      <c r="S65" s="104"/>
      <c r="T65" s="22"/>
      <c r="U65" s="22"/>
      <c r="V65" s="22"/>
      <c r="W65" s="22"/>
      <c r="X65" s="22"/>
      <c r="Y65" s="104"/>
      <c r="Z65" s="104"/>
      <c r="AA65" s="22"/>
      <c r="AB65" s="22"/>
      <c r="AC65" s="22"/>
      <c r="AD65" s="22"/>
      <c r="AE65" s="22"/>
      <c r="AF65" s="104"/>
      <c r="AG65" s="104"/>
      <c r="AH65" s="22"/>
      <c r="AI65" s="22"/>
      <c r="AJ65" s="22"/>
      <c r="AK65" s="22"/>
      <c r="AL65" s="22"/>
      <c r="AM65" s="104"/>
      <c r="AN65" s="104"/>
      <c r="AO65" s="22"/>
      <c r="AP65" s="22"/>
      <c r="AQ65" s="22"/>
      <c r="AR65" s="22"/>
      <c r="AS65" s="22"/>
      <c r="AT65" s="104"/>
      <c r="AV65" s="19">
        <f>COUNTIF(P64:AS75,"P")</f>
        <v>0</v>
      </c>
      <c r="AW65" s="19">
        <f>COUNTIF(P64:AS75,"PC")</f>
        <v>0</v>
      </c>
      <c r="AX65" s="19">
        <f>COUNTIF(P64:AS75,"F")</f>
        <v>0</v>
      </c>
      <c r="AY65" s="19">
        <f>COUNTIF(P64:AS75,"AST")</f>
        <v>0</v>
      </c>
      <c r="AZ65" s="19">
        <f>COUNTIF(P64:AS75,"Ca")</f>
        <v>0</v>
      </c>
      <c r="BA65" s="19">
        <f>COUNTIF(P64:AS75,"RTT")</f>
        <v>0</v>
      </c>
      <c r="BB65" s="19">
        <f>COUNTIF(P64:AS75,"CEX")</f>
        <v>0</v>
      </c>
      <c r="BC65" s="19">
        <f>COUNTIF(P64:AS75,"RES")</f>
        <v>0</v>
      </c>
      <c r="BD65" s="19">
        <f>COUNTIF(P64:AS75,"MA")</f>
        <v>0</v>
      </c>
      <c r="BE65" s="19">
        <f>COUNTIF(P64:AS75,"AT")</f>
        <v>0</v>
      </c>
      <c r="BF65" s="19">
        <f>COUNTIF(P64:AS75,"TP")</f>
        <v>11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11</v>
      </c>
      <c r="P66" s="120"/>
      <c r="Q66" s="22" t="s">
        <v>205</v>
      </c>
      <c r="R66" s="104"/>
      <c r="S66" s="104"/>
      <c r="T66" s="8"/>
      <c r="U66" s="8" t="s">
        <v>205</v>
      </c>
      <c r="V66" s="8"/>
      <c r="W66" s="8" t="s">
        <v>205</v>
      </c>
      <c r="X66" s="8"/>
      <c r="Y66" s="94"/>
      <c r="Z66" s="94"/>
      <c r="AA66" s="8" t="s">
        <v>205</v>
      </c>
      <c r="AB66" s="8"/>
      <c r="AC66" s="8" t="s">
        <v>205</v>
      </c>
      <c r="AD66" s="8"/>
      <c r="AE66" s="8" t="s">
        <v>205</v>
      </c>
      <c r="AF66" s="104"/>
      <c r="AG66" s="104"/>
      <c r="AH66" s="8"/>
      <c r="AI66" s="8" t="s">
        <v>205</v>
      </c>
      <c r="AJ66" s="8"/>
      <c r="AK66" s="8" t="s">
        <v>205</v>
      </c>
      <c r="AL66" s="8"/>
      <c r="AM66" s="94"/>
      <c r="AN66" s="94"/>
      <c r="AO66" s="8" t="s">
        <v>205</v>
      </c>
      <c r="AP66" s="8"/>
      <c r="AQ66" s="8" t="s">
        <v>205</v>
      </c>
      <c r="AR66" s="8"/>
      <c r="AS66" s="8" t="s">
        <v>205</v>
      </c>
      <c r="AT66" s="104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120"/>
      <c r="Q67" s="22"/>
      <c r="R67" s="104"/>
      <c r="S67" s="104"/>
      <c r="T67" s="22"/>
      <c r="U67" s="22"/>
      <c r="V67" s="22"/>
      <c r="W67" s="22"/>
      <c r="X67" s="22"/>
      <c r="Y67" s="104"/>
      <c r="Z67" s="104"/>
      <c r="AA67" s="22"/>
      <c r="AB67" s="22"/>
      <c r="AC67" s="22"/>
      <c r="AD67" s="22"/>
      <c r="AE67" s="22"/>
      <c r="AF67" s="104"/>
      <c r="AG67" s="104"/>
      <c r="AH67" s="22"/>
      <c r="AI67" s="22"/>
      <c r="AJ67" s="22"/>
      <c r="AK67" s="22"/>
      <c r="AL67" s="22"/>
      <c r="AM67" s="104"/>
      <c r="AN67" s="104"/>
      <c r="AO67" s="22"/>
      <c r="AP67" s="22"/>
      <c r="AQ67" s="22"/>
      <c r="AR67" s="22"/>
      <c r="AS67" s="22"/>
      <c r="AT67" s="104"/>
    </row>
    <row r="68" spans="1:58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120"/>
      <c r="Q68" s="22"/>
      <c r="R68" s="104"/>
      <c r="S68" s="104"/>
      <c r="T68" s="22"/>
      <c r="U68" s="22"/>
      <c r="V68" s="22"/>
      <c r="W68" s="22"/>
      <c r="X68" s="22"/>
      <c r="Y68" s="104"/>
      <c r="Z68" s="104"/>
      <c r="AA68" s="22"/>
      <c r="AB68" s="22"/>
      <c r="AC68" s="22"/>
      <c r="AD68" s="22"/>
      <c r="AE68" s="22"/>
      <c r="AF68" s="104"/>
      <c r="AG68" s="104"/>
      <c r="AH68" s="22"/>
      <c r="AI68" s="22"/>
      <c r="AJ68" s="22"/>
      <c r="AK68" s="22"/>
      <c r="AL68" s="22"/>
      <c r="AM68" s="104"/>
      <c r="AN68" s="104"/>
      <c r="AO68" s="22"/>
      <c r="AP68" s="22"/>
      <c r="AQ68" s="22"/>
      <c r="AR68" s="22"/>
      <c r="AS68" s="22"/>
      <c r="AT68" s="104"/>
    </row>
    <row r="69" spans="1:58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8">
        <f t="shared" si="51"/>
        <v>0</v>
      </c>
      <c r="E69" s="89">
        <f t="shared" si="52"/>
        <v>0</v>
      </c>
      <c r="F69" s="89">
        <f t="shared" si="53"/>
        <v>0</v>
      </c>
      <c r="G69" s="89">
        <f t="shared" si="54"/>
        <v>0</v>
      </c>
      <c r="H69" s="89">
        <f t="shared" si="55"/>
        <v>0</v>
      </c>
      <c r="I69" s="89">
        <f t="shared" si="56"/>
        <v>0</v>
      </c>
      <c r="J69" s="89">
        <f t="shared" si="57"/>
        <v>0</v>
      </c>
      <c r="K69" s="89">
        <f t="shared" si="58"/>
        <v>0</v>
      </c>
      <c r="L69" s="89">
        <f t="shared" si="59"/>
        <v>0</v>
      </c>
      <c r="M69" s="89">
        <f t="shared" si="60"/>
        <v>0</v>
      </c>
      <c r="N69" s="89">
        <f t="shared" si="61"/>
        <v>0</v>
      </c>
      <c r="O69" s="93">
        <f t="shared" si="62"/>
        <v>0</v>
      </c>
      <c r="P69" s="120"/>
      <c r="Q69" s="22"/>
      <c r="R69" s="104"/>
      <c r="S69" s="104"/>
      <c r="T69" s="22"/>
      <c r="U69" s="22"/>
      <c r="V69" s="22"/>
      <c r="W69" s="22"/>
      <c r="X69" s="22"/>
      <c r="Y69" s="104"/>
      <c r="Z69" s="104"/>
      <c r="AA69" s="22"/>
      <c r="AB69" s="22"/>
      <c r="AC69" s="22"/>
      <c r="AD69" s="22"/>
      <c r="AE69" s="22"/>
      <c r="AF69" s="104"/>
      <c r="AG69" s="104"/>
      <c r="AH69" s="22"/>
      <c r="AI69" s="22"/>
      <c r="AJ69" s="22"/>
      <c r="AK69" s="22"/>
      <c r="AL69" s="22"/>
      <c r="AM69" s="104"/>
      <c r="AN69" s="104"/>
      <c r="AO69" s="22"/>
      <c r="AP69" s="22"/>
      <c r="AQ69" s="22"/>
      <c r="AR69" s="22"/>
      <c r="AS69" s="22"/>
      <c r="AT69" s="104"/>
    </row>
    <row r="78" spans="1:58" x14ac:dyDescent="0.25">
      <c r="T78" s="19" t="s">
        <v>194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326" priority="181" operator="equal">
      <formula>"repos"</formula>
    </cfRule>
    <cfRule type="cellIs" dxfId="1325" priority="182" operator="equal">
      <formula>"permanence"</formula>
    </cfRule>
    <cfRule type="cellIs" dxfId="1324" priority="183" operator="equal">
      <formula>"dimanche"</formula>
    </cfRule>
    <cfRule type="cellIs" dxfId="1323" priority="184" operator="equal">
      <formula>"formation"</formula>
    </cfRule>
    <cfRule type="cellIs" dxfId="1322" priority="185" operator="equal">
      <formula>"conges exc"</formula>
    </cfRule>
    <cfRule type="cellIs" dxfId="1321" priority="186" operator="equal">
      <formula>"conges"</formula>
    </cfRule>
    <cfRule type="cellIs" dxfId="1320" priority="187" operator="equal">
      <formula>"asa"</formula>
    </cfRule>
    <cfRule type="cellIs" dxfId="1319" priority="188" operator="equal">
      <formula>"maladie / at"</formula>
    </cfRule>
    <cfRule type="cellIs" dxfId="1318" priority="189" operator="equal">
      <formula>"presence"</formula>
    </cfRule>
  </conditionalFormatting>
  <conditionalFormatting sqref="D11:O20 D23:O24 D26:O29 D31:O36 D39:O49 D51:O62 D64:O69">
    <cfRule type="cellIs" dxfId="1317" priority="190" operator="equal">
      <formula>0</formula>
    </cfRule>
  </conditionalFormatting>
  <conditionalFormatting sqref="P9:AT9">
    <cfRule type="expression" dxfId="1316" priority="192">
      <formula>OR(P$9=1, P$9=7)</formula>
    </cfRule>
  </conditionalFormatting>
  <conditionalFormatting sqref="P9:AT10">
    <cfRule type="expression" dxfId="1315" priority="191">
      <formula>OR(P$9=1,P$9=7)</formula>
    </cfRule>
  </conditionalFormatting>
  <conditionalFormatting sqref="P23:AT24">
    <cfRule type="containsText" dxfId="131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313" priority="39" operator="containsText" text="AT">
      <formula>NOT(ISERROR(SEARCH("AT",P23)))</formula>
    </cfRule>
    <cfRule type="containsText" dxfId="1312" priority="40" operator="containsText" text="MA">
      <formula>NOT(ISERROR(SEARCH("MA",P23)))</formula>
    </cfRule>
    <cfRule type="containsText" dxfId="1311" priority="41" operator="containsText" text="RES">
      <formula>NOT(ISERROR(SEARCH("RES",P23)))</formula>
    </cfRule>
    <cfRule type="containsText" dxfId="1310" priority="42" operator="containsText" text="CEX">
      <formula>NOT(ISERROR(SEARCH("CEX",P23)))</formula>
    </cfRule>
    <cfRule type="containsText" dxfId="1309" priority="43" operator="containsText" text="RTT">
      <formula>NOT(ISERROR(SEARCH("RTT",P23)))</formula>
    </cfRule>
    <cfRule type="beginsWith" dxfId="1308" priority="44" operator="beginsWith" text="CA">
      <formula>LEFT(P23,LEN("CA"))="CA"</formula>
    </cfRule>
    <cfRule type="containsText" dxfId="1307" priority="45" operator="containsText" text="AST">
      <formula>NOT(ISERROR(SEARCH("AST",P23)))</formula>
    </cfRule>
    <cfRule type="containsText" dxfId="1306" priority="46" operator="containsText" text="F">
      <formula>NOT(ISERROR(SEARCH("F",P23)))</formula>
    </cfRule>
    <cfRule type="containsText" dxfId="1305" priority="47" operator="containsText" text="PC">
      <formula>NOT(ISERROR(SEARCH("PC",P23)))</formula>
    </cfRule>
    <cfRule type="containsText" dxfId="1304" priority="48" operator="containsText" text="P">
      <formula>NOT(ISERROR(SEARCH("P",P23)))</formula>
    </cfRule>
  </conditionalFormatting>
  <conditionalFormatting sqref="P26:AT29 P31:AT36">
    <cfRule type="containsText" dxfId="1303" priority="85" operator="containsText" text="TP">
      <formula>NOT(ISERROR(SEARCH("TP",P26)))</formula>
    </cfRule>
    <cfRule type="containsText" priority="86" operator="containsText" text="TAD">
      <formula>NOT(ISERROR(SEARCH("TAD",P26)))</formula>
    </cfRule>
    <cfRule type="containsText" dxfId="1302" priority="87" operator="containsText" text="AT">
      <formula>NOT(ISERROR(SEARCH("AT",P26)))</formula>
    </cfRule>
    <cfRule type="containsText" dxfId="1301" priority="88" operator="containsText" text="MA">
      <formula>NOT(ISERROR(SEARCH("MA",P26)))</formula>
    </cfRule>
    <cfRule type="containsText" dxfId="1300" priority="89" operator="containsText" text="RES">
      <formula>NOT(ISERROR(SEARCH("RES",P26)))</formula>
    </cfRule>
    <cfRule type="containsText" dxfId="1299" priority="90" operator="containsText" text="CEX">
      <formula>NOT(ISERROR(SEARCH("CEX",P26)))</formula>
    </cfRule>
    <cfRule type="containsText" dxfId="1298" priority="91" operator="containsText" text="RTT">
      <formula>NOT(ISERROR(SEARCH("RTT",P26)))</formula>
    </cfRule>
    <cfRule type="beginsWith" dxfId="1297" priority="92" operator="beginsWith" text="CA">
      <formula>LEFT(P26,LEN("CA"))="CA"</formula>
    </cfRule>
    <cfRule type="containsText" dxfId="1296" priority="93" operator="containsText" text="AST">
      <formula>NOT(ISERROR(SEARCH("AST",P26)))</formula>
    </cfRule>
    <cfRule type="containsText" dxfId="1295" priority="94" operator="containsText" text="F">
      <formula>NOT(ISERROR(SEARCH("F",P26)))</formula>
    </cfRule>
    <cfRule type="containsText" dxfId="1294" priority="95" operator="containsText" text="PC">
      <formula>NOT(ISERROR(SEARCH("PC",P26)))</formula>
    </cfRule>
    <cfRule type="containsText" dxfId="1293" priority="96" operator="containsText" text="P">
      <formula>NOT(ISERROR(SEARCH("P",P26)))</formula>
    </cfRule>
  </conditionalFormatting>
  <conditionalFormatting sqref="P39:AT49">
    <cfRule type="containsText" dxfId="1292" priority="73" operator="containsText" text="TP">
      <formula>NOT(ISERROR(SEARCH("TP",P39)))</formula>
    </cfRule>
    <cfRule type="containsText" priority="74" operator="containsText" text="TAD">
      <formula>NOT(ISERROR(SEARCH("TAD",P39)))</formula>
    </cfRule>
    <cfRule type="containsText" dxfId="1291" priority="75" operator="containsText" text="AT">
      <formula>NOT(ISERROR(SEARCH("AT",P39)))</formula>
    </cfRule>
    <cfRule type="containsText" dxfId="1290" priority="76" operator="containsText" text="MA">
      <formula>NOT(ISERROR(SEARCH("MA",P39)))</formula>
    </cfRule>
    <cfRule type="containsText" dxfId="1289" priority="77" operator="containsText" text="RES">
      <formula>NOT(ISERROR(SEARCH("RES",P39)))</formula>
    </cfRule>
    <cfRule type="containsText" dxfId="1288" priority="78" operator="containsText" text="CEX">
      <formula>NOT(ISERROR(SEARCH("CEX",P39)))</formula>
    </cfRule>
    <cfRule type="containsText" dxfId="1287" priority="79" operator="containsText" text="RTT">
      <formula>NOT(ISERROR(SEARCH("RTT",P39)))</formula>
    </cfRule>
    <cfRule type="beginsWith" dxfId="1286" priority="80" operator="beginsWith" text="CA">
      <formula>LEFT(P39,LEN("CA"))="CA"</formula>
    </cfRule>
    <cfRule type="containsText" dxfId="1285" priority="81" operator="containsText" text="AST">
      <formula>NOT(ISERROR(SEARCH("AST",P39)))</formula>
    </cfRule>
    <cfRule type="containsText" dxfId="1284" priority="82" operator="containsText" text="F">
      <formula>NOT(ISERROR(SEARCH("F",P39)))</formula>
    </cfRule>
    <cfRule type="containsText" dxfId="1283" priority="83" operator="containsText" text="PC">
      <formula>NOT(ISERROR(SEARCH("PC",P39)))</formula>
    </cfRule>
    <cfRule type="containsText" dxfId="1282" priority="84" operator="containsText" text="P">
      <formula>NOT(ISERROR(SEARCH("P",P39)))</formula>
    </cfRule>
  </conditionalFormatting>
  <conditionalFormatting sqref="P51:AT62">
    <cfRule type="containsText" dxfId="1281" priority="61" operator="containsText" text="TP">
      <formula>NOT(ISERROR(SEARCH("TP",P51)))</formula>
    </cfRule>
    <cfRule type="containsText" priority="62" operator="containsText" text="TAD">
      <formula>NOT(ISERROR(SEARCH("TAD",P51)))</formula>
    </cfRule>
    <cfRule type="containsText" dxfId="1280" priority="63" operator="containsText" text="AT">
      <formula>NOT(ISERROR(SEARCH("AT",P51)))</formula>
    </cfRule>
    <cfRule type="containsText" dxfId="1279" priority="64" operator="containsText" text="MA">
      <formula>NOT(ISERROR(SEARCH("MA",P51)))</formula>
    </cfRule>
    <cfRule type="containsText" dxfId="1278" priority="65" operator="containsText" text="RES">
      <formula>NOT(ISERROR(SEARCH("RES",P51)))</formula>
    </cfRule>
    <cfRule type="containsText" dxfId="1277" priority="66" operator="containsText" text="CEX">
      <formula>NOT(ISERROR(SEARCH("CEX",P51)))</formula>
    </cfRule>
    <cfRule type="containsText" dxfId="1276" priority="67" operator="containsText" text="RTT">
      <formula>NOT(ISERROR(SEARCH("RTT",P51)))</formula>
    </cfRule>
    <cfRule type="beginsWith" dxfId="1275" priority="68" operator="beginsWith" text="CA">
      <formula>LEFT(P51,LEN("CA"))="CA"</formula>
    </cfRule>
    <cfRule type="containsText" dxfId="1274" priority="69" operator="containsText" text="AST">
      <formula>NOT(ISERROR(SEARCH("AST",P51)))</formula>
    </cfRule>
    <cfRule type="containsText" dxfId="1273" priority="70" operator="containsText" text="F">
      <formula>NOT(ISERROR(SEARCH("F",P51)))</formula>
    </cfRule>
    <cfRule type="containsText" dxfId="1272" priority="71" operator="containsText" text="PC">
      <formula>NOT(ISERROR(SEARCH("PC",P51)))</formula>
    </cfRule>
    <cfRule type="containsText" dxfId="1271" priority="72" operator="containsText" text="P">
      <formula>NOT(ISERROR(SEARCH("P",P51)))</formula>
    </cfRule>
  </conditionalFormatting>
  <conditionalFormatting sqref="P64:AT69">
    <cfRule type="containsText" dxfId="127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69" priority="3" operator="containsText" text="AT">
      <formula>NOT(ISERROR(SEARCH("AT",P64)))</formula>
    </cfRule>
    <cfRule type="containsText" dxfId="1268" priority="4" operator="containsText" text="MA">
      <formula>NOT(ISERROR(SEARCH("MA",P64)))</formula>
    </cfRule>
    <cfRule type="containsText" dxfId="1267" priority="5" operator="containsText" text="RES">
      <formula>NOT(ISERROR(SEARCH("RES",P64)))</formula>
    </cfRule>
    <cfRule type="containsText" dxfId="1266" priority="6" operator="containsText" text="CEX">
      <formula>NOT(ISERROR(SEARCH("CEX",P64)))</formula>
    </cfRule>
    <cfRule type="containsText" dxfId="1265" priority="7" operator="containsText" text="RTT">
      <formula>NOT(ISERROR(SEARCH("RTT",P64)))</formula>
    </cfRule>
    <cfRule type="beginsWith" dxfId="1264" priority="8" operator="beginsWith" text="CA">
      <formula>LEFT(P64,LEN("CA"))="CA"</formula>
    </cfRule>
    <cfRule type="containsText" dxfId="1263" priority="9" operator="containsText" text="AST">
      <formula>NOT(ISERROR(SEARCH("AST",P64)))</formula>
    </cfRule>
    <cfRule type="containsText" dxfId="1262" priority="10" operator="containsText" text="F">
      <formula>NOT(ISERROR(SEARCH("F",P64)))</formula>
    </cfRule>
    <cfRule type="containsText" dxfId="1261" priority="11" operator="containsText" text="PC">
      <formula>NOT(ISERROR(SEARCH("PC",P64)))</formula>
    </cfRule>
    <cfRule type="containsText" dxfId="1260" priority="12" operator="containsText" text="P">
      <formula>NOT(ISERROR(SEARCH("P",P64)))</formula>
    </cfRule>
  </conditionalFormatting>
  <conditionalFormatting sqref="P11:AU20">
    <cfRule type="containsText" dxfId="1259" priority="25" operator="containsText" text="TP">
      <formula>NOT(ISERROR(SEARCH("TP",P11)))</formula>
    </cfRule>
    <cfRule type="containsText" priority="26" operator="containsText" text="TAD">
      <formula>NOT(ISERROR(SEARCH("TAD",P11)))</formula>
    </cfRule>
    <cfRule type="containsText" dxfId="1258" priority="27" operator="containsText" text="AT">
      <formula>NOT(ISERROR(SEARCH("AT",P11)))</formula>
    </cfRule>
    <cfRule type="containsText" dxfId="1257" priority="28" operator="containsText" text="MA">
      <formula>NOT(ISERROR(SEARCH("MA",P11)))</formula>
    </cfRule>
    <cfRule type="containsText" dxfId="1256" priority="29" operator="containsText" text="RES">
      <formula>NOT(ISERROR(SEARCH("RES",P11)))</formula>
    </cfRule>
    <cfRule type="containsText" dxfId="1255" priority="30" operator="containsText" text="CEX">
      <formula>NOT(ISERROR(SEARCH("CEX",P11)))</formula>
    </cfRule>
    <cfRule type="containsText" dxfId="1254" priority="31" operator="containsText" text="RTT">
      <formula>NOT(ISERROR(SEARCH("RTT",P11)))</formula>
    </cfRule>
    <cfRule type="beginsWith" dxfId="1253" priority="32" operator="beginsWith" text="CA">
      <formula>LEFT(P11,LEN("CA"))="CA"</formula>
    </cfRule>
    <cfRule type="containsText" dxfId="1252" priority="33" operator="containsText" text="AST">
      <formula>NOT(ISERROR(SEARCH("AST",P11)))</formula>
    </cfRule>
    <cfRule type="containsText" dxfId="1251" priority="34" operator="containsText" text="F">
      <formula>NOT(ISERROR(SEARCH("F",P11)))</formula>
    </cfRule>
    <cfRule type="containsText" dxfId="1250" priority="35" operator="containsText" text="PC">
      <formula>NOT(ISERROR(SEARCH("PC",P11)))</formula>
    </cfRule>
    <cfRule type="containsText" dxfId="1249" priority="36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100-000000000000}">
      <formula1>"P,M,A,C,CEX,F,R,T,8H"</formula1>
    </dataValidation>
    <dataValidation type="list" allowBlank="1" showInputMessage="1" showErrorMessage="1" sqref="T78" xr:uid="{00000000-0002-0000-0100-000001000000}">
      <formula1>$D$9:$O$9</formula1>
    </dataValidation>
    <dataValidation type="list" allowBlank="1" showInputMessage="1" showErrorMessage="1" sqref="P11:AU20 P23:AT24 P26:AT29 P31:AT36 P39:AT49 P51:AT62 P64:AT69" xr:uid="{00000000-0002-0000-01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76"/>
  <sheetViews>
    <sheetView zoomScale="90" zoomScaleNormal="90" workbookViewId="0">
      <pane xSplit="2" ySplit="10" topLeftCell="C57" activePane="bottomRight" state="frozen"/>
      <selection pane="topRight" activeCell="AQ41" sqref="AQ41"/>
      <selection pane="bottomLeft" activeCell="AQ41" sqref="AQ41"/>
      <selection pane="bottomRight" activeCell="Q66" sqref="Q66:AP66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3" width="5.7109375" style="19" customWidth="1"/>
    <col min="44" max="44" width="11.42578125" style="19" customWidth="1"/>
    <col min="45" max="45" width="4.42578125" style="19" bestFit="1" customWidth="1"/>
    <col min="46" max="53" width="3.140625" style="19" bestFit="1" customWidth="1"/>
    <col min="54" max="54" width="3.5703125" style="19" customWidth="1"/>
    <col min="55" max="55" width="3.140625" style="19" customWidth="1"/>
    <col min="56" max="56" width="11.42578125" style="19" customWidth="1"/>
    <col min="57" max="16384" width="11.42578125" style="19"/>
  </cols>
  <sheetData>
    <row r="1" spans="1:55" ht="15" customHeight="1" x14ac:dyDescent="0.25">
      <c r="A1" s="27">
        <f>config!B6</f>
        <v>46054</v>
      </c>
      <c r="P1" s="4"/>
      <c r="R1" s="4"/>
      <c r="T1" s="4"/>
      <c r="V1" s="4"/>
      <c r="X1" s="4"/>
      <c r="Z1" s="4"/>
      <c r="AB1" s="4"/>
      <c r="AD1" s="6"/>
      <c r="AF1" s="6"/>
    </row>
    <row r="2" spans="1:55" ht="15" customHeight="1" x14ac:dyDescent="0.25">
      <c r="A2" s="27">
        <f>config!C6</f>
        <v>46081</v>
      </c>
    </row>
    <row r="3" spans="1:55" ht="15" customHeight="1" x14ac:dyDescent="0.25">
      <c r="A3" s="27"/>
    </row>
    <row r="4" spans="1:55" ht="76.5" customHeight="1" x14ac:dyDescent="0.25">
      <c r="A4" s="27"/>
      <c r="P4" s="28">
        <f>A1</f>
        <v>46054</v>
      </c>
      <c r="Q4" s="28">
        <f t="shared" ref="Q4:AQ4" si="0">P4+1</f>
        <v>46055</v>
      </c>
      <c r="R4" s="28">
        <f t="shared" si="0"/>
        <v>46056</v>
      </c>
      <c r="S4" s="28">
        <f t="shared" si="0"/>
        <v>46057</v>
      </c>
      <c r="T4" s="28">
        <f t="shared" si="0"/>
        <v>46058</v>
      </c>
      <c r="U4" s="28">
        <f t="shared" si="0"/>
        <v>46059</v>
      </c>
      <c r="V4" s="28">
        <f t="shared" si="0"/>
        <v>46060</v>
      </c>
      <c r="W4" s="28">
        <f t="shared" si="0"/>
        <v>46061</v>
      </c>
      <c r="X4" s="28">
        <f t="shared" si="0"/>
        <v>46062</v>
      </c>
      <c r="Y4" s="28">
        <f t="shared" si="0"/>
        <v>46063</v>
      </c>
      <c r="Z4" s="28">
        <f t="shared" si="0"/>
        <v>46064</v>
      </c>
      <c r="AA4" s="28">
        <f t="shared" si="0"/>
        <v>46065</v>
      </c>
      <c r="AB4" s="28">
        <f t="shared" si="0"/>
        <v>46066</v>
      </c>
      <c r="AC4" s="28">
        <f t="shared" si="0"/>
        <v>46067</v>
      </c>
      <c r="AD4" s="28">
        <f t="shared" si="0"/>
        <v>46068</v>
      </c>
      <c r="AE4" s="28">
        <f t="shared" si="0"/>
        <v>46069</v>
      </c>
      <c r="AF4" s="28">
        <f t="shared" si="0"/>
        <v>46070</v>
      </c>
      <c r="AG4" s="28">
        <f t="shared" si="0"/>
        <v>46071</v>
      </c>
      <c r="AH4" s="28">
        <f t="shared" si="0"/>
        <v>46072</v>
      </c>
      <c r="AI4" s="28">
        <f t="shared" si="0"/>
        <v>46073</v>
      </c>
      <c r="AJ4" s="28">
        <f t="shared" si="0"/>
        <v>46074</v>
      </c>
      <c r="AK4" s="28">
        <f t="shared" si="0"/>
        <v>46075</v>
      </c>
      <c r="AL4" s="28">
        <f t="shared" si="0"/>
        <v>46076</v>
      </c>
      <c r="AM4" s="28">
        <f t="shared" si="0"/>
        <v>46077</v>
      </c>
      <c r="AN4" s="28">
        <f t="shared" si="0"/>
        <v>46078</v>
      </c>
      <c r="AO4" s="28">
        <f t="shared" si="0"/>
        <v>46079</v>
      </c>
      <c r="AP4" s="28">
        <f t="shared" si="0"/>
        <v>46080</v>
      </c>
      <c r="AQ4" s="28">
        <f t="shared" si="0"/>
        <v>46081</v>
      </c>
      <c r="AR4" s="28"/>
      <c r="AS4" s="27"/>
      <c r="AT4" s="27"/>
      <c r="AU4" s="27"/>
      <c r="AV4" s="27"/>
      <c r="AW4" s="27"/>
      <c r="AX4" s="27"/>
      <c r="AY4" s="27"/>
    </row>
    <row r="5" spans="1:55" x14ac:dyDescent="0.25">
      <c r="A5" s="295" t="str">
        <f>TEXT(A1,"mmmmmmmmmmmm")</f>
        <v>février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</row>
    <row r="6" spans="1:55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</row>
    <row r="7" spans="1:55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</row>
    <row r="8" spans="1:55" s="29" customFormat="1" ht="21.75" customHeight="1" thickBot="1" x14ac:dyDescent="0.3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8"/>
      <c r="Y8" s="18"/>
      <c r="Z8" s="18"/>
      <c r="AA8" s="18"/>
      <c r="AB8" s="18"/>
      <c r="AC8" s="164"/>
      <c r="AD8" s="164"/>
      <c r="AE8" s="18"/>
      <c r="AF8" s="18"/>
      <c r="AG8" s="18"/>
      <c r="AH8" s="18"/>
      <c r="AI8" s="149"/>
      <c r="AJ8" s="164"/>
      <c r="AK8" s="149"/>
      <c r="AL8" s="149"/>
      <c r="AM8" s="149" t="s">
        <v>193</v>
      </c>
      <c r="AN8" s="149"/>
      <c r="AO8" s="149"/>
      <c r="AP8" s="149"/>
      <c r="AQ8" s="149"/>
    </row>
    <row r="9" spans="1:55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57" t="s">
        <v>205</v>
      </c>
      <c r="P9" s="228">
        <f t="shared" ref="P9:AQ9" si="1">IFERROR(WEEKDAY(P4),"")</f>
        <v>1</v>
      </c>
      <c r="Q9" s="150">
        <f t="shared" si="1"/>
        <v>2</v>
      </c>
      <c r="R9" s="151">
        <f t="shared" si="1"/>
        <v>3</v>
      </c>
      <c r="S9" s="151">
        <f t="shared" si="1"/>
        <v>4</v>
      </c>
      <c r="T9" s="151">
        <f t="shared" si="1"/>
        <v>5</v>
      </c>
      <c r="U9" s="151">
        <f t="shared" si="1"/>
        <v>6</v>
      </c>
      <c r="V9" s="151">
        <f t="shared" si="1"/>
        <v>7</v>
      </c>
      <c r="W9" s="151">
        <f t="shared" si="1"/>
        <v>1</v>
      </c>
      <c r="X9" s="151">
        <f t="shared" si="1"/>
        <v>2</v>
      </c>
      <c r="Y9" s="151">
        <f t="shared" si="1"/>
        <v>3</v>
      </c>
      <c r="Z9" s="151">
        <f t="shared" si="1"/>
        <v>4</v>
      </c>
      <c r="AA9" s="151">
        <f t="shared" si="1"/>
        <v>5</v>
      </c>
      <c r="AB9" s="151">
        <f t="shared" si="1"/>
        <v>6</v>
      </c>
      <c r="AC9" s="151">
        <f t="shared" si="1"/>
        <v>7</v>
      </c>
      <c r="AD9" s="151">
        <f t="shared" si="1"/>
        <v>1</v>
      </c>
      <c r="AE9" s="151">
        <f t="shared" si="1"/>
        <v>2</v>
      </c>
      <c r="AF9" s="151">
        <f t="shared" si="1"/>
        <v>3</v>
      </c>
      <c r="AG9" s="151">
        <f t="shared" si="1"/>
        <v>4</v>
      </c>
      <c r="AH9" s="151">
        <f t="shared" si="1"/>
        <v>5</v>
      </c>
      <c r="AI9" s="151">
        <f t="shared" si="1"/>
        <v>6</v>
      </c>
      <c r="AJ9" s="151">
        <f t="shared" si="1"/>
        <v>7</v>
      </c>
      <c r="AK9" s="151">
        <f t="shared" si="1"/>
        <v>1</v>
      </c>
      <c r="AL9" s="151">
        <f t="shared" si="1"/>
        <v>2</v>
      </c>
      <c r="AM9" s="151">
        <f t="shared" si="1"/>
        <v>3</v>
      </c>
      <c r="AN9" s="151">
        <f t="shared" si="1"/>
        <v>4</v>
      </c>
      <c r="AO9" s="151">
        <f t="shared" si="1"/>
        <v>5</v>
      </c>
      <c r="AP9" s="151">
        <f t="shared" si="1"/>
        <v>6</v>
      </c>
      <c r="AQ9" s="151">
        <f t="shared" si="1"/>
        <v>7</v>
      </c>
    </row>
    <row r="10" spans="1:55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58" t="s">
        <v>216</v>
      </c>
      <c r="P10" s="229">
        <f t="shared" ref="P10:AQ10" si="2">DAY(P4)</f>
        <v>1</v>
      </c>
      <c r="Q10" s="154">
        <f t="shared" si="2"/>
        <v>2</v>
      </c>
      <c r="R10" s="155">
        <f t="shared" si="2"/>
        <v>3</v>
      </c>
      <c r="S10" s="155">
        <f t="shared" si="2"/>
        <v>4</v>
      </c>
      <c r="T10" s="155">
        <f t="shared" si="2"/>
        <v>5</v>
      </c>
      <c r="U10" s="155">
        <f t="shared" si="2"/>
        <v>6</v>
      </c>
      <c r="V10" s="155">
        <f t="shared" si="2"/>
        <v>7</v>
      </c>
      <c r="W10" s="155">
        <f t="shared" si="2"/>
        <v>8</v>
      </c>
      <c r="X10" s="155">
        <f t="shared" si="2"/>
        <v>9</v>
      </c>
      <c r="Y10" s="155">
        <f t="shared" si="2"/>
        <v>10</v>
      </c>
      <c r="Z10" s="155">
        <f t="shared" si="2"/>
        <v>11</v>
      </c>
      <c r="AA10" s="155">
        <f t="shared" si="2"/>
        <v>12</v>
      </c>
      <c r="AB10" s="155">
        <f t="shared" si="2"/>
        <v>13</v>
      </c>
      <c r="AC10" s="155">
        <f t="shared" si="2"/>
        <v>14</v>
      </c>
      <c r="AD10" s="155">
        <f t="shared" si="2"/>
        <v>15</v>
      </c>
      <c r="AE10" s="155">
        <f t="shared" si="2"/>
        <v>16</v>
      </c>
      <c r="AF10" s="155">
        <f t="shared" si="2"/>
        <v>17</v>
      </c>
      <c r="AG10" s="155">
        <f t="shared" si="2"/>
        <v>18</v>
      </c>
      <c r="AH10" s="155">
        <f t="shared" si="2"/>
        <v>19</v>
      </c>
      <c r="AI10" s="155">
        <f t="shared" si="2"/>
        <v>20</v>
      </c>
      <c r="AJ10" s="155">
        <f t="shared" si="2"/>
        <v>21</v>
      </c>
      <c r="AK10" s="155">
        <f t="shared" si="2"/>
        <v>22</v>
      </c>
      <c r="AL10" s="155">
        <f t="shared" si="2"/>
        <v>23</v>
      </c>
      <c r="AM10" s="155">
        <f t="shared" si="2"/>
        <v>24</v>
      </c>
      <c r="AN10" s="155">
        <f t="shared" si="2"/>
        <v>25</v>
      </c>
      <c r="AO10" s="155">
        <f t="shared" si="2"/>
        <v>26</v>
      </c>
      <c r="AP10" s="155">
        <f t="shared" si="2"/>
        <v>27</v>
      </c>
      <c r="AQ10" s="155">
        <f t="shared" si="2"/>
        <v>28</v>
      </c>
    </row>
    <row r="11" spans="1:55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COUNTIF(P11:AQ11,"p")</f>
        <v>0</v>
      </c>
      <c r="E11" s="20">
        <f t="shared" ref="E11:E20" si="4">COUNTIF(P11:AQ11,"PC")</f>
        <v>6</v>
      </c>
      <c r="F11" s="20">
        <f t="shared" ref="F11:F20" si="5">COUNTIF(P11:AQ11,"f")</f>
        <v>0</v>
      </c>
      <c r="G11" s="20">
        <f t="shared" ref="G11:G20" si="6">COUNTIF(P11:AQ11,"ast")</f>
        <v>0</v>
      </c>
      <c r="H11" s="20">
        <f t="shared" ref="H11:H20" si="7">COUNTIF(P11:AQ11,"cA")</f>
        <v>0</v>
      </c>
      <c r="I11" s="20">
        <f t="shared" ref="I11:I20" si="8">COUNTIF(P11:AQ11,"rtt")</f>
        <v>0</v>
      </c>
      <c r="J11" s="20">
        <f t="shared" ref="J11:J20" si="9">COUNTIF(P11:AQ11,"cex")</f>
        <v>0</v>
      </c>
      <c r="K11" s="20">
        <f t="shared" ref="K11:K20" si="10">COUNTIF(P11:AQ11,"res")</f>
        <v>0</v>
      </c>
      <c r="L11" s="20">
        <f t="shared" ref="L11:L20" si="11">COUNTIF(P11:AQ11,"mA")</f>
        <v>0</v>
      </c>
      <c r="M11" s="20">
        <f t="shared" ref="M11:M20" si="12">COUNTIF(P11:AQ11,"at")</f>
        <v>0</v>
      </c>
      <c r="N11" s="20">
        <f t="shared" ref="N11:N20" si="13">COUNTIF(P11:AQ11,"TAD")</f>
        <v>0</v>
      </c>
      <c r="O11" s="92">
        <f t="shared" ref="O11:O20" si="14">COUNTIF(P11:AQ11,"TP")</f>
        <v>0</v>
      </c>
      <c r="P11" s="230"/>
      <c r="Q11" s="22"/>
      <c r="R11" s="22"/>
      <c r="S11" s="22"/>
      <c r="T11" s="22"/>
      <c r="U11" s="22" t="s">
        <v>195</v>
      </c>
      <c r="V11" s="104"/>
      <c r="W11" s="104"/>
      <c r="X11" s="22" t="s">
        <v>195</v>
      </c>
      <c r="Y11" s="22" t="s">
        <v>195</v>
      </c>
      <c r="Z11" s="22" t="s">
        <v>195</v>
      </c>
      <c r="AA11" s="22" t="s">
        <v>195</v>
      </c>
      <c r="AB11" s="22" t="s">
        <v>195</v>
      </c>
      <c r="AC11" s="104"/>
      <c r="AD11" s="104"/>
      <c r="AE11" s="22"/>
      <c r="AF11" s="22"/>
      <c r="AG11" s="22"/>
      <c r="AH11" s="22"/>
      <c r="AI11" s="22"/>
      <c r="AJ11" s="104"/>
      <c r="AK11" s="104"/>
      <c r="AL11" s="22"/>
      <c r="AM11" s="22"/>
      <c r="AN11" s="22"/>
      <c r="AO11" s="22"/>
      <c r="AP11" s="22"/>
      <c r="AQ11" s="104"/>
      <c r="AR11" s="1"/>
      <c r="AS11" s="290" t="s">
        <v>217</v>
      </c>
      <c r="AT11" s="291"/>
      <c r="AU11" s="291"/>
      <c r="AV11" s="291"/>
      <c r="AW11" s="291"/>
      <c r="AX11" s="291"/>
      <c r="AY11" s="291"/>
      <c r="AZ11" s="291"/>
      <c r="BA11" s="291"/>
      <c r="BB11" s="291"/>
      <c r="BC11" s="292"/>
    </row>
    <row r="12" spans="1:55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1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216"/>
      <c r="Q12" s="8"/>
      <c r="R12" s="8" t="s">
        <v>195</v>
      </c>
      <c r="S12" s="8"/>
      <c r="T12" s="8"/>
      <c r="U12" s="8"/>
      <c r="V12" s="94"/>
      <c r="W12" s="94"/>
      <c r="X12" s="8"/>
      <c r="Y12" s="8"/>
      <c r="Z12" s="8"/>
      <c r="AA12" s="8"/>
      <c r="AB12" s="8"/>
      <c r="AC12" s="94"/>
      <c r="AD12" s="94"/>
      <c r="AE12" s="8"/>
      <c r="AF12" s="8"/>
      <c r="AG12" s="8"/>
      <c r="AH12" s="8"/>
      <c r="AI12" s="8"/>
      <c r="AJ12" s="94"/>
      <c r="AK12" s="94"/>
      <c r="AL12" s="8"/>
      <c r="AM12" s="8"/>
      <c r="AN12" s="8"/>
      <c r="AO12" s="8"/>
      <c r="AP12" s="8"/>
      <c r="AQ12" s="94"/>
      <c r="AR12" s="1"/>
      <c r="AS12" s="168" t="s">
        <v>194</v>
      </c>
      <c r="AT12" s="78" t="s">
        <v>195</v>
      </c>
      <c r="AU12" s="12" t="s">
        <v>196</v>
      </c>
      <c r="AV12" s="79" t="s">
        <v>197</v>
      </c>
      <c r="AW12" s="10" t="s">
        <v>198</v>
      </c>
      <c r="AX12" s="80" t="s">
        <v>199</v>
      </c>
      <c r="AY12" s="11" t="s">
        <v>200</v>
      </c>
      <c r="AZ12" s="81" t="s">
        <v>201</v>
      </c>
      <c r="BA12" s="82" t="s">
        <v>202</v>
      </c>
      <c r="BB12" s="83" t="s">
        <v>203</v>
      </c>
      <c r="BC12" s="16" t="s">
        <v>205</v>
      </c>
    </row>
    <row r="13" spans="1:55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216"/>
      <c r="Q13" s="8"/>
      <c r="R13" s="8"/>
      <c r="S13" s="8"/>
      <c r="T13" s="8"/>
      <c r="U13" s="8"/>
      <c r="V13" s="94"/>
      <c r="W13" s="94"/>
      <c r="X13" s="8"/>
      <c r="Y13" s="8"/>
      <c r="Z13" s="8"/>
      <c r="AA13" s="8"/>
      <c r="AB13" s="8"/>
      <c r="AC13" s="94"/>
      <c r="AD13" s="94"/>
      <c r="AE13" s="8"/>
      <c r="AF13" s="8"/>
      <c r="AG13" s="8"/>
      <c r="AH13" s="8"/>
      <c r="AI13" s="8"/>
      <c r="AJ13" s="94"/>
      <c r="AK13" s="94"/>
      <c r="AL13" s="8"/>
      <c r="AM13" s="8"/>
      <c r="AN13" s="8"/>
      <c r="AO13" s="8"/>
      <c r="AP13" s="8"/>
      <c r="AQ13" s="94"/>
      <c r="AR13" s="1"/>
      <c r="AS13" s="19">
        <f>COUNTIF(P11:AQ29,"p")</f>
        <v>0</v>
      </c>
      <c r="AT13" s="19">
        <f>COUNTIF(P11:AQ29,"PC")</f>
        <v>18</v>
      </c>
      <c r="AU13" s="19">
        <f>COUNTIF(P11:AQ29,"f")</f>
        <v>0</v>
      </c>
      <c r="AV13" s="19">
        <f>COUNTIF(P11:AQ29,"ast")</f>
        <v>0</v>
      </c>
      <c r="AW13" s="19">
        <f>COUNTIF(P11:AQ29,"ca")</f>
        <v>6</v>
      </c>
      <c r="AX13" s="19">
        <f>COUNTIF(P11:AQ29,"rtt")</f>
        <v>2</v>
      </c>
      <c r="AY13" s="19">
        <f>COUNTIF(P11:AQ29,"CEX")</f>
        <v>12</v>
      </c>
      <c r="AZ13" s="19">
        <f>COUNTIF(P11:AQ29,"RES")</f>
        <v>0</v>
      </c>
      <c r="BA13" s="19">
        <f>COUNTIF(P11:AQ29,"MA")</f>
        <v>0</v>
      </c>
      <c r="BB13" s="19">
        <f>COUNTIF(P11:AQ29,"AT")</f>
        <v>0</v>
      </c>
      <c r="BC13" s="19">
        <f>COUNTIF(P11:AQ29,"TP")</f>
        <v>0</v>
      </c>
    </row>
    <row r="14" spans="1:55" ht="20.100000000000001" customHeight="1" thickBot="1" x14ac:dyDescent="0.3">
      <c r="A14" s="145" t="str">
        <f>IFERROR(IF(config!E6="","",config!E6),"")</f>
        <v>N016820</v>
      </c>
      <c r="B14" s="146" t="str">
        <f>IFERROR(IF(config!F6="","",config!F6),"")</f>
        <v>GRENET</v>
      </c>
      <c r="C14" s="147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216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1"/>
    </row>
    <row r="15" spans="1:55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216"/>
      <c r="Q15" s="8"/>
      <c r="R15" s="8"/>
      <c r="S15" s="8"/>
      <c r="T15" s="8"/>
      <c r="U15" s="8"/>
      <c r="V15" s="94"/>
      <c r="W15" s="94"/>
      <c r="X15" s="8"/>
      <c r="Y15" s="8"/>
      <c r="Z15" s="8"/>
      <c r="AA15" s="8"/>
      <c r="AB15" s="8"/>
      <c r="AC15" s="94"/>
      <c r="AD15" s="94"/>
      <c r="AE15" s="8"/>
      <c r="AF15" s="8"/>
      <c r="AG15" s="8"/>
      <c r="AH15" s="8"/>
      <c r="AI15" s="8"/>
      <c r="AJ15" s="94"/>
      <c r="AK15" s="94"/>
      <c r="AL15" s="8"/>
      <c r="AM15" s="8"/>
      <c r="AN15" s="8"/>
      <c r="AO15" s="8"/>
      <c r="AP15" s="8"/>
      <c r="AQ15" s="94"/>
      <c r="AR15" s="1"/>
    </row>
    <row r="16" spans="1:55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216"/>
      <c r="Q16" s="8"/>
      <c r="R16" s="8"/>
      <c r="S16" s="8"/>
      <c r="T16" s="8"/>
      <c r="U16" s="8"/>
      <c r="V16" s="94"/>
      <c r="W16" s="94"/>
      <c r="X16" s="8"/>
      <c r="Y16" s="8"/>
      <c r="Z16" s="8"/>
      <c r="AA16" s="8"/>
      <c r="AB16" s="8"/>
      <c r="AC16" s="94"/>
      <c r="AD16" s="94"/>
      <c r="AE16" s="8"/>
      <c r="AF16" s="8"/>
      <c r="AG16" s="8"/>
      <c r="AH16" s="8"/>
      <c r="AI16" s="8"/>
      <c r="AJ16" s="94"/>
      <c r="AK16" s="94"/>
      <c r="AL16" s="8"/>
      <c r="AM16" s="8"/>
      <c r="AN16" s="8"/>
      <c r="AO16" s="8"/>
      <c r="AP16" s="8"/>
      <c r="AQ16" s="94"/>
      <c r="AR16" s="1"/>
    </row>
    <row r="17" spans="1:44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216"/>
      <c r="Q17" s="8"/>
      <c r="R17" s="8"/>
      <c r="S17" s="8"/>
      <c r="T17" s="8"/>
      <c r="U17" s="8"/>
      <c r="V17" s="94"/>
      <c r="W17" s="94"/>
      <c r="X17" s="8"/>
      <c r="Y17" s="8"/>
      <c r="Z17" s="8"/>
      <c r="AA17" s="8"/>
      <c r="AB17" s="8"/>
      <c r="AC17" s="94"/>
      <c r="AD17" s="94"/>
      <c r="AE17" s="8"/>
      <c r="AF17" s="8"/>
      <c r="AG17" s="8"/>
      <c r="AH17" s="8"/>
      <c r="AI17" s="8"/>
      <c r="AJ17" s="94"/>
      <c r="AK17" s="94"/>
      <c r="AL17" s="8"/>
      <c r="AM17" s="8"/>
      <c r="AN17" s="8"/>
      <c r="AO17" s="8"/>
      <c r="AP17" s="8"/>
      <c r="AQ17" s="94"/>
      <c r="AR17" s="1"/>
    </row>
    <row r="18" spans="1:44" ht="20.100000000000001" customHeight="1" thickBot="1" x14ac:dyDescent="0.3">
      <c r="A18" s="32" t="str">
        <f>IFERROR(IF(config!E10="","",config!E10),"")</f>
        <v>N010036</v>
      </c>
      <c r="B18" s="39" t="str">
        <f>IFERROR(IF(config!F10="","",config!F10),"")</f>
        <v>BETTINGER</v>
      </c>
      <c r="C18" s="69" t="str">
        <f>IFERROR(IF(config!G10="","",config!G10),"")</f>
        <v>Philippe</v>
      </c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6</v>
      </c>
      <c r="I18" s="20">
        <f t="shared" si="8"/>
        <v>2</v>
      </c>
      <c r="J18" s="20">
        <f t="shared" si="9"/>
        <v>12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216"/>
      <c r="Q18" s="8" t="s">
        <v>200</v>
      </c>
      <c r="R18" s="8" t="s">
        <v>200</v>
      </c>
      <c r="S18" s="8" t="s">
        <v>200</v>
      </c>
      <c r="T18" s="8" t="s">
        <v>200</v>
      </c>
      <c r="U18" s="8" t="s">
        <v>200</v>
      </c>
      <c r="V18" s="94"/>
      <c r="W18" s="94"/>
      <c r="X18" s="8" t="s">
        <v>200</v>
      </c>
      <c r="Y18" s="8" t="s">
        <v>200</v>
      </c>
      <c r="Z18" s="8" t="s">
        <v>200</v>
      </c>
      <c r="AA18" s="8" t="s">
        <v>200</v>
      </c>
      <c r="AB18" s="8" t="s">
        <v>200</v>
      </c>
      <c r="AC18" s="94"/>
      <c r="AD18" s="94"/>
      <c r="AE18" s="8" t="s">
        <v>200</v>
      </c>
      <c r="AF18" s="8" t="s">
        <v>200</v>
      </c>
      <c r="AG18" s="8" t="s">
        <v>198</v>
      </c>
      <c r="AH18" s="8" t="s">
        <v>198</v>
      </c>
      <c r="AI18" s="8" t="s">
        <v>198</v>
      </c>
      <c r="AJ18" s="94"/>
      <c r="AK18" s="94"/>
      <c r="AL18" s="8" t="s">
        <v>198</v>
      </c>
      <c r="AM18" s="8" t="s">
        <v>198</v>
      </c>
      <c r="AN18" s="8" t="s">
        <v>199</v>
      </c>
      <c r="AO18" s="8" t="s">
        <v>199</v>
      </c>
      <c r="AP18" s="8" t="s">
        <v>198</v>
      </c>
      <c r="AQ18" s="94"/>
      <c r="AR18" s="1"/>
    </row>
    <row r="19" spans="1:44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216"/>
      <c r="Q19" s="8"/>
      <c r="R19" s="8"/>
      <c r="S19" s="8"/>
      <c r="T19" s="8"/>
      <c r="U19" s="8"/>
      <c r="V19" s="94"/>
      <c r="W19" s="94"/>
      <c r="X19" s="8"/>
      <c r="Y19" s="8"/>
      <c r="Z19" s="8"/>
      <c r="AA19" s="8"/>
      <c r="AB19" s="8"/>
      <c r="AC19" s="94"/>
      <c r="AD19" s="94"/>
      <c r="AE19" s="8"/>
      <c r="AF19" s="8"/>
      <c r="AG19" s="8"/>
      <c r="AH19" s="8"/>
      <c r="AI19" s="8"/>
      <c r="AJ19" s="94"/>
      <c r="AK19" s="94"/>
      <c r="AL19" s="8"/>
      <c r="AM19" s="8"/>
      <c r="AN19" s="8"/>
      <c r="AO19" s="8"/>
      <c r="AP19" s="8"/>
      <c r="AQ19" s="94"/>
      <c r="AR19" s="1"/>
    </row>
    <row r="20" spans="1:44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6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231"/>
      <c r="Q20" s="21"/>
      <c r="R20" s="21"/>
      <c r="S20" s="21"/>
      <c r="T20" s="21"/>
      <c r="U20" s="21"/>
      <c r="V20" s="95"/>
      <c r="W20" s="95"/>
      <c r="X20" s="21"/>
      <c r="Y20" s="21"/>
      <c r="Z20" s="21"/>
      <c r="AA20" s="21"/>
      <c r="AB20" s="21"/>
      <c r="AC20" s="95"/>
      <c r="AD20" s="95"/>
      <c r="AE20" s="21" t="s">
        <v>195</v>
      </c>
      <c r="AF20" s="21" t="s">
        <v>195</v>
      </c>
      <c r="AG20" s="21" t="s">
        <v>195</v>
      </c>
      <c r="AH20" s="21" t="s">
        <v>195</v>
      </c>
      <c r="AI20" s="21" t="s">
        <v>195</v>
      </c>
      <c r="AJ20" s="95"/>
      <c r="AK20" s="95"/>
      <c r="AL20" s="21"/>
      <c r="AM20" s="21"/>
      <c r="AN20" s="21" t="s">
        <v>195</v>
      </c>
      <c r="AO20" s="21"/>
      <c r="AP20" s="21"/>
      <c r="AQ20" s="95"/>
      <c r="AR20" s="1"/>
    </row>
    <row r="21" spans="1:44" ht="20.100000000000001" customHeight="1" thickBot="1" x14ac:dyDescent="0.3">
      <c r="A21" s="54" t="str">
        <f>IFERROR(IF(config!E13="","",config!E13),"")</f>
        <v>MAINTENANCE</v>
      </c>
      <c r="B21" s="54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</row>
    <row r="22" spans="1:44" ht="20.100000000000001" customHeight="1" thickBot="1" x14ac:dyDescent="0.3">
      <c r="A22" s="46" t="str">
        <f>IFERROR(IF(config!E14="","",config!E14),"")</f>
        <v>SURVEILLANT DE TRAVAUX</v>
      </c>
      <c r="B22" s="46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180"/>
    </row>
    <row r="23" spans="1:44" ht="20.100000000000001" customHeight="1" thickBot="1" x14ac:dyDescent="0.3">
      <c r="A23" s="30" t="str">
        <f>IFERROR(IF(config!E15="","",config!E15),"")</f>
        <v>C004587</v>
      </c>
      <c r="B23" s="40" t="str">
        <f>IFERROR(IF(config!F15="","",config!F15),"")</f>
        <v xml:space="preserve">BOURGOIN </v>
      </c>
      <c r="C23" s="102" t="str">
        <f>IFERROR(IF(config!G15="","",config!G15),"")</f>
        <v>Jean-Baptiste</v>
      </c>
      <c r="D23" s="103">
        <f>COUNTIF(P23:AQ23,"p")</f>
        <v>0</v>
      </c>
      <c r="E23" s="22">
        <f>COUNTIF(P23:AQ23,"PC")</f>
        <v>0</v>
      </c>
      <c r="F23" s="22">
        <f>COUNTIF(P23:AQ23,"f")</f>
        <v>0</v>
      </c>
      <c r="G23" s="22">
        <f>COUNTIF(P23:AQ23,"ast")</f>
        <v>0</v>
      </c>
      <c r="H23" s="22">
        <f>COUNTIF(P23:AQ23,"cA")</f>
        <v>0</v>
      </c>
      <c r="I23" s="22">
        <f>COUNTIF(P23:AQ23,"rtt")</f>
        <v>0</v>
      </c>
      <c r="J23" s="22">
        <f>COUNTIF(P23:AQ23,"cex")</f>
        <v>0</v>
      </c>
      <c r="K23" s="22">
        <f>COUNTIF(P23:AQ23,"res")</f>
        <v>0</v>
      </c>
      <c r="L23" s="22">
        <f>COUNTIF(P23:AQ23,"mA")</f>
        <v>0</v>
      </c>
      <c r="M23" s="22">
        <f>COUNTIF(P23:AQ23,"at")</f>
        <v>0</v>
      </c>
      <c r="N23" s="22">
        <f>COUNTIF(P23:AQ23,"TAD")</f>
        <v>0</v>
      </c>
      <c r="O23" s="106">
        <f>COUNTIF(P23:AQ23,"TP")</f>
        <v>0</v>
      </c>
      <c r="P23" s="230"/>
      <c r="Q23" s="22"/>
      <c r="R23" s="22"/>
      <c r="S23" s="22"/>
      <c r="T23" s="22"/>
      <c r="U23" s="22"/>
      <c r="V23" s="104"/>
      <c r="W23" s="104"/>
      <c r="X23" s="22"/>
      <c r="Y23" s="22"/>
      <c r="Z23" s="22"/>
      <c r="AA23" s="22"/>
      <c r="AB23" s="22"/>
      <c r="AC23" s="104"/>
      <c r="AD23" s="104"/>
      <c r="AE23" s="22"/>
      <c r="AF23" s="22"/>
      <c r="AG23" s="22"/>
      <c r="AH23" s="22"/>
      <c r="AI23" s="22"/>
      <c r="AJ23" s="104"/>
      <c r="AK23" s="104"/>
      <c r="AL23" s="22"/>
      <c r="AM23" s="22"/>
      <c r="AN23" s="22"/>
      <c r="AO23" s="22"/>
      <c r="AP23" s="22"/>
      <c r="AQ23" s="104"/>
    </row>
    <row r="24" spans="1:44" ht="20.100000000000001" customHeight="1" thickBot="1" x14ac:dyDescent="0.3">
      <c r="A24" s="131" t="str">
        <f>IFERROR(IF(config!E16="","",config!E16),"")</f>
        <v>N02645</v>
      </c>
      <c r="B24" s="132" t="str">
        <f>IFERROR(IF(config!F16="","",config!F16),"")</f>
        <v>MERCADIEU</v>
      </c>
      <c r="C24" s="133" t="str">
        <f>IFERROR(IF(config!G16="","",config!G16),"")</f>
        <v>Baptiste</v>
      </c>
      <c r="D24" s="134">
        <f>COUNTIF(P24:AQ24,"p")</f>
        <v>0</v>
      </c>
      <c r="E24" s="123">
        <f>COUNTIF(P24:AQ24,"PC")</f>
        <v>0</v>
      </c>
      <c r="F24" s="123">
        <f>COUNTIF(P24:AQ24,"f")</f>
        <v>0</v>
      </c>
      <c r="G24" s="123">
        <f>COUNTIF(P24:AQ24,"ast")</f>
        <v>0</v>
      </c>
      <c r="H24" s="123">
        <f>COUNTIF(P24:AQ24,"cA")</f>
        <v>0</v>
      </c>
      <c r="I24" s="123">
        <f>COUNTIF(P24:AQ24,"rtt")</f>
        <v>0</v>
      </c>
      <c r="J24" s="123">
        <f>COUNTIF(P24:AQ24,"cex")</f>
        <v>0</v>
      </c>
      <c r="K24" s="123">
        <f>COUNTIF(P24:AQ24,"res")</f>
        <v>0</v>
      </c>
      <c r="L24" s="123">
        <f>COUNTIF(P24:AQ24,"mA")</f>
        <v>0</v>
      </c>
      <c r="M24" s="123">
        <f>COUNTIF(P24:AQ24,"at")</f>
        <v>0</v>
      </c>
      <c r="N24" s="123">
        <f>COUNTIF(P24:AQ24,"TAD")</f>
        <v>0</v>
      </c>
      <c r="O24" s="140">
        <f>COUNTIF(P24:AQ24,"TP")</f>
        <v>0</v>
      </c>
      <c r="P24" s="230"/>
      <c r="Q24" s="22"/>
      <c r="R24" s="8"/>
      <c r="S24" s="8"/>
      <c r="T24" s="8"/>
      <c r="U24" s="8"/>
      <c r="V24" s="94"/>
      <c r="W24" s="94"/>
      <c r="X24" s="8"/>
      <c r="Y24" s="8"/>
      <c r="Z24" s="8"/>
      <c r="AA24" s="8"/>
      <c r="AB24" s="8"/>
      <c r="AC24" s="94"/>
      <c r="AD24" s="94"/>
      <c r="AE24" s="8"/>
      <c r="AF24" s="8"/>
      <c r="AG24" s="8"/>
      <c r="AH24" s="8"/>
      <c r="AI24" s="8"/>
      <c r="AJ24" s="94"/>
      <c r="AK24" s="94"/>
      <c r="AL24" s="8"/>
      <c r="AM24" s="8"/>
      <c r="AN24" s="8"/>
      <c r="AO24" s="8"/>
      <c r="AP24" s="8"/>
      <c r="AQ24" s="94"/>
    </row>
    <row r="25" spans="1:44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</row>
    <row r="26" spans="1:44" ht="20.100000000000001" customHeight="1" thickBot="1" x14ac:dyDescent="0.3">
      <c r="A26" s="33" t="str">
        <f>IFERROR(IF(config!E18="","",config!E18),"")</f>
        <v>C004845</v>
      </c>
      <c r="B26" s="40" t="str">
        <f>IFERROR(IF(config!F18="","",config!F18),"")</f>
        <v>GARCIA</v>
      </c>
      <c r="C26" s="102" t="str">
        <f>IFERROR(IF(config!G18="","",config!G18),"")</f>
        <v>Yoan</v>
      </c>
      <c r="D26" s="103">
        <f>COUNTIF(P26:AQ26,"p")</f>
        <v>0</v>
      </c>
      <c r="E26" s="22">
        <f>COUNTIF(P26:AQ26,"PC")</f>
        <v>0</v>
      </c>
      <c r="F26" s="22">
        <f>COUNTIF(P26:AQ26,"f")</f>
        <v>0</v>
      </c>
      <c r="G26" s="22">
        <f>COUNTIF(P26:AQ26,"ast")</f>
        <v>0</v>
      </c>
      <c r="H26" s="22">
        <f>COUNTIF(P26:AQ26,"cA")</f>
        <v>0</v>
      </c>
      <c r="I26" s="22">
        <f>COUNTIF(P26:AQ26,"rtt")</f>
        <v>0</v>
      </c>
      <c r="J26" s="22">
        <f>COUNTIF(P26:AQ26,"cex")</f>
        <v>0</v>
      </c>
      <c r="K26" s="22">
        <f>COUNTIF(P26:AQ26,"res")</f>
        <v>0</v>
      </c>
      <c r="L26" s="22">
        <f>COUNTIF(P26:AQ26,"mA")</f>
        <v>0</v>
      </c>
      <c r="M26" s="22">
        <f>COUNTIF(P26:AQ26,"at")</f>
        <v>0</v>
      </c>
      <c r="N26" s="22">
        <f>COUNTIF(P26:AQ26,"TAD")</f>
        <v>0</v>
      </c>
      <c r="O26" s="22">
        <f>COUNTIF(P26:AQ26,"TP")</f>
        <v>0</v>
      </c>
      <c r="P26" s="230"/>
      <c r="Q26" s="22"/>
      <c r="R26" s="22"/>
      <c r="S26" s="22"/>
      <c r="T26" s="22"/>
      <c r="U26" s="22"/>
      <c r="V26" s="104"/>
      <c r="W26" s="104"/>
      <c r="X26" s="22"/>
      <c r="Y26" s="22"/>
      <c r="Z26" s="22"/>
      <c r="AA26" s="22"/>
      <c r="AB26" s="22"/>
      <c r="AC26" s="104"/>
      <c r="AD26" s="104"/>
      <c r="AE26" s="22"/>
      <c r="AF26" s="22"/>
      <c r="AG26" s="22"/>
      <c r="AH26" s="22"/>
      <c r="AI26" s="22"/>
      <c r="AJ26" s="104"/>
      <c r="AK26" s="104"/>
      <c r="AL26" s="22"/>
      <c r="AM26" s="22"/>
      <c r="AN26" s="22"/>
      <c r="AO26" s="22"/>
      <c r="AP26" s="22"/>
      <c r="AQ26" s="104"/>
    </row>
    <row r="27" spans="1:44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COUNTIF(P27:AQ27,"p")</f>
        <v>0</v>
      </c>
      <c r="E27" s="20">
        <f>COUNTIF(P27:AQ27,"PC")</f>
        <v>5</v>
      </c>
      <c r="F27" s="20">
        <f>COUNTIF(P27:AQ27,"f")</f>
        <v>0</v>
      </c>
      <c r="G27" s="20">
        <f>COUNTIF(P27:AQ27,"ast")</f>
        <v>0</v>
      </c>
      <c r="H27" s="20">
        <f>COUNTIF(P27:AQ27,"cA")</f>
        <v>0</v>
      </c>
      <c r="I27" s="20">
        <f>COUNTIF(P27:AQ27,"rtt")</f>
        <v>0</v>
      </c>
      <c r="J27" s="20">
        <f>COUNTIF(P27:AQ27,"cex")</f>
        <v>0</v>
      </c>
      <c r="K27" s="20">
        <f>COUNTIF(P27:AQ27,"res")</f>
        <v>0</v>
      </c>
      <c r="L27" s="20">
        <f>COUNTIF(P27:AQ27,"mA")</f>
        <v>0</v>
      </c>
      <c r="M27" s="20">
        <f>COUNTIF(P27:AQ27,"at")</f>
        <v>0</v>
      </c>
      <c r="N27" s="20">
        <f>COUNTIF(P27:AQ27,"TAD")</f>
        <v>0</v>
      </c>
      <c r="O27" s="20">
        <f>COUNTIF(P27:AQ27,"TP")</f>
        <v>0</v>
      </c>
      <c r="P27" s="230"/>
      <c r="Q27" s="22" t="s">
        <v>195</v>
      </c>
      <c r="R27" s="22" t="s">
        <v>195</v>
      </c>
      <c r="S27" s="22" t="s">
        <v>195</v>
      </c>
      <c r="T27" s="22" t="s">
        <v>195</v>
      </c>
      <c r="U27" s="22" t="s">
        <v>195</v>
      </c>
      <c r="V27" s="94"/>
      <c r="W27" s="94"/>
      <c r="X27" s="8"/>
      <c r="Y27" s="8"/>
      <c r="Z27" s="8"/>
      <c r="AA27" s="8"/>
      <c r="AB27" s="8"/>
      <c r="AC27" s="94"/>
      <c r="AD27" s="94"/>
      <c r="AE27" s="8"/>
      <c r="AF27" s="8"/>
      <c r="AG27" s="8"/>
      <c r="AH27" s="8"/>
      <c r="AI27" s="8"/>
      <c r="AJ27" s="94"/>
      <c r="AK27" s="94"/>
      <c r="AL27" s="8"/>
      <c r="AM27" s="8"/>
      <c r="AN27" s="8"/>
      <c r="AO27" s="8"/>
      <c r="AP27" s="8"/>
      <c r="AQ27" s="94"/>
    </row>
    <row r="28" spans="1:44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COUNTIF(P28:AQ28,"p")</f>
        <v>0</v>
      </c>
      <c r="E28" s="20">
        <f>COUNTIF(P28:AQ28,"PC")</f>
        <v>0</v>
      </c>
      <c r="F28" s="20">
        <f>COUNTIF(P28:AQ28,"f")</f>
        <v>0</v>
      </c>
      <c r="G28" s="20">
        <f>COUNTIF(P28:AQ28,"ast")</f>
        <v>0</v>
      </c>
      <c r="H28" s="20">
        <f>COUNTIF(P28:AQ28,"cA")</f>
        <v>0</v>
      </c>
      <c r="I28" s="20">
        <f>COUNTIF(P28:AQ28,"rtt")</f>
        <v>0</v>
      </c>
      <c r="J28" s="20">
        <f>COUNTIF(P28:AQ28,"cex")</f>
        <v>0</v>
      </c>
      <c r="K28" s="20">
        <f>COUNTIF(P28:AQ28,"res")</f>
        <v>0</v>
      </c>
      <c r="L28" s="20">
        <f>COUNTIF(P28:AQ28,"mA")</f>
        <v>0</v>
      </c>
      <c r="M28" s="20">
        <f>COUNTIF(P28:AQ28,"at")</f>
        <v>0</v>
      </c>
      <c r="N28" s="20">
        <f>COUNTIF(P28:AQ28,"TAD")</f>
        <v>0</v>
      </c>
      <c r="O28" s="20">
        <f>COUNTIF(P28:AQ28,"TP")</f>
        <v>0</v>
      </c>
      <c r="P28" s="230"/>
      <c r="Q28" s="22"/>
      <c r="R28" s="22"/>
      <c r="S28" s="22"/>
      <c r="T28" s="22"/>
      <c r="U28" s="22"/>
      <c r="V28" s="104"/>
      <c r="W28" s="104"/>
      <c r="X28" s="22"/>
      <c r="Y28" s="22"/>
      <c r="Z28" s="22"/>
      <c r="AA28" s="22"/>
      <c r="AB28" s="22"/>
      <c r="AC28" s="104"/>
      <c r="AD28" s="104"/>
      <c r="AE28" s="22"/>
      <c r="AF28" s="22"/>
      <c r="AG28" s="22"/>
      <c r="AH28" s="22"/>
      <c r="AI28" s="22"/>
      <c r="AJ28" s="104"/>
      <c r="AK28" s="104"/>
      <c r="AL28" s="22"/>
      <c r="AM28" s="22"/>
      <c r="AN28" s="22"/>
      <c r="AO28" s="22"/>
      <c r="AP28" s="22"/>
      <c r="AQ28" s="104"/>
    </row>
    <row r="29" spans="1:44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COUNTIF(P29:AQ29,"p")</f>
        <v>0</v>
      </c>
      <c r="E29" s="123">
        <f>COUNTIF(P29:AQ29,"PC")</f>
        <v>0</v>
      </c>
      <c r="F29" s="123">
        <f>COUNTIF(P29:AQ29,"f")</f>
        <v>0</v>
      </c>
      <c r="G29" s="123">
        <f>COUNTIF(P29:AQ29,"ast")</f>
        <v>0</v>
      </c>
      <c r="H29" s="123">
        <f>COUNTIF(P29:AQ29,"cA")</f>
        <v>0</v>
      </c>
      <c r="I29" s="123">
        <f>COUNTIF(P29:AQ29,"rtt")</f>
        <v>0</v>
      </c>
      <c r="J29" s="123">
        <f>COUNTIF(P29:AQ29,"cex")</f>
        <v>0</v>
      </c>
      <c r="K29" s="123">
        <f>COUNTIF(P29:AQ29,"res")</f>
        <v>0</v>
      </c>
      <c r="L29" s="123">
        <f>COUNTIF(P29:AQ29,"mA")</f>
        <v>0</v>
      </c>
      <c r="M29" s="123">
        <f>COUNTIF(P29:AQ29,"at")</f>
        <v>0</v>
      </c>
      <c r="N29" s="123">
        <f>COUNTIF(P29:AQ29,"TAD")</f>
        <v>0</v>
      </c>
      <c r="O29" s="123">
        <f>COUNTIF(P29:AQ29,"TP")</f>
        <v>0</v>
      </c>
      <c r="P29" s="230"/>
      <c r="Q29" s="22"/>
      <c r="R29" s="8"/>
      <c r="S29" s="8"/>
      <c r="T29" s="8"/>
      <c r="U29" s="8"/>
      <c r="V29" s="94"/>
      <c r="W29" s="94"/>
      <c r="X29" s="8"/>
      <c r="Y29" s="8"/>
      <c r="Z29" s="8"/>
      <c r="AA29" s="8"/>
      <c r="AB29" s="8"/>
      <c r="AC29" s="94"/>
      <c r="AD29" s="94"/>
      <c r="AE29" s="8"/>
      <c r="AF29" s="8"/>
      <c r="AG29" s="8"/>
      <c r="AH29" s="8"/>
      <c r="AI29" s="8"/>
      <c r="AJ29" s="94"/>
      <c r="AK29" s="94"/>
      <c r="AL29" s="8"/>
      <c r="AM29" s="8"/>
      <c r="AN29" s="8"/>
      <c r="AO29" s="8"/>
      <c r="AP29" s="8"/>
      <c r="AQ29" s="94"/>
    </row>
    <row r="30" spans="1:44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</row>
    <row r="31" spans="1:44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COUNTIF(P31:AQ31,"p")</f>
        <v>0</v>
      </c>
      <c r="E31" s="123">
        <f t="shared" ref="E31:E36" si="16">COUNTIF(P31:AQ31,"PC")</f>
        <v>0</v>
      </c>
      <c r="F31" s="123">
        <f t="shared" ref="F31:F36" si="17">COUNTIF(P31:AQ31,"f")</f>
        <v>0</v>
      </c>
      <c r="G31" s="123">
        <f t="shared" ref="G31:G36" si="18">COUNTIF(P31:AQ31,"ast")</f>
        <v>0</v>
      </c>
      <c r="H31" s="123">
        <f t="shared" ref="H31:H36" si="19">COUNTIF(P31:AQ31,"cA")</f>
        <v>0</v>
      </c>
      <c r="I31" s="123">
        <f t="shared" ref="I31:I36" si="20">COUNTIF(P31:AQ31,"rtt")</f>
        <v>0</v>
      </c>
      <c r="J31" s="123">
        <f t="shared" ref="J31:J36" si="21">COUNTIF(P31:AQ31,"cex")</f>
        <v>0</v>
      </c>
      <c r="K31" s="123">
        <f t="shared" ref="K31:K36" si="22">COUNTIF(P31:AQ31,"res")</f>
        <v>0</v>
      </c>
      <c r="L31" s="123">
        <f t="shared" ref="L31:L36" si="23">COUNTIF(P31:AQ31,"mA")</f>
        <v>0</v>
      </c>
      <c r="M31" s="123">
        <f t="shared" ref="M31:M36" si="24">COUNTIF(P31:AQ31,"at")</f>
        <v>0</v>
      </c>
      <c r="N31" s="123">
        <f t="shared" ref="N31:N36" si="25">COUNTIF(P31:AQ31,"TAD")</f>
        <v>0</v>
      </c>
      <c r="O31" s="123">
        <f t="shared" ref="O31:O36" si="26">COUNTIF(P31:AQ31,"TP")</f>
        <v>0</v>
      </c>
      <c r="P31" s="230"/>
      <c r="Q31" s="22"/>
      <c r="R31" s="8"/>
      <c r="S31" s="8"/>
      <c r="T31" s="8"/>
      <c r="U31" s="8"/>
      <c r="V31" s="94"/>
      <c r="W31" s="94"/>
      <c r="X31" s="8"/>
      <c r="Y31" s="8"/>
      <c r="Z31" s="8"/>
      <c r="AA31" s="8"/>
      <c r="AB31" s="8"/>
      <c r="AC31" s="94"/>
      <c r="AD31" s="94"/>
      <c r="AE31" s="8"/>
      <c r="AF31" s="8"/>
      <c r="AG31" s="8"/>
      <c r="AH31" s="8"/>
      <c r="AI31" s="8"/>
      <c r="AJ31" s="94"/>
      <c r="AK31" s="94"/>
      <c r="AL31" s="8"/>
      <c r="AM31" s="8"/>
      <c r="AN31" s="8"/>
      <c r="AO31" s="8"/>
      <c r="AP31" s="8"/>
      <c r="AQ31" s="94"/>
    </row>
    <row r="32" spans="1:44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23">
        <f t="shared" si="26"/>
        <v>0</v>
      </c>
      <c r="P32" s="230"/>
      <c r="Q32" s="22"/>
      <c r="R32" s="8"/>
      <c r="S32" s="8"/>
      <c r="T32" s="8"/>
      <c r="U32" s="8"/>
      <c r="V32" s="94"/>
      <c r="W32" s="94"/>
      <c r="X32" s="8"/>
      <c r="Y32" s="8"/>
      <c r="Z32" s="8"/>
      <c r="AA32" s="8"/>
      <c r="AB32" s="8"/>
      <c r="AC32" s="94"/>
      <c r="AD32" s="94"/>
      <c r="AE32" s="8"/>
      <c r="AF32" s="8"/>
      <c r="AG32" s="8"/>
      <c r="AH32" s="8"/>
      <c r="AI32" s="8"/>
      <c r="AJ32" s="94"/>
      <c r="AK32" s="94"/>
      <c r="AL32" s="8"/>
      <c r="AM32" s="8"/>
      <c r="AN32" s="8"/>
      <c r="AO32" s="8"/>
      <c r="AP32" s="8"/>
      <c r="AQ32" s="94"/>
    </row>
    <row r="33" spans="1:55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23">
        <f t="shared" si="26"/>
        <v>0</v>
      </c>
      <c r="P33" s="230"/>
      <c r="Q33" s="22"/>
      <c r="R33" s="8"/>
      <c r="S33" s="8"/>
      <c r="T33" s="8"/>
      <c r="U33" s="8"/>
      <c r="V33" s="94"/>
      <c r="W33" s="94"/>
      <c r="X33" s="8"/>
      <c r="Y33" s="8"/>
      <c r="Z33" s="8"/>
      <c r="AA33" s="8"/>
      <c r="AB33" s="8"/>
      <c r="AC33" s="94"/>
      <c r="AD33" s="94"/>
      <c r="AE33" s="8"/>
      <c r="AF33" s="8"/>
      <c r="AG33" s="8"/>
      <c r="AH33" s="8"/>
      <c r="AI33" s="8"/>
      <c r="AJ33" s="94"/>
      <c r="AK33" s="94"/>
      <c r="AL33" s="8"/>
      <c r="AM33" s="8"/>
      <c r="AN33" s="8"/>
      <c r="AO33" s="8"/>
      <c r="AP33" s="8"/>
      <c r="AQ33" s="94"/>
    </row>
    <row r="34" spans="1:55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23">
        <f t="shared" si="26"/>
        <v>0</v>
      </c>
      <c r="P34" s="230"/>
      <c r="Q34" s="22"/>
      <c r="R34" s="8"/>
      <c r="S34" s="8"/>
      <c r="T34" s="8"/>
      <c r="U34" s="8"/>
      <c r="V34" s="94"/>
      <c r="W34" s="94"/>
      <c r="X34" s="8"/>
      <c r="Y34" s="8"/>
      <c r="Z34" s="8"/>
      <c r="AA34" s="8"/>
      <c r="AB34" s="8"/>
      <c r="AC34" s="94"/>
      <c r="AD34" s="94"/>
      <c r="AE34" s="8"/>
      <c r="AF34" s="8"/>
      <c r="AG34" s="8"/>
      <c r="AH34" s="8"/>
      <c r="AI34" s="8"/>
      <c r="AJ34" s="94"/>
      <c r="AK34" s="94"/>
      <c r="AL34" s="8"/>
      <c r="AM34" s="8"/>
      <c r="AN34" s="8"/>
      <c r="AO34" s="8"/>
      <c r="AP34" s="8"/>
      <c r="AQ34" s="94"/>
    </row>
    <row r="35" spans="1:55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23">
        <f t="shared" si="26"/>
        <v>0</v>
      </c>
      <c r="P35" s="230"/>
      <c r="Q35" s="22"/>
      <c r="R35" s="8"/>
      <c r="S35" s="8"/>
      <c r="T35" s="8"/>
      <c r="U35" s="8"/>
      <c r="V35" s="94"/>
      <c r="W35" s="94"/>
      <c r="X35" s="8"/>
      <c r="Y35" s="8"/>
      <c r="Z35" s="8"/>
      <c r="AA35" s="8"/>
      <c r="AB35" s="8"/>
      <c r="AC35" s="94"/>
      <c r="AD35" s="94"/>
      <c r="AE35" s="8"/>
      <c r="AF35" s="8"/>
      <c r="AG35" s="8"/>
      <c r="AH35" s="8"/>
      <c r="AI35" s="8"/>
      <c r="AJ35" s="94"/>
      <c r="AK35" s="94"/>
      <c r="AL35" s="8"/>
      <c r="AM35" s="8"/>
      <c r="AN35" s="8"/>
      <c r="AO35" s="8"/>
      <c r="AP35" s="8"/>
      <c r="AQ35" s="94"/>
    </row>
    <row r="36" spans="1:55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23">
        <f t="shared" si="26"/>
        <v>0</v>
      </c>
      <c r="P36" s="230"/>
      <c r="Q36" s="22"/>
      <c r="R36" s="8"/>
      <c r="S36" s="8"/>
      <c r="T36" s="8"/>
      <c r="U36" s="8"/>
      <c r="V36" s="94"/>
      <c r="W36" s="94"/>
      <c r="X36" s="8"/>
      <c r="Y36" s="8"/>
      <c r="Z36" s="8"/>
      <c r="AA36" s="8"/>
      <c r="AB36" s="8"/>
      <c r="AC36" s="94"/>
      <c r="AD36" s="94"/>
      <c r="AE36" s="8"/>
      <c r="AF36" s="8"/>
      <c r="AG36" s="8"/>
      <c r="AH36" s="8"/>
      <c r="AI36" s="8"/>
      <c r="AJ36" s="94"/>
      <c r="AK36" s="94"/>
      <c r="AL36" s="8"/>
      <c r="AM36" s="8"/>
      <c r="AN36" s="8"/>
      <c r="AO36" s="8"/>
      <c r="AP36" s="8"/>
      <c r="AQ36" s="94"/>
    </row>
    <row r="37" spans="1:55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</row>
    <row r="38" spans="1:55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S38" s="290" t="s">
        <v>218</v>
      </c>
      <c r="AT38" s="291"/>
      <c r="AU38" s="291"/>
      <c r="AV38" s="291"/>
      <c r="AW38" s="291"/>
      <c r="AX38" s="291"/>
      <c r="AY38" s="291"/>
      <c r="AZ38" s="291"/>
      <c r="BA38" s="291"/>
      <c r="BB38" s="291"/>
      <c r="BC38" s="292"/>
    </row>
    <row r="39" spans="1:55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COUNTIF(P39:AQ39,"p")</f>
        <v>0</v>
      </c>
      <c r="E39" s="20">
        <f t="shared" ref="E39:E49" si="28">COUNTIF(P39:AQ39,"PC")</f>
        <v>0</v>
      </c>
      <c r="F39" s="20">
        <f t="shared" ref="F39:F49" si="29">COUNTIF(P39:AQ39,"f")</f>
        <v>0</v>
      </c>
      <c r="G39" s="20">
        <f t="shared" ref="G39:G49" si="30">COUNTIF(P39:AQ39,"ast")</f>
        <v>0</v>
      </c>
      <c r="H39" s="20">
        <f t="shared" ref="H39:H49" si="31">COUNTIF(P39:AQ39,"cA")</f>
        <v>0</v>
      </c>
      <c r="I39" s="20">
        <f t="shared" ref="I39:I49" si="32">COUNTIF(P39:AQ39,"rtt")</f>
        <v>0</v>
      </c>
      <c r="J39" s="20">
        <f t="shared" ref="J39:J49" si="33">COUNTIF(P39:AQ39,"cex")</f>
        <v>0</v>
      </c>
      <c r="K39" s="20">
        <f t="shared" ref="K39:K49" si="34">COUNTIF(P39:AQ39,"res")</f>
        <v>0</v>
      </c>
      <c r="L39" s="20">
        <f t="shared" ref="L39:L49" si="35">COUNTIF(P39:AQ39,"mA")</f>
        <v>0</v>
      </c>
      <c r="M39" s="20">
        <f t="shared" ref="M39:M49" si="36">COUNTIF(P39:AQ39,"at")</f>
        <v>0</v>
      </c>
      <c r="N39" s="20">
        <f t="shared" ref="N39:N49" si="37">COUNTIF(P39:AQ39,"TAD")</f>
        <v>0</v>
      </c>
      <c r="O39" s="92">
        <f t="shared" ref="O39:O49" si="38">COUNTIF(P39:AQ39,"TP")</f>
        <v>0</v>
      </c>
      <c r="P39" s="213"/>
      <c r="Q39" s="20"/>
      <c r="R39" s="20"/>
      <c r="S39" s="20"/>
      <c r="T39" s="20"/>
      <c r="U39" s="20"/>
      <c r="V39" s="86"/>
      <c r="W39" s="86"/>
      <c r="X39" s="20"/>
      <c r="Y39" s="20"/>
      <c r="Z39" s="20"/>
      <c r="AA39" s="20"/>
      <c r="AB39" s="20"/>
      <c r="AC39" s="86"/>
      <c r="AD39" s="86"/>
      <c r="AE39" s="20"/>
      <c r="AF39" s="20"/>
      <c r="AG39" s="20"/>
      <c r="AH39" s="20"/>
      <c r="AI39" s="20"/>
      <c r="AJ39" s="86"/>
      <c r="AK39" s="86"/>
      <c r="AL39" s="20"/>
      <c r="AM39" s="20"/>
      <c r="AN39" s="20"/>
      <c r="AO39" s="20"/>
      <c r="AP39" s="20"/>
      <c r="AQ39" s="124"/>
      <c r="AS39" s="168" t="s">
        <v>194</v>
      </c>
      <c r="AT39" s="78" t="s">
        <v>195</v>
      </c>
      <c r="AU39" s="12" t="s">
        <v>196</v>
      </c>
      <c r="AV39" s="79" t="s">
        <v>197</v>
      </c>
      <c r="AW39" s="10" t="s">
        <v>198</v>
      </c>
      <c r="AX39" s="80" t="s">
        <v>199</v>
      </c>
      <c r="AY39" s="11" t="s">
        <v>200</v>
      </c>
      <c r="AZ39" s="81" t="s">
        <v>201</v>
      </c>
      <c r="BA39" s="82" t="s">
        <v>202</v>
      </c>
      <c r="BB39" s="83" t="s">
        <v>203</v>
      </c>
      <c r="BC39" s="16" t="s">
        <v>205</v>
      </c>
    </row>
    <row r="40" spans="1:55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1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216"/>
      <c r="Q40" s="8" t="s">
        <v>195</v>
      </c>
      <c r="R40" s="8"/>
      <c r="S40" s="8"/>
      <c r="T40" s="8"/>
      <c r="U40" s="8"/>
      <c r="V40" s="94"/>
      <c r="W40" s="94"/>
      <c r="X40" s="8"/>
      <c r="Y40" s="8"/>
      <c r="Z40" s="8"/>
      <c r="AA40" s="8"/>
      <c r="AB40" s="8"/>
      <c r="AC40" s="94"/>
      <c r="AD40" s="94"/>
      <c r="AE40" s="8"/>
      <c r="AF40" s="8"/>
      <c r="AG40" s="8"/>
      <c r="AH40" s="8"/>
      <c r="AI40" s="8"/>
      <c r="AJ40" s="94"/>
      <c r="AK40" s="94"/>
      <c r="AL40" s="8"/>
      <c r="AM40" s="8"/>
      <c r="AN40" s="8"/>
      <c r="AO40" s="8"/>
      <c r="AP40" s="8"/>
      <c r="AQ40" s="125"/>
      <c r="AR40" s="19"/>
      <c r="AS40" s="19">
        <f>COUNTIF(P39:AQ49,"p")</f>
        <v>0</v>
      </c>
      <c r="AT40" s="19">
        <f>COUNTIF(P39:AQ49,"pc")</f>
        <v>1</v>
      </c>
      <c r="AU40" s="19">
        <f>COUNTIF(P39:AQ49,"f")</f>
        <v>0</v>
      </c>
      <c r="AV40" s="19">
        <f>COUNTIF(P39:AQ49,"ast")</f>
        <v>0</v>
      </c>
      <c r="AW40" s="19">
        <f>COUNTIF(P39:AQ49,"cA")</f>
        <v>0</v>
      </c>
      <c r="AX40" s="19">
        <f>COUNTIF(P39:AQ49,"rtt")</f>
        <v>0</v>
      </c>
      <c r="AY40" s="19">
        <f>COUNTIF(P39:AQ49,"cex")</f>
        <v>0</v>
      </c>
      <c r="AZ40" s="19">
        <f>COUNTIF(P39:AQ49,"RES")</f>
        <v>0</v>
      </c>
      <c r="BA40" s="19">
        <f>COUNTIF(P39:AQ49,"MA")</f>
        <v>0</v>
      </c>
      <c r="BB40" s="19">
        <f>COUNTIF(P39:AQ49,"at")</f>
        <v>28</v>
      </c>
      <c r="BC40" s="19">
        <f>COUNTIF(P39:AQ49,"TP")</f>
        <v>0</v>
      </c>
    </row>
    <row r="41" spans="1:55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216"/>
      <c r="Q41" s="8"/>
      <c r="R41" s="8"/>
      <c r="S41" s="8"/>
      <c r="T41" s="8"/>
      <c r="U41" s="8"/>
      <c r="V41" s="94"/>
      <c r="W41" s="94"/>
      <c r="X41" s="8"/>
      <c r="Y41" s="8"/>
      <c r="Z41" s="8"/>
      <c r="AA41" s="8"/>
      <c r="AB41" s="8"/>
      <c r="AC41" s="94"/>
      <c r="AD41" s="94"/>
      <c r="AE41" s="8"/>
      <c r="AF41" s="8"/>
      <c r="AG41" s="8"/>
      <c r="AH41" s="8"/>
      <c r="AI41" s="8"/>
      <c r="AJ41" s="94"/>
      <c r="AK41" s="94"/>
      <c r="AL41" s="8"/>
      <c r="AM41" s="8"/>
      <c r="AN41" s="8"/>
      <c r="AO41" s="8"/>
      <c r="AP41" s="8"/>
      <c r="AQ41" s="125"/>
    </row>
    <row r="42" spans="1:55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216"/>
      <c r="Q42" s="8"/>
      <c r="R42" s="8"/>
      <c r="S42" s="8"/>
      <c r="T42" s="8"/>
      <c r="U42" s="8"/>
      <c r="V42" s="94"/>
      <c r="W42" s="94"/>
      <c r="X42" s="8"/>
      <c r="Y42" s="8"/>
      <c r="Z42" s="8"/>
      <c r="AA42" s="8"/>
      <c r="AB42" s="8"/>
      <c r="AC42" s="94"/>
      <c r="AD42" s="94"/>
      <c r="AE42" s="8"/>
      <c r="AF42" s="8"/>
      <c r="AG42" s="8"/>
      <c r="AH42" s="8"/>
      <c r="AI42" s="8"/>
      <c r="AJ42" s="94"/>
      <c r="AK42" s="94"/>
      <c r="AL42" s="8"/>
      <c r="AM42" s="8"/>
      <c r="AN42" s="8"/>
      <c r="AO42" s="8"/>
      <c r="AP42" s="8"/>
      <c r="AQ42" s="125"/>
      <c r="AR42" s="19"/>
    </row>
    <row r="43" spans="1:55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216"/>
      <c r="Q43" s="8"/>
      <c r="R43" s="8"/>
      <c r="S43" s="8"/>
      <c r="T43" s="8"/>
      <c r="U43" s="8"/>
      <c r="V43" s="94"/>
      <c r="W43" s="94"/>
      <c r="X43" s="8"/>
      <c r="Y43" s="8"/>
      <c r="Z43" s="8"/>
      <c r="AA43" s="8"/>
      <c r="AB43" s="8"/>
      <c r="AC43" s="94"/>
      <c r="AD43" s="94"/>
      <c r="AE43" s="8"/>
      <c r="AF43" s="8"/>
      <c r="AG43" s="8"/>
      <c r="AH43" s="8"/>
      <c r="AI43" s="8"/>
      <c r="AJ43" s="94"/>
      <c r="AK43" s="94"/>
      <c r="AL43" s="8"/>
      <c r="AM43" s="8"/>
      <c r="AN43" s="8"/>
      <c r="AO43" s="8"/>
      <c r="AP43" s="8"/>
      <c r="AQ43" s="125"/>
    </row>
    <row r="44" spans="1:55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216"/>
      <c r="Q44" s="8"/>
      <c r="R44" s="8"/>
      <c r="S44" s="8"/>
      <c r="T44" s="8"/>
      <c r="U44" s="8"/>
      <c r="V44" s="94"/>
      <c r="W44" s="94"/>
      <c r="X44" s="8"/>
      <c r="Y44" s="8"/>
      <c r="Z44" s="8"/>
      <c r="AA44" s="8"/>
      <c r="AB44" s="8"/>
      <c r="AC44" s="94"/>
      <c r="AD44" s="94"/>
      <c r="AE44" s="8"/>
      <c r="AF44" s="8"/>
      <c r="AG44" s="8"/>
      <c r="AH44" s="8"/>
      <c r="AI44" s="8"/>
      <c r="AJ44" s="94"/>
      <c r="AK44" s="94"/>
      <c r="AL44" s="8"/>
      <c r="AM44" s="8"/>
      <c r="AN44" s="8"/>
      <c r="AO44" s="8"/>
      <c r="AP44" s="8"/>
      <c r="AQ44" s="125"/>
    </row>
    <row r="45" spans="1:55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28</v>
      </c>
      <c r="N45" s="20">
        <f t="shared" si="37"/>
        <v>0</v>
      </c>
      <c r="O45" s="92">
        <f t="shared" si="38"/>
        <v>0</v>
      </c>
      <c r="P45" s="216" t="s">
        <v>203</v>
      </c>
      <c r="Q45" s="127" t="s">
        <v>203</v>
      </c>
      <c r="R45" s="127" t="s">
        <v>203</v>
      </c>
      <c r="S45" s="127" t="s">
        <v>203</v>
      </c>
      <c r="T45" s="127" t="s">
        <v>203</v>
      </c>
      <c r="U45" s="127" t="s">
        <v>203</v>
      </c>
      <c r="V45" s="127" t="s">
        <v>203</v>
      </c>
      <c r="W45" s="127" t="s">
        <v>203</v>
      </c>
      <c r="X45" s="127" t="s">
        <v>203</v>
      </c>
      <c r="Y45" s="127" t="s">
        <v>203</v>
      </c>
      <c r="Z45" s="127" t="s">
        <v>203</v>
      </c>
      <c r="AA45" s="127" t="s">
        <v>203</v>
      </c>
      <c r="AB45" s="127" t="s">
        <v>203</v>
      </c>
      <c r="AC45" s="127" t="s">
        <v>203</v>
      </c>
      <c r="AD45" s="127" t="s">
        <v>203</v>
      </c>
      <c r="AE45" s="127" t="s">
        <v>203</v>
      </c>
      <c r="AF45" s="127" t="s">
        <v>203</v>
      </c>
      <c r="AG45" s="127" t="s">
        <v>203</v>
      </c>
      <c r="AH45" s="127" t="s">
        <v>203</v>
      </c>
      <c r="AI45" s="127" t="s">
        <v>203</v>
      </c>
      <c r="AJ45" s="127" t="s">
        <v>203</v>
      </c>
      <c r="AK45" s="127" t="s">
        <v>203</v>
      </c>
      <c r="AL45" s="127" t="s">
        <v>203</v>
      </c>
      <c r="AM45" s="127" t="s">
        <v>203</v>
      </c>
      <c r="AN45" s="127" t="s">
        <v>203</v>
      </c>
      <c r="AO45" s="127" t="s">
        <v>203</v>
      </c>
      <c r="AP45" s="127" t="s">
        <v>203</v>
      </c>
      <c r="AQ45" s="129" t="s">
        <v>203</v>
      </c>
    </row>
    <row r="46" spans="1:55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216"/>
      <c r="Q46" s="8"/>
      <c r="R46" s="8"/>
      <c r="S46" s="8"/>
      <c r="T46" s="8"/>
      <c r="U46" s="8"/>
      <c r="V46" s="94"/>
      <c r="W46" s="94"/>
      <c r="X46" s="8"/>
      <c r="Y46" s="8"/>
      <c r="Z46" s="8"/>
      <c r="AA46" s="8"/>
      <c r="AB46" s="8"/>
      <c r="AC46" s="94"/>
      <c r="AD46" s="94"/>
      <c r="AE46" s="8"/>
      <c r="AF46" s="8"/>
      <c r="AG46" s="8"/>
      <c r="AH46" s="8"/>
      <c r="AI46" s="8"/>
      <c r="AJ46" s="94"/>
      <c r="AK46" s="94"/>
      <c r="AL46" s="8"/>
      <c r="AM46" s="8"/>
      <c r="AN46" s="8"/>
      <c r="AO46" s="8"/>
      <c r="AP46" s="8"/>
      <c r="AQ46" s="125"/>
    </row>
    <row r="47" spans="1:55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216"/>
      <c r="Q47" s="8"/>
      <c r="R47" s="8"/>
      <c r="S47" s="8"/>
      <c r="T47" s="8"/>
      <c r="U47" s="8"/>
      <c r="V47" s="94"/>
      <c r="W47" s="94"/>
      <c r="X47" s="8"/>
      <c r="Y47" s="8"/>
      <c r="Z47" s="8"/>
      <c r="AA47" s="8"/>
      <c r="AB47" s="8"/>
      <c r="AC47" s="94"/>
      <c r="AD47" s="94"/>
      <c r="AE47" s="8"/>
      <c r="AF47" s="8"/>
      <c r="AG47" s="8"/>
      <c r="AH47" s="8"/>
      <c r="AI47" s="8"/>
      <c r="AJ47" s="94"/>
      <c r="AK47" s="94"/>
      <c r="AL47" s="8"/>
      <c r="AM47" s="8"/>
      <c r="AN47" s="8"/>
      <c r="AO47" s="8"/>
      <c r="AP47" s="8"/>
      <c r="AQ47" s="125"/>
    </row>
    <row r="48" spans="1:55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216"/>
      <c r="Q48" s="8"/>
      <c r="R48" s="8"/>
      <c r="S48" s="8"/>
      <c r="T48" s="8"/>
      <c r="U48" s="8"/>
      <c r="V48" s="94"/>
      <c r="W48" s="94"/>
      <c r="X48" s="8"/>
      <c r="Y48" s="8"/>
      <c r="Z48" s="8"/>
      <c r="AA48" s="8"/>
      <c r="AB48" s="8"/>
      <c r="AC48" s="94"/>
      <c r="AD48" s="94"/>
      <c r="AE48" s="8"/>
      <c r="AF48" s="8"/>
      <c r="AG48" s="8"/>
      <c r="AH48" s="8"/>
      <c r="AI48" s="8"/>
      <c r="AJ48" s="94"/>
      <c r="AK48" s="94"/>
      <c r="AL48" s="8"/>
      <c r="AM48" s="8"/>
      <c r="AN48" s="8"/>
      <c r="AO48" s="8"/>
      <c r="AP48" s="8"/>
      <c r="AQ48" s="125"/>
    </row>
    <row r="49" spans="1:55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134">
        <f t="shared" si="27"/>
        <v>0</v>
      </c>
      <c r="E49" s="123">
        <f t="shared" si="28"/>
        <v>0</v>
      </c>
      <c r="F49" s="123">
        <f t="shared" si="29"/>
        <v>0</v>
      </c>
      <c r="G49" s="123">
        <f t="shared" si="30"/>
        <v>0</v>
      </c>
      <c r="H49" s="123">
        <f t="shared" si="31"/>
        <v>0</v>
      </c>
      <c r="I49" s="123">
        <f t="shared" si="32"/>
        <v>0</v>
      </c>
      <c r="J49" s="123">
        <f t="shared" si="33"/>
        <v>0</v>
      </c>
      <c r="K49" s="123">
        <f t="shared" si="34"/>
        <v>0</v>
      </c>
      <c r="L49" s="123">
        <f t="shared" si="35"/>
        <v>0</v>
      </c>
      <c r="M49" s="123">
        <f t="shared" si="36"/>
        <v>0</v>
      </c>
      <c r="N49" s="123">
        <f t="shared" si="37"/>
        <v>0</v>
      </c>
      <c r="O49" s="140">
        <f t="shared" si="38"/>
        <v>0</v>
      </c>
      <c r="P49" s="231"/>
      <c r="Q49" s="21"/>
      <c r="R49" s="21"/>
      <c r="S49" s="21"/>
      <c r="T49" s="21"/>
      <c r="U49" s="21"/>
      <c r="V49" s="95"/>
      <c r="W49" s="95"/>
      <c r="X49" s="21"/>
      <c r="Y49" s="21"/>
      <c r="Z49" s="21"/>
      <c r="AA49" s="21"/>
      <c r="AB49" s="21"/>
      <c r="AC49" s="95"/>
      <c r="AD49" s="95"/>
      <c r="AE49" s="21"/>
      <c r="AF49" s="21"/>
      <c r="AG49" s="21"/>
      <c r="AH49" s="21"/>
      <c r="AI49" s="21"/>
      <c r="AJ49" s="95"/>
      <c r="AK49" s="95"/>
      <c r="AL49" s="21"/>
      <c r="AM49" s="21"/>
      <c r="AN49" s="21"/>
      <c r="AO49" s="21"/>
      <c r="AP49" s="21"/>
      <c r="AQ49" s="126"/>
    </row>
    <row r="50" spans="1:55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  <c r="AO50" s="282"/>
      <c r="AP50" s="282"/>
      <c r="AQ50" s="282"/>
      <c r="AS50" s="290" t="s">
        <v>219</v>
      </c>
      <c r="AT50" s="291"/>
      <c r="AU50" s="291"/>
      <c r="AV50" s="291"/>
      <c r="AW50" s="291"/>
      <c r="AX50" s="291"/>
      <c r="AY50" s="291"/>
      <c r="AZ50" s="291"/>
      <c r="BA50" s="291"/>
      <c r="BB50" s="291"/>
      <c r="BC50" s="292"/>
    </row>
    <row r="51" spans="1:55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103">
        <f t="shared" ref="D51:D62" si="39">COUNTIF(P51:AQ51,"p")</f>
        <v>0</v>
      </c>
      <c r="E51" s="22">
        <f t="shared" ref="E51:E62" si="40">COUNTIF(P51:AQ51,"PC")</f>
        <v>0</v>
      </c>
      <c r="F51" s="22">
        <f t="shared" ref="F51:F62" si="41">COUNTIF(P51:AQ51,"f")</f>
        <v>0</v>
      </c>
      <c r="G51" s="22">
        <f t="shared" ref="G51:G62" si="42">COUNTIF(P51:AQ51,"ast")</f>
        <v>0</v>
      </c>
      <c r="H51" s="22">
        <f t="shared" ref="H51:H62" si="43">COUNTIF(P51:AQ51,"cA")</f>
        <v>0</v>
      </c>
      <c r="I51" s="22">
        <f t="shared" ref="I51:I62" si="44">COUNTIF(P51:AQ51,"rtt")</f>
        <v>0</v>
      </c>
      <c r="J51" s="22">
        <f t="shared" ref="J51:J62" si="45">COUNTIF(P51:AQ51,"cex")</f>
        <v>0</v>
      </c>
      <c r="K51" s="22">
        <f t="shared" ref="K51:K62" si="46">COUNTIF(P51:AQ51,"res")</f>
        <v>0</v>
      </c>
      <c r="L51" s="22">
        <f t="shared" ref="L51:L62" si="47">COUNTIF(P51:AQ51,"mA")</f>
        <v>0</v>
      </c>
      <c r="M51" s="22">
        <f t="shared" ref="M51:M62" si="48">COUNTIF(P51:AQ51,"at")</f>
        <v>0</v>
      </c>
      <c r="N51" s="22">
        <f t="shared" ref="N51:N62" si="49">COUNTIF(P51:AQ51,"TAD")</f>
        <v>0</v>
      </c>
      <c r="O51" s="106">
        <f t="shared" ref="O51:O62" si="50">COUNTIF(P51:AQ51,"TP")</f>
        <v>0</v>
      </c>
      <c r="P51" s="230"/>
      <c r="Q51" s="22"/>
      <c r="R51" s="22"/>
      <c r="S51" s="22"/>
      <c r="T51" s="22"/>
      <c r="U51" s="22"/>
      <c r="V51" s="104"/>
      <c r="W51" s="104"/>
      <c r="X51" s="22"/>
      <c r="Y51" s="22"/>
      <c r="Z51" s="22"/>
      <c r="AA51" s="22"/>
      <c r="AB51" s="22"/>
      <c r="AC51" s="104"/>
      <c r="AD51" s="104"/>
      <c r="AE51" s="22"/>
      <c r="AF51" s="22"/>
      <c r="AG51" s="22"/>
      <c r="AH51" s="22"/>
      <c r="AI51" s="22"/>
      <c r="AJ51" s="104"/>
      <c r="AK51" s="104"/>
      <c r="AL51" s="22"/>
      <c r="AM51" s="22"/>
      <c r="AN51" s="22"/>
      <c r="AO51" s="22"/>
      <c r="AP51" s="22"/>
      <c r="AQ51" s="104"/>
      <c r="AS51" s="168" t="s">
        <v>194</v>
      </c>
      <c r="AT51" s="78" t="s">
        <v>195</v>
      </c>
      <c r="AU51" s="12" t="s">
        <v>196</v>
      </c>
      <c r="AV51" s="79" t="s">
        <v>197</v>
      </c>
      <c r="AW51" s="10" t="s">
        <v>198</v>
      </c>
      <c r="AX51" s="80" t="s">
        <v>199</v>
      </c>
      <c r="AY51" s="11" t="s">
        <v>200</v>
      </c>
      <c r="AZ51" s="81" t="s">
        <v>201</v>
      </c>
      <c r="BA51" s="82" t="s">
        <v>202</v>
      </c>
      <c r="BB51" s="83" t="s">
        <v>203</v>
      </c>
      <c r="BC51" s="16" t="s">
        <v>205</v>
      </c>
    </row>
    <row r="52" spans="1:55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230"/>
      <c r="Q52" s="22"/>
      <c r="R52" s="22"/>
      <c r="S52" s="22"/>
      <c r="T52" s="22"/>
      <c r="U52" s="22"/>
      <c r="V52" s="104"/>
      <c r="W52" s="104"/>
      <c r="X52" s="22"/>
      <c r="Y52" s="22"/>
      <c r="Z52" s="22"/>
      <c r="AA52" s="22"/>
      <c r="AB52" s="22"/>
      <c r="AC52" s="104"/>
      <c r="AD52" s="104"/>
      <c r="AE52" s="22"/>
      <c r="AF52" s="22"/>
      <c r="AG52" s="22"/>
      <c r="AH52" s="22"/>
      <c r="AI52" s="22"/>
      <c r="AJ52" s="104"/>
      <c r="AK52" s="104"/>
      <c r="AL52" s="22"/>
      <c r="AM52" s="22"/>
      <c r="AN52" s="22"/>
      <c r="AO52" s="22"/>
      <c r="AP52" s="22"/>
      <c r="AQ52" s="104"/>
      <c r="AR52" s="19"/>
      <c r="AS52" s="19">
        <f>COUNTIF(P51:AQ62,"P")</f>
        <v>0</v>
      </c>
      <c r="AT52" s="19">
        <f>COUNTIF(P51:AQ62,"PC")</f>
        <v>0</v>
      </c>
      <c r="AU52" s="19">
        <f>COUNTIF(P51:AQ62,"F")</f>
        <v>0</v>
      </c>
      <c r="AV52" s="19">
        <f>COUNTIF(P51:AQ62,"AST")</f>
        <v>0</v>
      </c>
      <c r="AW52" s="19">
        <f>COUNTIF(P51:AQ62,"CA")</f>
        <v>0</v>
      </c>
      <c r="AX52" s="19">
        <f>COUNTIF(P51:AQ62,"RTT")</f>
        <v>0</v>
      </c>
      <c r="AY52" s="19">
        <f>COUNTIF(P51:AQ62,"CEX")</f>
        <v>0</v>
      </c>
      <c r="AZ52" s="19">
        <f>COUNTIF(P51:AQ62,"RES")</f>
        <v>0</v>
      </c>
      <c r="BA52" s="19">
        <f>COUNTIF(P51:AQ62,"MA")</f>
        <v>0</v>
      </c>
      <c r="BB52" s="19">
        <f>COUNTIF(P51:AQ62,"AT")</f>
        <v>0</v>
      </c>
      <c r="BC52" s="19">
        <f>COUNTIF(P51:AQ62,"TP")</f>
        <v>0</v>
      </c>
    </row>
    <row r="53" spans="1:55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230"/>
      <c r="Q53" s="22"/>
      <c r="R53" s="22"/>
      <c r="S53" s="22"/>
      <c r="T53" s="22"/>
      <c r="U53" s="22"/>
      <c r="V53" s="104"/>
      <c r="W53" s="104"/>
      <c r="X53" s="22"/>
      <c r="Y53" s="22"/>
      <c r="Z53" s="22"/>
      <c r="AA53" s="22"/>
      <c r="AB53" s="22"/>
      <c r="AC53" s="104"/>
      <c r="AD53" s="104"/>
      <c r="AE53" s="22"/>
      <c r="AF53" s="22"/>
      <c r="AG53" s="22"/>
      <c r="AH53" s="22"/>
      <c r="AI53" s="22"/>
      <c r="AJ53" s="104"/>
      <c r="AK53" s="104"/>
      <c r="AL53" s="22"/>
      <c r="AM53" s="22"/>
      <c r="AN53" s="22"/>
      <c r="AO53" s="22"/>
      <c r="AP53" s="22"/>
      <c r="AQ53" s="104"/>
    </row>
    <row r="54" spans="1:55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230"/>
      <c r="Q54" s="22"/>
      <c r="R54" s="22"/>
      <c r="S54" s="22"/>
      <c r="T54" s="22"/>
      <c r="U54" s="22"/>
      <c r="V54" s="104"/>
      <c r="W54" s="104"/>
      <c r="X54" s="22"/>
      <c r="Y54" s="22"/>
      <c r="Z54" s="22"/>
      <c r="AA54" s="22"/>
      <c r="AB54" s="22"/>
      <c r="AC54" s="104"/>
      <c r="AD54" s="104"/>
      <c r="AE54" s="22"/>
      <c r="AF54" s="22"/>
      <c r="AG54" s="22"/>
      <c r="AH54" s="22"/>
      <c r="AI54" s="22"/>
      <c r="AJ54" s="104"/>
      <c r="AK54" s="104"/>
      <c r="AL54" s="22"/>
      <c r="AM54" s="22"/>
      <c r="AN54" s="22"/>
      <c r="AO54" s="22"/>
      <c r="AP54" s="22"/>
      <c r="AQ54" s="104"/>
    </row>
    <row r="55" spans="1:55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230"/>
      <c r="Q55" s="22"/>
      <c r="R55" s="22"/>
      <c r="S55" s="22"/>
      <c r="T55" s="22"/>
      <c r="U55" s="22"/>
      <c r="V55" s="104"/>
      <c r="W55" s="104"/>
      <c r="X55" s="22"/>
      <c r="Y55" s="22"/>
      <c r="Z55" s="22"/>
      <c r="AA55" s="22"/>
      <c r="AB55" s="22"/>
      <c r="AC55" s="104"/>
      <c r="AD55" s="104"/>
      <c r="AE55" s="22"/>
      <c r="AF55" s="22"/>
      <c r="AG55" s="22"/>
      <c r="AH55" s="22"/>
      <c r="AI55" s="22"/>
      <c r="AJ55" s="104"/>
      <c r="AK55" s="104"/>
      <c r="AL55" s="22"/>
      <c r="AM55" s="22"/>
      <c r="AN55" s="22"/>
      <c r="AO55" s="22"/>
      <c r="AP55" s="22"/>
      <c r="AQ55" s="104"/>
    </row>
    <row r="56" spans="1:55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230"/>
      <c r="Q56" s="22"/>
      <c r="R56" s="22"/>
      <c r="S56" s="22"/>
      <c r="T56" s="22"/>
      <c r="U56" s="22"/>
      <c r="V56" s="104"/>
      <c r="W56" s="104"/>
      <c r="X56" s="22"/>
      <c r="Y56" s="22"/>
      <c r="Z56" s="22"/>
      <c r="AA56" s="22"/>
      <c r="AB56" s="22"/>
      <c r="AC56" s="104"/>
      <c r="AD56" s="104"/>
      <c r="AE56" s="22"/>
      <c r="AF56" s="22"/>
      <c r="AG56" s="22"/>
      <c r="AH56" s="22"/>
      <c r="AI56" s="22"/>
      <c r="AJ56" s="104"/>
      <c r="AK56" s="104"/>
      <c r="AL56" s="22"/>
      <c r="AM56" s="22"/>
      <c r="AN56" s="22"/>
      <c r="AO56" s="22"/>
      <c r="AP56" s="22"/>
      <c r="AQ56" s="104"/>
    </row>
    <row r="57" spans="1:55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230"/>
      <c r="Q57" s="22"/>
      <c r="R57" s="22"/>
      <c r="S57" s="22"/>
      <c r="T57" s="22"/>
      <c r="U57" s="22"/>
      <c r="V57" s="104"/>
      <c r="W57" s="104"/>
      <c r="X57" s="22"/>
      <c r="Y57" s="22"/>
      <c r="Z57" s="22"/>
      <c r="AA57" s="22"/>
      <c r="AB57" s="22"/>
      <c r="AC57" s="104"/>
      <c r="AD57" s="104"/>
      <c r="AE57" s="22"/>
      <c r="AF57" s="22"/>
      <c r="AG57" s="22"/>
      <c r="AH57" s="22"/>
      <c r="AI57" s="22"/>
      <c r="AJ57" s="104"/>
      <c r="AK57" s="104"/>
      <c r="AL57" s="22"/>
      <c r="AM57" s="22"/>
      <c r="AN57" s="22"/>
      <c r="AO57" s="22"/>
      <c r="AP57" s="22"/>
      <c r="AQ57" s="104"/>
      <c r="AR57" s="19"/>
    </row>
    <row r="58" spans="1:55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230"/>
      <c r="Q58" s="22"/>
      <c r="R58" s="22"/>
      <c r="S58" s="22"/>
      <c r="T58" s="22"/>
      <c r="U58" s="22"/>
      <c r="V58" s="104"/>
      <c r="W58" s="104"/>
      <c r="X58" s="22"/>
      <c r="Y58" s="22"/>
      <c r="Z58" s="22"/>
      <c r="AA58" s="22"/>
      <c r="AB58" s="22"/>
      <c r="AC58" s="104"/>
      <c r="AD58" s="104"/>
      <c r="AE58" s="22"/>
      <c r="AF58" s="22"/>
      <c r="AG58" s="22"/>
      <c r="AH58" s="22"/>
      <c r="AI58" s="22"/>
      <c r="AJ58" s="104"/>
      <c r="AK58" s="104"/>
      <c r="AL58" s="22"/>
      <c r="AM58" s="22"/>
      <c r="AN58" s="22"/>
      <c r="AO58" s="22"/>
      <c r="AP58" s="22"/>
      <c r="AQ58" s="104"/>
    </row>
    <row r="59" spans="1:55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230"/>
      <c r="Q59" s="22"/>
      <c r="R59" s="22"/>
      <c r="S59" s="22"/>
      <c r="T59" s="22"/>
      <c r="U59" s="22"/>
      <c r="V59" s="104"/>
      <c r="W59" s="104"/>
      <c r="X59" s="22"/>
      <c r="Y59" s="22"/>
      <c r="Z59" s="22"/>
      <c r="AA59" s="22"/>
      <c r="AB59" s="22"/>
      <c r="AC59" s="104"/>
      <c r="AD59" s="104"/>
      <c r="AE59" s="22"/>
      <c r="AF59" s="22"/>
      <c r="AG59" s="22"/>
      <c r="AH59" s="22"/>
      <c r="AI59" s="22"/>
      <c r="AJ59" s="104"/>
      <c r="AK59" s="104"/>
      <c r="AL59" s="22"/>
      <c r="AM59" s="22"/>
      <c r="AN59" s="22"/>
      <c r="AO59" s="22"/>
      <c r="AP59" s="22"/>
      <c r="AQ59" s="104"/>
    </row>
    <row r="60" spans="1:55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230"/>
      <c r="Q60" s="22"/>
      <c r="R60" s="22"/>
      <c r="S60" s="22"/>
      <c r="T60" s="22"/>
      <c r="U60" s="22"/>
      <c r="V60" s="104"/>
      <c r="W60" s="104"/>
      <c r="X60" s="22"/>
      <c r="Y60" s="22"/>
      <c r="Z60" s="22"/>
      <c r="AA60" s="22"/>
      <c r="AB60" s="22"/>
      <c r="AC60" s="104"/>
      <c r="AD60" s="104"/>
      <c r="AE60" s="22"/>
      <c r="AF60" s="22"/>
      <c r="AG60" s="22"/>
      <c r="AH60" s="22"/>
      <c r="AI60" s="22"/>
      <c r="AJ60" s="104"/>
      <c r="AK60" s="104"/>
      <c r="AL60" s="22"/>
      <c r="AM60" s="22"/>
      <c r="AN60" s="22"/>
      <c r="AO60" s="22"/>
      <c r="AP60" s="22"/>
      <c r="AQ60" s="104"/>
    </row>
    <row r="61" spans="1:55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230"/>
      <c r="Q61" s="22"/>
      <c r="R61" s="22"/>
      <c r="S61" s="22"/>
      <c r="T61" s="22"/>
      <c r="U61" s="22"/>
      <c r="V61" s="104"/>
      <c r="W61" s="104"/>
      <c r="X61" s="22"/>
      <c r="Y61" s="22"/>
      <c r="Z61" s="22"/>
      <c r="AA61" s="22"/>
      <c r="AB61" s="22"/>
      <c r="AC61" s="104"/>
      <c r="AD61" s="104"/>
      <c r="AE61" s="22"/>
      <c r="AF61" s="22"/>
      <c r="AG61" s="22"/>
      <c r="AH61" s="22"/>
      <c r="AI61" s="22"/>
      <c r="AJ61" s="104"/>
      <c r="AK61" s="104"/>
      <c r="AL61" s="22"/>
      <c r="AM61" s="22"/>
      <c r="AN61" s="22"/>
      <c r="AO61" s="22"/>
      <c r="AP61" s="22"/>
      <c r="AQ61" s="104"/>
    </row>
    <row r="62" spans="1:55" ht="20.100000000000001" customHeight="1" thickBot="1" x14ac:dyDescent="0.3">
      <c r="A62" s="174" t="str">
        <f>IFERROR(IF(config!E54="","",config!E54),"")</f>
        <v>N019975</v>
      </c>
      <c r="B62" s="174" t="str">
        <f>IFERROR(IF(config!F54="","",config!F54),"")</f>
        <v>VILLENEUVE</v>
      </c>
      <c r="C62" s="175" t="str">
        <f>IFERROR(IF(config!G54="","",config!G54),"")</f>
        <v>Fabrice</v>
      </c>
      <c r="D62" s="134">
        <f t="shared" si="39"/>
        <v>0</v>
      </c>
      <c r="E62" s="123">
        <f t="shared" si="40"/>
        <v>0</v>
      </c>
      <c r="F62" s="123">
        <f t="shared" si="41"/>
        <v>0</v>
      </c>
      <c r="G62" s="123">
        <f t="shared" si="42"/>
        <v>0</v>
      </c>
      <c r="H62" s="123">
        <f t="shared" si="43"/>
        <v>0</v>
      </c>
      <c r="I62" s="123">
        <f t="shared" si="44"/>
        <v>0</v>
      </c>
      <c r="J62" s="123">
        <f t="shared" si="45"/>
        <v>0</v>
      </c>
      <c r="K62" s="123">
        <f t="shared" si="46"/>
        <v>0</v>
      </c>
      <c r="L62" s="123">
        <f t="shared" si="47"/>
        <v>0</v>
      </c>
      <c r="M62" s="123">
        <f t="shared" si="48"/>
        <v>0</v>
      </c>
      <c r="N62" s="123">
        <f t="shared" si="49"/>
        <v>0</v>
      </c>
      <c r="O62" s="140">
        <f t="shared" si="50"/>
        <v>0</v>
      </c>
      <c r="P62" s="230"/>
      <c r="Q62" s="22"/>
      <c r="R62" s="22"/>
      <c r="S62" s="22"/>
      <c r="T62" s="22"/>
      <c r="U62" s="22"/>
      <c r="V62" s="104"/>
      <c r="W62" s="104"/>
      <c r="X62" s="22"/>
      <c r="Y62" s="22"/>
      <c r="Z62" s="22"/>
      <c r="AA62" s="22"/>
      <c r="AB62" s="22"/>
      <c r="AC62" s="104"/>
      <c r="AD62" s="104"/>
      <c r="AE62" s="22"/>
      <c r="AF62" s="22"/>
      <c r="AG62" s="22"/>
      <c r="AH62" s="22"/>
      <c r="AI62" s="22"/>
      <c r="AJ62" s="104"/>
      <c r="AK62" s="104"/>
      <c r="AL62" s="22"/>
      <c r="AM62" s="22"/>
      <c r="AN62" s="22"/>
      <c r="AO62" s="22"/>
      <c r="AP62" s="22"/>
      <c r="AQ62" s="104"/>
    </row>
    <row r="63" spans="1:55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9"/>
      <c r="AS63" s="290" t="s">
        <v>221</v>
      </c>
      <c r="AT63" s="291"/>
      <c r="AU63" s="291"/>
      <c r="AV63" s="291"/>
      <c r="AW63" s="291"/>
      <c r="AX63" s="291"/>
      <c r="AY63" s="291"/>
      <c r="AZ63" s="291"/>
      <c r="BA63" s="291"/>
      <c r="BB63" s="291"/>
      <c r="BC63" s="292"/>
    </row>
    <row r="64" spans="1:55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>COUNTIF(P64:AQ64,"p")</f>
        <v>0</v>
      </c>
      <c r="E64" s="20">
        <f>COUNTIF(P64:AQ64,"PC")</f>
        <v>0</v>
      </c>
      <c r="F64" s="20">
        <f>COUNTIF(P64:AQ64,"f")</f>
        <v>0</v>
      </c>
      <c r="G64" s="20">
        <f>COUNTIF(P64:AQ64,"ast")</f>
        <v>0</v>
      </c>
      <c r="H64" s="20">
        <f>COUNTIF(P64:AQ64,"cA")</f>
        <v>0</v>
      </c>
      <c r="I64" s="20">
        <f>COUNTIF(P64:AQ64,"rtt")</f>
        <v>0</v>
      </c>
      <c r="J64" s="20">
        <f>COUNTIF(P64:AQ64,"cex")</f>
        <v>0</v>
      </c>
      <c r="K64" s="20">
        <f>COUNTIF(P64:AQ64,"res")</f>
        <v>0</v>
      </c>
      <c r="L64" s="20">
        <f>COUNTIF(P64:AQ64,"mA")</f>
        <v>0</v>
      </c>
      <c r="M64" s="20">
        <f>COUNTIF(P64:AQ64,"at")</f>
        <v>0</v>
      </c>
      <c r="N64" s="20">
        <f>COUNTIF(P64:AQ64,"TAD")</f>
        <v>0</v>
      </c>
      <c r="O64" s="92">
        <f>COUNTIF(P64:AQ64,"TP")</f>
        <v>0</v>
      </c>
      <c r="P64" s="230"/>
      <c r="Q64" s="22"/>
      <c r="R64" s="22"/>
      <c r="S64" s="22"/>
      <c r="T64" s="22"/>
      <c r="U64" s="22"/>
      <c r="V64" s="104"/>
      <c r="W64" s="104"/>
      <c r="X64" s="22"/>
      <c r="Y64" s="22"/>
      <c r="Z64" s="22"/>
      <c r="AA64" s="22"/>
      <c r="AB64" s="22"/>
      <c r="AC64" s="104"/>
      <c r="AD64" s="104"/>
      <c r="AE64" s="22"/>
      <c r="AF64" s="22"/>
      <c r="AG64" s="22"/>
      <c r="AH64" s="22"/>
      <c r="AI64" s="22"/>
      <c r="AJ64" s="104"/>
      <c r="AK64" s="104"/>
      <c r="AL64" s="22"/>
      <c r="AM64" s="22"/>
      <c r="AN64" s="22"/>
      <c r="AO64" s="22"/>
      <c r="AP64" s="22"/>
      <c r="AQ64" s="197"/>
      <c r="AS64" s="168" t="s">
        <v>194</v>
      </c>
      <c r="AT64" s="78" t="s">
        <v>195</v>
      </c>
      <c r="AU64" s="12" t="s">
        <v>196</v>
      </c>
      <c r="AV64" s="79" t="s">
        <v>197</v>
      </c>
      <c r="AW64" s="10" t="s">
        <v>198</v>
      </c>
      <c r="AX64" s="80" t="s">
        <v>199</v>
      </c>
      <c r="AY64" s="11" t="s">
        <v>200</v>
      </c>
      <c r="AZ64" s="81" t="s">
        <v>201</v>
      </c>
      <c r="BA64" s="82" t="s">
        <v>202</v>
      </c>
      <c r="BB64" s="83" t="s">
        <v>203</v>
      </c>
      <c r="BC64" s="16" t="s">
        <v>205</v>
      </c>
    </row>
    <row r="65" spans="1:55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>COUNTIF(P65:AQ65,"p")</f>
        <v>0</v>
      </c>
      <c r="E65" s="20">
        <f>COUNTIF(P65:AQ65,"PC")</f>
        <v>0</v>
      </c>
      <c r="F65" s="20">
        <f>COUNTIF(P65:AQ65,"f")</f>
        <v>0</v>
      </c>
      <c r="G65" s="20">
        <f>COUNTIF(P65:AQ65,"ast")</f>
        <v>0</v>
      </c>
      <c r="H65" s="20">
        <f>COUNTIF(P65:AQ65,"cA")</f>
        <v>0</v>
      </c>
      <c r="I65" s="20">
        <f>COUNTIF(P65:AQ65,"rtt")</f>
        <v>0</v>
      </c>
      <c r="J65" s="20">
        <f>COUNTIF(P65:AQ65,"cex")</f>
        <v>0</v>
      </c>
      <c r="K65" s="20">
        <f>COUNTIF(P65:AQ65,"res")</f>
        <v>0</v>
      </c>
      <c r="L65" s="20">
        <f>COUNTIF(P65:AQ65,"mA")</f>
        <v>0</v>
      </c>
      <c r="M65" s="20">
        <f>COUNTIF(P65:AQ65,"at")</f>
        <v>0</v>
      </c>
      <c r="N65" s="20">
        <f>COUNTIF(P65:AQ65,"TAD")</f>
        <v>0</v>
      </c>
      <c r="O65" s="92">
        <f>COUNTIF(P65:AQ65,"TP")</f>
        <v>0</v>
      </c>
      <c r="P65" s="230"/>
      <c r="Q65" s="22"/>
      <c r="R65" s="22"/>
      <c r="S65" s="22"/>
      <c r="T65" s="22"/>
      <c r="U65" s="22"/>
      <c r="V65" s="104"/>
      <c r="W65" s="104"/>
      <c r="X65" s="22"/>
      <c r="Y65" s="22"/>
      <c r="Z65" s="22"/>
      <c r="AA65" s="22"/>
      <c r="AB65" s="22"/>
      <c r="AC65" s="104"/>
      <c r="AD65" s="104"/>
      <c r="AE65" s="22"/>
      <c r="AF65" s="22"/>
      <c r="AG65" s="22"/>
      <c r="AH65" s="22"/>
      <c r="AI65" s="22"/>
      <c r="AJ65" s="104"/>
      <c r="AK65" s="104"/>
      <c r="AL65" s="22"/>
      <c r="AM65" s="22"/>
      <c r="AN65" s="22"/>
      <c r="AO65" s="22"/>
      <c r="AP65" s="22"/>
      <c r="AQ65" s="197"/>
      <c r="AS65" s="19">
        <f>COUNTIF(P64:AQ73,"P")</f>
        <v>0</v>
      </c>
      <c r="AT65" s="19">
        <f>COUNTIF(P64:AQ73,"PC")</f>
        <v>0</v>
      </c>
      <c r="AU65" s="19">
        <f>COUNTIF(P64:AQ73,"F")</f>
        <v>0</v>
      </c>
      <c r="AV65" s="19">
        <f>COUNTIF(P64:AQ73,"AST")</f>
        <v>0</v>
      </c>
      <c r="AW65" s="19">
        <f>COUNTIF(P64:AQ73,"Ca")</f>
        <v>0</v>
      </c>
      <c r="AX65" s="19">
        <f>COUNTIF(P64:AQ73,"RTT")</f>
        <v>0</v>
      </c>
      <c r="AY65" s="19">
        <f>COUNTIF(P64:AQ73,"CEX")</f>
        <v>0</v>
      </c>
      <c r="AZ65" s="19">
        <f>COUNTIF(P64:AQ73,"RES")</f>
        <v>0</v>
      </c>
      <c r="BA65" s="19">
        <f>COUNTIF(P64:AQ73,"MA")</f>
        <v>0</v>
      </c>
      <c r="BB65" s="19">
        <f>COUNTIF(P64:AQ73,"AT")</f>
        <v>0</v>
      </c>
      <c r="BC65" s="19">
        <f>COUNTIF(P64:AQ73,"TP")</f>
        <v>10</v>
      </c>
    </row>
    <row r="66" spans="1:55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>COUNTIF(P66:AQ66,"p")</f>
        <v>0</v>
      </c>
      <c r="E66" s="20">
        <f>COUNTIF(P66:AQ66,"PC")</f>
        <v>0</v>
      </c>
      <c r="F66" s="20">
        <f>COUNTIF(P66:AQ66,"f")</f>
        <v>0</v>
      </c>
      <c r="G66" s="20">
        <f>COUNTIF(P66:AQ66,"ast")</f>
        <v>0</v>
      </c>
      <c r="H66" s="20">
        <f>COUNTIF(P66:AQ66,"cA")</f>
        <v>0</v>
      </c>
      <c r="I66" s="20">
        <f>COUNTIF(P66:AQ66,"rtt")</f>
        <v>0</v>
      </c>
      <c r="J66" s="20">
        <f>COUNTIF(P66:AQ66,"cex")</f>
        <v>0</v>
      </c>
      <c r="K66" s="20">
        <f>COUNTIF(P66:AQ66,"res")</f>
        <v>0</v>
      </c>
      <c r="L66" s="20">
        <f>COUNTIF(P66:AQ66,"mA")</f>
        <v>0</v>
      </c>
      <c r="M66" s="20">
        <f>COUNTIF(P66:AQ66,"at")</f>
        <v>0</v>
      </c>
      <c r="N66" s="20">
        <f>COUNTIF(P66:AQ66,"TAD")</f>
        <v>0</v>
      </c>
      <c r="O66" s="92">
        <f>COUNTIF(P66:AQ66,"TP")</f>
        <v>10</v>
      </c>
      <c r="P66" s="230"/>
      <c r="Q66" s="8"/>
      <c r="R66" s="8" t="s">
        <v>205</v>
      </c>
      <c r="S66" s="8"/>
      <c r="T66" s="8" t="s">
        <v>205</v>
      </c>
      <c r="U66" s="8"/>
      <c r="V66" s="94"/>
      <c r="W66" s="94"/>
      <c r="X66" s="8" t="s">
        <v>205</v>
      </c>
      <c r="Y66" s="8"/>
      <c r="Z66" s="8" t="s">
        <v>205</v>
      </c>
      <c r="AA66" s="8"/>
      <c r="AB66" s="8" t="s">
        <v>205</v>
      </c>
      <c r="AC66" s="104"/>
      <c r="AD66" s="104"/>
      <c r="AE66" s="8"/>
      <c r="AF66" s="8" t="s">
        <v>205</v>
      </c>
      <c r="AG66" s="8"/>
      <c r="AH66" s="8" t="s">
        <v>205</v>
      </c>
      <c r="AI66" s="8"/>
      <c r="AJ66" s="94"/>
      <c r="AK66" s="94"/>
      <c r="AL66" s="8" t="s">
        <v>205</v>
      </c>
      <c r="AM66" s="8"/>
      <c r="AN66" s="8" t="s">
        <v>205</v>
      </c>
      <c r="AO66" s="8"/>
      <c r="AP66" s="8" t="s">
        <v>205</v>
      </c>
      <c r="AQ66" s="197"/>
    </row>
    <row r="67" spans="1:55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8">
        <f>COUNTIF(P67:AQ67,"p")</f>
        <v>0</v>
      </c>
      <c r="E67" s="89">
        <f>COUNTIF(P67:AQ67,"PC")</f>
        <v>0</v>
      </c>
      <c r="F67" s="89">
        <f>COUNTIF(P67:AQ67,"f")</f>
        <v>0</v>
      </c>
      <c r="G67" s="89">
        <f>COUNTIF(P67:AQ67,"ast")</f>
        <v>0</v>
      </c>
      <c r="H67" s="89">
        <f>COUNTIF(P67:AQ67,"cA")</f>
        <v>0</v>
      </c>
      <c r="I67" s="89">
        <f>COUNTIF(P67:AQ67,"rtt")</f>
        <v>0</v>
      </c>
      <c r="J67" s="89">
        <f>COUNTIF(P67:AQ67,"cex")</f>
        <v>0</v>
      </c>
      <c r="K67" s="89">
        <f>COUNTIF(P67:AQ67,"res")</f>
        <v>0</v>
      </c>
      <c r="L67" s="89">
        <f>COUNTIF(P67:AQ67,"mA")</f>
        <v>0</v>
      </c>
      <c r="M67" s="89">
        <f>COUNTIF(P67:AQ67,"at")</f>
        <v>0</v>
      </c>
      <c r="N67" s="89">
        <f>COUNTIF(P67:AQ67,"TAD")</f>
        <v>0</v>
      </c>
      <c r="O67" s="93">
        <f>COUNTIF(P67:AQ67,"TP")</f>
        <v>0</v>
      </c>
      <c r="P67" s="232"/>
      <c r="Q67" s="184"/>
      <c r="R67" s="184"/>
      <c r="S67" s="184"/>
      <c r="T67" s="184"/>
      <c r="U67" s="184"/>
      <c r="V67" s="233"/>
      <c r="W67" s="233"/>
      <c r="X67" s="184"/>
      <c r="Y67" s="184"/>
      <c r="Z67" s="184"/>
      <c r="AA67" s="184"/>
      <c r="AB67" s="184"/>
      <c r="AC67" s="233"/>
      <c r="AD67" s="233"/>
      <c r="AE67" s="184"/>
      <c r="AF67" s="184"/>
      <c r="AG67" s="184"/>
      <c r="AH67" s="184"/>
      <c r="AI67" s="184"/>
      <c r="AJ67" s="233"/>
      <c r="AK67" s="233"/>
      <c r="AL67" s="184"/>
      <c r="AM67" s="184"/>
      <c r="AN67" s="184"/>
      <c r="AO67" s="184"/>
      <c r="AP67" s="184"/>
      <c r="AQ67" s="234"/>
    </row>
    <row r="76" spans="1:55" x14ac:dyDescent="0.25">
      <c r="T76" s="19" t="s">
        <v>194</v>
      </c>
    </row>
  </sheetData>
  <mergeCells count="8">
    <mergeCell ref="AS50:BC50"/>
    <mergeCell ref="A38:AQ38"/>
    <mergeCell ref="A5:AQ7"/>
    <mergeCell ref="AS11:BC11"/>
    <mergeCell ref="A63:AQ63"/>
    <mergeCell ref="AS38:BC38"/>
    <mergeCell ref="AS63:BC63"/>
    <mergeCell ref="D8:O8"/>
  </mergeCells>
  <conditionalFormatting sqref="D10:O10">
    <cfRule type="cellIs" dxfId="1248" priority="169" operator="equal">
      <formula>"repos"</formula>
    </cfRule>
    <cfRule type="cellIs" dxfId="1247" priority="170" operator="equal">
      <formula>"permanence"</formula>
    </cfRule>
    <cfRule type="cellIs" dxfId="1246" priority="171" operator="equal">
      <formula>"dimanche"</formula>
    </cfRule>
    <cfRule type="cellIs" dxfId="1245" priority="172" operator="equal">
      <formula>"formation"</formula>
    </cfRule>
    <cfRule type="cellIs" dxfId="1244" priority="173" operator="equal">
      <formula>"conges exc"</formula>
    </cfRule>
    <cfRule type="cellIs" dxfId="1243" priority="174" operator="equal">
      <formula>"conges"</formula>
    </cfRule>
    <cfRule type="cellIs" dxfId="1242" priority="175" operator="equal">
      <formula>"asa"</formula>
    </cfRule>
    <cfRule type="cellIs" dxfId="1241" priority="176" operator="equal">
      <formula>"maladie / at"</formula>
    </cfRule>
    <cfRule type="cellIs" dxfId="1240" priority="177" operator="equal">
      <formula>"presence"</formula>
    </cfRule>
  </conditionalFormatting>
  <conditionalFormatting sqref="D11:O20 D23:O24 D26:O29 D31:O36 D39:O49 D51:O62 D64:O67">
    <cfRule type="cellIs" dxfId="1239" priority="178" operator="equal">
      <formula>0</formula>
    </cfRule>
  </conditionalFormatting>
  <conditionalFormatting sqref="P9:AQ9">
    <cfRule type="expression" dxfId="1238" priority="180">
      <formula>OR(P$9=1, P$9=7)</formula>
    </cfRule>
  </conditionalFormatting>
  <conditionalFormatting sqref="P9:AQ10">
    <cfRule type="expression" dxfId="1237" priority="179">
      <formula>OR(P$9=1,P$9=7)</formula>
    </cfRule>
  </conditionalFormatting>
  <conditionalFormatting sqref="P26:AQ29 P31:AQ36">
    <cfRule type="containsText" dxfId="1236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235" priority="63" operator="containsText" text="AT">
      <formula>NOT(ISERROR(SEARCH("AT",P26)))</formula>
    </cfRule>
    <cfRule type="containsText" dxfId="1234" priority="64" operator="containsText" text="MA">
      <formula>NOT(ISERROR(SEARCH("MA",P26)))</formula>
    </cfRule>
    <cfRule type="containsText" dxfId="1233" priority="65" operator="containsText" text="RES">
      <formula>NOT(ISERROR(SEARCH("RES",P26)))</formula>
    </cfRule>
    <cfRule type="containsText" dxfId="1232" priority="66" operator="containsText" text="CEX">
      <formula>NOT(ISERROR(SEARCH("CEX",P26)))</formula>
    </cfRule>
    <cfRule type="containsText" dxfId="1231" priority="67" operator="containsText" text="RTT">
      <formula>NOT(ISERROR(SEARCH("RTT",P26)))</formula>
    </cfRule>
    <cfRule type="beginsWith" dxfId="1230" priority="68" operator="beginsWith" text="CA">
      <formula>LEFT(P26,LEN("CA"))="CA"</formula>
    </cfRule>
    <cfRule type="containsText" dxfId="1229" priority="69" operator="containsText" text="AST">
      <formula>NOT(ISERROR(SEARCH("AST",P26)))</formula>
    </cfRule>
    <cfRule type="containsText" dxfId="1228" priority="70" operator="containsText" text="F">
      <formula>NOT(ISERROR(SEARCH("F",P26)))</formula>
    </cfRule>
    <cfRule type="containsText" dxfId="1227" priority="71" operator="containsText" text="PC">
      <formula>NOT(ISERROR(SEARCH("PC",P26)))</formula>
    </cfRule>
    <cfRule type="containsText" dxfId="1226" priority="72" operator="containsText" text="P">
      <formula>NOT(ISERROR(SEARCH("P",P26)))</formula>
    </cfRule>
  </conditionalFormatting>
  <conditionalFormatting sqref="P39:AQ49">
    <cfRule type="containsText" dxfId="1225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224" priority="51" operator="containsText" text="AT">
      <formula>NOT(ISERROR(SEARCH("AT",P39)))</formula>
    </cfRule>
    <cfRule type="containsText" dxfId="1223" priority="52" operator="containsText" text="MA">
      <formula>NOT(ISERROR(SEARCH("MA",P39)))</formula>
    </cfRule>
    <cfRule type="containsText" dxfId="1222" priority="53" operator="containsText" text="RES">
      <formula>NOT(ISERROR(SEARCH("RES",P39)))</formula>
    </cfRule>
    <cfRule type="containsText" dxfId="1221" priority="54" operator="containsText" text="CEX">
      <formula>NOT(ISERROR(SEARCH("CEX",P39)))</formula>
    </cfRule>
    <cfRule type="containsText" dxfId="1220" priority="55" operator="containsText" text="RTT">
      <formula>NOT(ISERROR(SEARCH("RTT",P39)))</formula>
    </cfRule>
    <cfRule type="beginsWith" dxfId="1219" priority="56" operator="beginsWith" text="CA">
      <formula>LEFT(P39,LEN("CA"))="CA"</formula>
    </cfRule>
    <cfRule type="containsText" dxfId="1218" priority="57" operator="containsText" text="AST">
      <formula>NOT(ISERROR(SEARCH("AST",P39)))</formula>
    </cfRule>
    <cfRule type="containsText" dxfId="1217" priority="58" operator="containsText" text="F">
      <formula>NOT(ISERROR(SEARCH("F",P39)))</formula>
    </cfRule>
    <cfRule type="containsText" dxfId="1216" priority="59" operator="containsText" text="PC">
      <formula>NOT(ISERROR(SEARCH("PC",P39)))</formula>
    </cfRule>
    <cfRule type="containsText" dxfId="1215" priority="60" operator="containsText" text="P">
      <formula>NOT(ISERROR(SEARCH("P",P39)))</formula>
    </cfRule>
  </conditionalFormatting>
  <conditionalFormatting sqref="P51:AQ62">
    <cfRule type="containsText" dxfId="1214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213" priority="39" operator="containsText" text="AT">
      <formula>NOT(ISERROR(SEARCH("AT",P51)))</formula>
    </cfRule>
    <cfRule type="containsText" dxfId="1212" priority="40" operator="containsText" text="MA">
      <formula>NOT(ISERROR(SEARCH("MA",P51)))</formula>
    </cfRule>
    <cfRule type="containsText" dxfId="1211" priority="41" operator="containsText" text="RES">
      <formula>NOT(ISERROR(SEARCH("RES",P51)))</formula>
    </cfRule>
    <cfRule type="containsText" dxfId="1210" priority="42" operator="containsText" text="CEX">
      <formula>NOT(ISERROR(SEARCH("CEX",P51)))</formula>
    </cfRule>
    <cfRule type="containsText" dxfId="1209" priority="43" operator="containsText" text="RTT">
      <formula>NOT(ISERROR(SEARCH("RTT",P51)))</formula>
    </cfRule>
    <cfRule type="beginsWith" dxfId="1208" priority="44" operator="beginsWith" text="CA">
      <formula>LEFT(P51,LEN("CA"))="CA"</formula>
    </cfRule>
    <cfRule type="containsText" dxfId="1207" priority="45" operator="containsText" text="AST">
      <formula>NOT(ISERROR(SEARCH("AST",P51)))</formula>
    </cfRule>
    <cfRule type="containsText" dxfId="1206" priority="46" operator="containsText" text="F">
      <formula>NOT(ISERROR(SEARCH("F",P51)))</formula>
    </cfRule>
    <cfRule type="containsText" dxfId="1205" priority="47" operator="containsText" text="PC">
      <formula>NOT(ISERROR(SEARCH("PC",P51)))</formula>
    </cfRule>
    <cfRule type="containsText" dxfId="1204" priority="48" operator="containsText" text="P">
      <formula>NOT(ISERROR(SEARCH("P",P51)))</formula>
    </cfRule>
  </conditionalFormatting>
  <conditionalFormatting sqref="P64:AQ67">
    <cfRule type="containsText" dxfId="1203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02" priority="3" operator="containsText" text="AT">
      <formula>NOT(ISERROR(SEARCH("AT",P64)))</formula>
    </cfRule>
    <cfRule type="containsText" dxfId="1201" priority="4" operator="containsText" text="MA">
      <formula>NOT(ISERROR(SEARCH("MA",P64)))</formula>
    </cfRule>
    <cfRule type="containsText" dxfId="1200" priority="5" operator="containsText" text="RES">
      <formula>NOT(ISERROR(SEARCH("RES",P64)))</formula>
    </cfRule>
    <cfRule type="containsText" dxfId="1199" priority="6" operator="containsText" text="CEX">
      <formula>NOT(ISERROR(SEARCH("CEX",P64)))</formula>
    </cfRule>
    <cfRule type="containsText" dxfId="1198" priority="7" operator="containsText" text="RTT">
      <formula>NOT(ISERROR(SEARCH("RTT",P64)))</formula>
    </cfRule>
    <cfRule type="beginsWith" dxfId="1197" priority="8" operator="beginsWith" text="CA">
      <formula>LEFT(P64,LEN("CA"))="CA"</formula>
    </cfRule>
    <cfRule type="containsText" dxfId="1196" priority="9" operator="containsText" text="AST">
      <formula>NOT(ISERROR(SEARCH("AST",P64)))</formula>
    </cfRule>
    <cfRule type="containsText" dxfId="1195" priority="10" operator="containsText" text="F">
      <formula>NOT(ISERROR(SEARCH("F",P64)))</formula>
    </cfRule>
    <cfRule type="containsText" dxfId="1194" priority="11" operator="containsText" text="PC">
      <formula>NOT(ISERROR(SEARCH("PC",P64)))</formula>
    </cfRule>
    <cfRule type="containsText" dxfId="1193" priority="12" operator="containsText" text="P">
      <formula>NOT(ISERROR(SEARCH("P",P64)))</formula>
    </cfRule>
  </conditionalFormatting>
  <conditionalFormatting sqref="P11:AR20 P23:AQ24">
    <cfRule type="containsText" dxfId="1192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91" priority="87" operator="containsText" text="AT">
      <formula>NOT(ISERROR(SEARCH("AT",P11)))</formula>
    </cfRule>
    <cfRule type="containsText" dxfId="1190" priority="88" operator="containsText" text="MA">
      <formula>NOT(ISERROR(SEARCH("MA",P11)))</formula>
    </cfRule>
    <cfRule type="containsText" dxfId="1189" priority="89" operator="containsText" text="RES">
      <formula>NOT(ISERROR(SEARCH("RES",P11)))</formula>
    </cfRule>
    <cfRule type="containsText" dxfId="1188" priority="90" operator="containsText" text="CEX">
      <formula>NOT(ISERROR(SEARCH("CEX",P11)))</formula>
    </cfRule>
    <cfRule type="containsText" dxfId="1187" priority="91" operator="containsText" text="RTT">
      <formula>NOT(ISERROR(SEARCH("RTT",P11)))</formula>
    </cfRule>
    <cfRule type="beginsWith" dxfId="1186" priority="92" operator="beginsWith" text="CA">
      <formula>LEFT(P11,LEN("CA"))="CA"</formula>
    </cfRule>
    <cfRule type="containsText" dxfId="1185" priority="93" operator="containsText" text="AST">
      <formula>NOT(ISERROR(SEARCH("AST",P11)))</formula>
    </cfRule>
    <cfRule type="containsText" dxfId="1184" priority="94" operator="containsText" text="F">
      <formula>NOT(ISERROR(SEARCH("F",P11)))</formula>
    </cfRule>
    <cfRule type="containsText" dxfId="1183" priority="95" operator="containsText" text="PC">
      <formula>NOT(ISERROR(SEARCH("PC",P11)))</formula>
    </cfRule>
    <cfRule type="containsText" dxfId="1182" priority="96" operator="containsText" text="P">
      <formula>NOT(ISERROR(SEARCH("P",P11)))</formula>
    </cfRule>
  </conditionalFormatting>
  <dataValidations count="3">
    <dataValidation type="list" allowBlank="1" showInputMessage="1" showErrorMessage="1" sqref="P11:AR20 P23:AQ24 P26:AQ29 P31:AQ36 P39:AQ49 P51:AQ62 P64:AQ67" xr:uid="{00000000-0002-0000-0200-000000000000}">
      <formula1>"P, PC, F, AST, CA, RTT, CEX, RES, MA, AT, TAD, TP"</formula1>
    </dataValidation>
    <dataValidation type="list" allowBlank="1" showInputMessage="1" showErrorMessage="1" sqref="T76" xr:uid="{00000000-0002-0000-0200-000001000000}">
      <formula1>$D$9:$O$9</formula1>
    </dataValidation>
    <dataValidation type="list" allowBlank="1" showInputMessage="1" showErrorMessage="1" sqref="P10:AQ10" xr:uid="{00000000-0002-0000-02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F78"/>
  <sheetViews>
    <sheetView zoomScale="80" zoomScaleNormal="80" workbookViewId="0">
      <pane xSplit="2" ySplit="10" topLeftCell="C36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config!B7</f>
        <v>46082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config!C7</f>
        <v>46112</v>
      </c>
    </row>
    <row r="3" spans="1:58" ht="15" customHeight="1" x14ac:dyDescent="0.25">
      <c r="A3" s="27"/>
    </row>
    <row r="4" spans="1:58" ht="76.5" customHeight="1" x14ac:dyDescent="0.25">
      <c r="A4" s="27"/>
      <c r="P4" s="28">
        <f>A1</f>
        <v>46082</v>
      </c>
      <c r="Q4" s="28">
        <f t="shared" ref="Q4:AT4" si="0">P4+1</f>
        <v>46083</v>
      </c>
      <c r="R4" s="28">
        <f t="shared" si="0"/>
        <v>46084</v>
      </c>
      <c r="S4" s="28">
        <f t="shared" si="0"/>
        <v>46085</v>
      </c>
      <c r="T4" s="28">
        <f t="shared" si="0"/>
        <v>46086</v>
      </c>
      <c r="U4" s="28">
        <f t="shared" si="0"/>
        <v>46087</v>
      </c>
      <c r="V4" s="28">
        <f t="shared" si="0"/>
        <v>46088</v>
      </c>
      <c r="W4" s="28">
        <f t="shared" si="0"/>
        <v>46089</v>
      </c>
      <c r="X4" s="28">
        <f t="shared" si="0"/>
        <v>46090</v>
      </c>
      <c r="Y4" s="28">
        <f t="shared" si="0"/>
        <v>46091</v>
      </c>
      <c r="Z4" s="28">
        <f t="shared" si="0"/>
        <v>46092</v>
      </c>
      <c r="AA4" s="28">
        <f t="shared" si="0"/>
        <v>46093</v>
      </c>
      <c r="AB4" s="28">
        <f t="shared" si="0"/>
        <v>46094</v>
      </c>
      <c r="AC4" s="28">
        <f t="shared" si="0"/>
        <v>46095</v>
      </c>
      <c r="AD4" s="28">
        <f t="shared" si="0"/>
        <v>46096</v>
      </c>
      <c r="AE4" s="28">
        <f t="shared" si="0"/>
        <v>46097</v>
      </c>
      <c r="AF4" s="28">
        <f t="shared" si="0"/>
        <v>46098</v>
      </c>
      <c r="AG4" s="28">
        <f t="shared" si="0"/>
        <v>46099</v>
      </c>
      <c r="AH4" s="28">
        <f t="shared" si="0"/>
        <v>46100</v>
      </c>
      <c r="AI4" s="28">
        <f t="shared" si="0"/>
        <v>46101</v>
      </c>
      <c r="AJ4" s="28">
        <f t="shared" si="0"/>
        <v>46102</v>
      </c>
      <c r="AK4" s="28">
        <f t="shared" si="0"/>
        <v>46103</v>
      </c>
      <c r="AL4" s="28">
        <f t="shared" si="0"/>
        <v>46104</v>
      </c>
      <c r="AM4" s="28">
        <f t="shared" si="0"/>
        <v>46105</v>
      </c>
      <c r="AN4" s="28">
        <f t="shared" si="0"/>
        <v>46106</v>
      </c>
      <c r="AO4" s="28">
        <f t="shared" si="0"/>
        <v>46107</v>
      </c>
      <c r="AP4" s="28">
        <f t="shared" si="0"/>
        <v>46108</v>
      </c>
      <c r="AQ4" s="28">
        <f t="shared" si="0"/>
        <v>46109</v>
      </c>
      <c r="AR4" s="28">
        <f t="shared" si="0"/>
        <v>46110</v>
      </c>
      <c r="AS4" s="28">
        <f t="shared" si="0"/>
        <v>46111</v>
      </c>
      <c r="AT4" s="28">
        <f t="shared" si="0"/>
        <v>46112</v>
      </c>
      <c r="AU4" s="28"/>
      <c r="AV4" s="27"/>
      <c r="AW4" s="27"/>
      <c r="AX4" s="27"/>
      <c r="AY4" s="27"/>
      <c r="AZ4" s="27"/>
      <c r="BA4" s="27"/>
      <c r="BB4" s="27"/>
    </row>
    <row r="5" spans="1:58" ht="36" customHeight="1" x14ac:dyDescent="0.25">
      <c r="A5" s="295" t="str">
        <f>TEXT(A1,"mmmmmmmmmmmm")</f>
        <v>mars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3"/>
    </row>
    <row r="6" spans="1:58" ht="36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3"/>
    </row>
    <row r="7" spans="1:58" ht="36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3"/>
    </row>
    <row r="8" spans="1:58" s="29" customFormat="1" ht="21.75" customHeight="1" thickBot="1" x14ac:dyDescent="0.3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8"/>
      <c r="Y8" s="18"/>
      <c r="Z8" s="18"/>
      <c r="AA8" s="18"/>
      <c r="AB8" s="18"/>
      <c r="AC8" s="164"/>
      <c r="AD8" s="164"/>
      <c r="AE8" s="18"/>
      <c r="AF8" s="18"/>
      <c r="AG8" s="18"/>
      <c r="AH8" s="18"/>
      <c r="AI8" s="149"/>
      <c r="AJ8" s="164"/>
      <c r="AK8" s="149"/>
      <c r="AL8" s="149"/>
      <c r="AM8" s="149" t="s">
        <v>193</v>
      </c>
      <c r="AN8" s="149"/>
      <c r="AO8" s="149"/>
      <c r="AP8" s="149"/>
      <c r="AQ8" s="149"/>
      <c r="AR8" s="164"/>
      <c r="AS8" s="149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57" t="s">
        <v>205</v>
      </c>
      <c r="P9" s="181">
        <f t="shared" ref="P9:AT9" si="1">IFERROR(WEEKDAY(P4),"")</f>
        <v>1</v>
      </c>
      <c r="Q9" s="150">
        <f t="shared" si="1"/>
        <v>2</v>
      </c>
      <c r="R9" s="151">
        <f t="shared" si="1"/>
        <v>3</v>
      </c>
      <c r="S9" s="151">
        <f t="shared" si="1"/>
        <v>4</v>
      </c>
      <c r="T9" s="151">
        <f t="shared" si="1"/>
        <v>5</v>
      </c>
      <c r="U9" s="151">
        <f t="shared" si="1"/>
        <v>6</v>
      </c>
      <c r="V9" s="151">
        <f t="shared" si="1"/>
        <v>7</v>
      </c>
      <c r="W9" s="151">
        <f t="shared" si="1"/>
        <v>1</v>
      </c>
      <c r="X9" s="151">
        <f t="shared" si="1"/>
        <v>2</v>
      </c>
      <c r="Y9" s="151">
        <f t="shared" si="1"/>
        <v>3</v>
      </c>
      <c r="Z9" s="151">
        <f t="shared" si="1"/>
        <v>4</v>
      </c>
      <c r="AA9" s="151">
        <f t="shared" si="1"/>
        <v>5</v>
      </c>
      <c r="AB9" s="151">
        <f t="shared" si="1"/>
        <v>6</v>
      </c>
      <c r="AC9" s="151">
        <f t="shared" si="1"/>
        <v>7</v>
      </c>
      <c r="AD9" s="151">
        <f t="shared" si="1"/>
        <v>1</v>
      </c>
      <c r="AE9" s="151">
        <f t="shared" si="1"/>
        <v>2</v>
      </c>
      <c r="AF9" s="151">
        <f t="shared" si="1"/>
        <v>3</v>
      </c>
      <c r="AG9" s="151">
        <f t="shared" si="1"/>
        <v>4</v>
      </c>
      <c r="AH9" s="151">
        <f t="shared" si="1"/>
        <v>5</v>
      </c>
      <c r="AI9" s="151">
        <f t="shared" si="1"/>
        <v>6</v>
      </c>
      <c r="AJ9" s="151">
        <f t="shared" si="1"/>
        <v>7</v>
      </c>
      <c r="AK9" s="151">
        <f t="shared" si="1"/>
        <v>1</v>
      </c>
      <c r="AL9" s="151">
        <f t="shared" si="1"/>
        <v>2</v>
      </c>
      <c r="AM9" s="151">
        <f t="shared" si="1"/>
        <v>3</v>
      </c>
      <c r="AN9" s="151">
        <f t="shared" si="1"/>
        <v>4</v>
      </c>
      <c r="AO9" s="151">
        <f t="shared" si="1"/>
        <v>5</v>
      </c>
      <c r="AP9" s="151">
        <f t="shared" si="1"/>
        <v>6</v>
      </c>
      <c r="AQ9" s="151">
        <f t="shared" si="1"/>
        <v>7</v>
      </c>
      <c r="AR9" s="151">
        <f t="shared" si="1"/>
        <v>1</v>
      </c>
      <c r="AS9" s="152">
        <f t="shared" si="1"/>
        <v>2</v>
      </c>
      <c r="AT9" s="153">
        <f t="shared" si="1"/>
        <v>3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58" t="s">
        <v>216</v>
      </c>
      <c r="P10" s="182">
        <f t="shared" ref="P10:AT10" si="2">DAY(P4)</f>
        <v>1</v>
      </c>
      <c r="Q10" s="154">
        <f t="shared" si="2"/>
        <v>2</v>
      </c>
      <c r="R10" s="155">
        <f t="shared" si="2"/>
        <v>3</v>
      </c>
      <c r="S10" s="155">
        <f t="shared" si="2"/>
        <v>4</v>
      </c>
      <c r="T10" s="155">
        <f t="shared" si="2"/>
        <v>5</v>
      </c>
      <c r="U10" s="155">
        <f t="shared" si="2"/>
        <v>6</v>
      </c>
      <c r="V10" s="155">
        <f t="shared" si="2"/>
        <v>7</v>
      </c>
      <c r="W10" s="155">
        <f t="shared" si="2"/>
        <v>8</v>
      </c>
      <c r="X10" s="155">
        <f t="shared" si="2"/>
        <v>9</v>
      </c>
      <c r="Y10" s="155">
        <f t="shared" si="2"/>
        <v>10</v>
      </c>
      <c r="Z10" s="155">
        <f t="shared" si="2"/>
        <v>11</v>
      </c>
      <c r="AA10" s="155">
        <f t="shared" si="2"/>
        <v>12</v>
      </c>
      <c r="AB10" s="155">
        <f t="shared" si="2"/>
        <v>13</v>
      </c>
      <c r="AC10" s="155">
        <f t="shared" si="2"/>
        <v>14</v>
      </c>
      <c r="AD10" s="155">
        <f t="shared" si="2"/>
        <v>15</v>
      </c>
      <c r="AE10" s="155">
        <f t="shared" si="2"/>
        <v>16</v>
      </c>
      <c r="AF10" s="155">
        <f t="shared" si="2"/>
        <v>17</v>
      </c>
      <c r="AG10" s="155">
        <f t="shared" si="2"/>
        <v>18</v>
      </c>
      <c r="AH10" s="155">
        <f t="shared" si="2"/>
        <v>19</v>
      </c>
      <c r="AI10" s="155">
        <f t="shared" si="2"/>
        <v>20</v>
      </c>
      <c r="AJ10" s="155">
        <f t="shared" si="2"/>
        <v>21</v>
      </c>
      <c r="AK10" s="155">
        <f t="shared" si="2"/>
        <v>22</v>
      </c>
      <c r="AL10" s="155">
        <f t="shared" si="2"/>
        <v>23</v>
      </c>
      <c r="AM10" s="155">
        <f t="shared" si="2"/>
        <v>24</v>
      </c>
      <c r="AN10" s="155">
        <f t="shared" si="2"/>
        <v>25</v>
      </c>
      <c r="AO10" s="155">
        <f t="shared" si="2"/>
        <v>26</v>
      </c>
      <c r="AP10" s="155">
        <f t="shared" si="2"/>
        <v>27</v>
      </c>
      <c r="AQ10" s="155">
        <f t="shared" si="2"/>
        <v>28</v>
      </c>
      <c r="AR10" s="155">
        <f t="shared" si="2"/>
        <v>29</v>
      </c>
      <c r="AS10" s="154">
        <f t="shared" si="2"/>
        <v>30</v>
      </c>
      <c r="AT10" s="156">
        <f t="shared" si="2"/>
        <v>31</v>
      </c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230"/>
      <c r="Q11" s="22"/>
      <c r="R11" s="22"/>
      <c r="S11" s="22"/>
      <c r="T11" s="22"/>
      <c r="U11" s="22"/>
      <c r="V11" s="104"/>
      <c r="W11" s="104"/>
      <c r="X11" s="22"/>
      <c r="Y11" s="22"/>
      <c r="Z11" s="22"/>
      <c r="AA11" s="22"/>
      <c r="AB11" s="22"/>
      <c r="AC11" s="104"/>
      <c r="AD11" s="104"/>
      <c r="AE11" s="22"/>
      <c r="AF11" s="22"/>
      <c r="AG11" s="22"/>
      <c r="AH11" s="22"/>
      <c r="AI11" s="22"/>
      <c r="AJ11" s="104"/>
      <c r="AK11" s="104"/>
      <c r="AL11" s="22"/>
      <c r="AM11" s="22"/>
      <c r="AN11" s="22"/>
      <c r="AO11" s="22"/>
      <c r="AP11" s="22"/>
      <c r="AQ11" s="104"/>
      <c r="AR11" s="104"/>
      <c r="AS11" s="22"/>
      <c r="AT11" s="22"/>
      <c r="AU11" s="1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15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216"/>
      <c r="Q12" s="8"/>
      <c r="R12" s="8"/>
      <c r="S12" s="8"/>
      <c r="T12" s="8"/>
      <c r="U12" s="8"/>
      <c r="V12" s="94"/>
      <c r="W12" s="94"/>
      <c r="X12" s="8" t="s">
        <v>195</v>
      </c>
      <c r="Y12" s="8" t="s">
        <v>195</v>
      </c>
      <c r="Z12" s="8" t="s">
        <v>195</v>
      </c>
      <c r="AA12" s="8" t="s">
        <v>195</v>
      </c>
      <c r="AB12" s="8" t="s">
        <v>195</v>
      </c>
      <c r="AC12" s="94"/>
      <c r="AD12" s="94"/>
      <c r="AE12" s="8" t="s">
        <v>195</v>
      </c>
      <c r="AF12" s="8" t="s">
        <v>195</v>
      </c>
      <c r="AG12" s="8" t="s">
        <v>195</v>
      </c>
      <c r="AH12" s="8" t="s">
        <v>195</v>
      </c>
      <c r="AI12" s="8" t="s">
        <v>195</v>
      </c>
      <c r="AJ12" s="94"/>
      <c r="AK12" s="94"/>
      <c r="AL12" s="8" t="s">
        <v>195</v>
      </c>
      <c r="AM12" s="8" t="s">
        <v>195</v>
      </c>
      <c r="AN12" s="8" t="s">
        <v>195</v>
      </c>
      <c r="AO12" s="8" t="s">
        <v>195</v>
      </c>
      <c r="AP12" s="8" t="s">
        <v>195</v>
      </c>
      <c r="AQ12" s="94"/>
      <c r="AR12" s="94"/>
      <c r="AS12" s="8"/>
      <c r="AT12" s="8"/>
      <c r="AU12" s="1"/>
      <c r="AV12" s="168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216"/>
      <c r="Q13" s="8"/>
      <c r="R13" s="8"/>
      <c r="S13" s="8"/>
      <c r="T13" s="8"/>
      <c r="U13" s="8"/>
      <c r="V13" s="94"/>
      <c r="W13" s="94"/>
      <c r="X13" s="8"/>
      <c r="Y13" s="8"/>
      <c r="Z13" s="8"/>
      <c r="AA13" s="8"/>
      <c r="AB13" s="8"/>
      <c r="AC13" s="94"/>
      <c r="AD13" s="94"/>
      <c r="AE13" s="8"/>
      <c r="AF13" s="8"/>
      <c r="AG13" s="8"/>
      <c r="AH13" s="8"/>
      <c r="AI13" s="8"/>
      <c r="AJ13" s="94"/>
      <c r="AK13" s="94"/>
      <c r="AL13" s="8"/>
      <c r="AM13" s="8"/>
      <c r="AN13" s="8"/>
      <c r="AO13" s="8"/>
      <c r="AP13" s="8"/>
      <c r="AQ13" s="94"/>
      <c r="AR13" s="94"/>
      <c r="AS13" s="8"/>
      <c r="AT13" s="8"/>
      <c r="AU13" s="1"/>
      <c r="AV13" s="19">
        <f>COUNTIF(P11:AS29,"p")</f>
        <v>0</v>
      </c>
      <c r="AW13" s="19">
        <f>COUNTIF(P11:AS29,"PC")</f>
        <v>15</v>
      </c>
      <c r="AX13" s="19">
        <f>COUNTIF(P11:AS29,"f")</f>
        <v>0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216"/>
      <c r="Q14" s="8"/>
      <c r="R14" s="8"/>
      <c r="S14" s="8"/>
      <c r="T14" s="8"/>
      <c r="U14" s="8"/>
      <c r="V14" s="94"/>
      <c r="W14" s="94"/>
      <c r="X14" s="8"/>
      <c r="Y14" s="8"/>
      <c r="Z14" s="8"/>
      <c r="AA14" s="8"/>
      <c r="AB14" s="8"/>
      <c r="AC14" s="94"/>
      <c r="AD14" s="94"/>
      <c r="AE14" s="8"/>
      <c r="AF14" s="8"/>
      <c r="AG14" s="8"/>
      <c r="AH14" s="8"/>
      <c r="AI14" s="8"/>
      <c r="AJ14" s="94"/>
      <c r="AK14" s="94"/>
      <c r="AL14" s="8"/>
      <c r="AM14" s="8"/>
      <c r="AN14" s="8"/>
      <c r="AO14" s="8"/>
      <c r="AP14" s="8"/>
      <c r="AQ14" s="94"/>
      <c r="AR14" s="94"/>
      <c r="AS14" s="8"/>
      <c r="AT14" s="8"/>
      <c r="AU14" s="1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216"/>
      <c r="Q15" s="8"/>
      <c r="R15" s="8"/>
      <c r="S15" s="8"/>
      <c r="T15" s="8"/>
      <c r="U15" s="8"/>
      <c r="V15" s="94"/>
      <c r="W15" s="94"/>
      <c r="X15" s="8"/>
      <c r="Y15" s="8"/>
      <c r="Z15" s="8"/>
      <c r="AA15" s="8"/>
      <c r="AB15" s="8"/>
      <c r="AC15" s="94"/>
      <c r="AD15" s="94"/>
      <c r="AE15" s="8"/>
      <c r="AF15" s="8"/>
      <c r="AG15" s="8"/>
      <c r="AH15" s="8"/>
      <c r="AI15" s="8"/>
      <c r="AJ15" s="94"/>
      <c r="AK15" s="94"/>
      <c r="AL15" s="8"/>
      <c r="AM15" s="8"/>
      <c r="AN15" s="8"/>
      <c r="AO15" s="8"/>
      <c r="AP15" s="8"/>
      <c r="AQ15" s="94"/>
      <c r="AR15" s="94"/>
      <c r="AS15" s="8"/>
      <c r="AT15" s="8"/>
      <c r="AU15" s="1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216"/>
      <c r="Q16" s="8"/>
      <c r="R16" s="8"/>
      <c r="S16" s="8"/>
      <c r="T16" s="8"/>
      <c r="U16" s="8"/>
      <c r="V16" s="94"/>
      <c r="W16" s="94"/>
      <c r="X16" s="8"/>
      <c r="Y16" s="8"/>
      <c r="Z16" s="8"/>
      <c r="AA16" s="8"/>
      <c r="AB16" s="8"/>
      <c r="AC16" s="94"/>
      <c r="AD16" s="94"/>
      <c r="AE16" s="8"/>
      <c r="AF16" s="8"/>
      <c r="AG16" s="8"/>
      <c r="AH16" s="8"/>
      <c r="AI16" s="8"/>
      <c r="AJ16" s="94"/>
      <c r="AK16" s="94"/>
      <c r="AL16" s="8"/>
      <c r="AM16" s="8"/>
      <c r="AN16" s="8"/>
      <c r="AO16" s="8"/>
      <c r="AP16" s="8"/>
      <c r="AQ16" s="94"/>
      <c r="AR16" s="94"/>
      <c r="AS16" s="8"/>
      <c r="AT16" s="8"/>
      <c r="AU16" s="1"/>
    </row>
    <row r="17" spans="1:47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216"/>
      <c r="Q17" s="8"/>
      <c r="R17" s="8"/>
      <c r="S17" s="8"/>
      <c r="T17" s="8"/>
      <c r="U17" s="8"/>
      <c r="V17" s="94"/>
      <c r="W17" s="94"/>
      <c r="X17" s="8"/>
      <c r="Y17" s="8"/>
      <c r="Z17" s="8"/>
      <c r="AA17" s="8"/>
      <c r="AB17" s="8"/>
      <c r="AC17" s="94"/>
      <c r="AD17" s="94"/>
      <c r="AE17" s="8"/>
      <c r="AF17" s="8"/>
      <c r="AG17" s="8"/>
      <c r="AH17" s="8"/>
      <c r="AI17" s="8"/>
      <c r="AJ17" s="94"/>
      <c r="AK17" s="94"/>
      <c r="AL17" s="8"/>
      <c r="AM17" s="8"/>
      <c r="AN17" s="8"/>
      <c r="AO17" s="8"/>
      <c r="AP17" s="8"/>
      <c r="AQ17" s="94"/>
      <c r="AR17" s="94"/>
      <c r="AS17" s="8"/>
      <c r="AT17" s="8"/>
      <c r="AU17" s="1"/>
    </row>
    <row r="18" spans="1:47" ht="20.100000000000001" customHeight="1" thickBot="1" x14ac:dyDescent="0.3">
      <c r="A18" s="200"/>
      <c r="B18" s="201"/>
      <c r="C18" s="202"/>
      <c r="D18" s="213">
        <f t="shared" si="3"/>
        <v>0</v>
      </c>
      <c r="E18" s="214">
        <f t="shared" si="4"/>
        <v>0</v>
      </c>
      <c r="F18" s="214">
        <f t="shared" si="5"/>
        <v>0</v>
      </c>
      <c r="G18" s="214">
        <f t="shared" si="6"/>
        <v>0</v>
      </c>
      <c r="H18" s="214">
        <f t="shared" si="7"/>
        <v>0</v>
      </c>
      <c r="I18" s="214">
        <f t="shared" si="8"/>
        <v>0</v>
      </c>
      <c r="J18" s="214">
        <f t="shared" si="9"/>
        <v>0</v>
      </c>
      <c r="K18" s="214">
        <f t="shared" si="10"/>
        <v>0</v>
      </c>
      <c r="L18" s="214">
        <f t="shared" si="11"/>
        <v>0</v>
      </c>
      <c r="M18" s="214">
        <f t="shared" si="12"/>
        <v>0</v>
      </c>
      <c r="N18" s="214">
        <f t="shared" si="13"/>
        <v>0</v>
      </c>
      <c r="O18" s="215">
        <f t="shared" si="14"/>
        <v>0</v>
      </c>
      <c r="P18" s="122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1"/>
    </row>
    <row r="19" spans="1:47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216"/>
      <c r="Q19" s="8"/>
      <c r="R19" s="8"/>
      <c r="S19" s="8"/>
      <c r="T19" s="8"/>
      <c r="U19" s="8"/>
      <c r="V19" s="94"/>
      <c r="W19" s="94"/>
      <c r="X19" s="8"/>
      <c r="Y19" s="8"/>
      <c r="Z19" s="8"/>
      <c r="AA19" s="8"/>
      <c r="AB19" s="8"/>
      <c r="AC19" s="94"/>
      <c r="AD19" s="94"/>
      <c r="AE19" s="8"/>
      <c r="AF19" s="8"/>
      <c r="AG19" s="8"/>
      <c r="AH19" s="8"/>
      <c r="AI19" s="8"/>
      <c r="AJ19" s="94"/>
      <c r="AK19" s="94"/>
      <c r="AL19" s="8"/>
      <c r="AM19" s="8"/>
      <c r="AN19" s="8"/>
      <c r="AO19" s="8"/>
      <c r="AP19" s="8"/>
      <c r="AQ19" s="94"/>
      <c r="AR19" s="94"/>
      <c r="AS19" s="8"/>
      <c r="AT19" s="8"/>
      <c r="AU19" s="1"/>
    </row>
    <row r="20" spans="1:47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231"/>
      <c r="Q20" s="21"/>
      <c r="R20" s="21"/>
      <c r="S20" s="21"/>
      <c r="T20" s="21"/>
      <c r="U20" s="21"/>
      <c r="V20" s="95"/>
      <c r="W20" s="95"/>
      <c r="X20" s="21"/>
      <c r="Y20" s="21"/>
      <c r="Z20" s="21"/>
      <c r="AA20" s="21"/>
      <c r="AB20" s="21"/>
      <c r="AC20" s="95"/>
      <c r="AD20" s="95"/>
      <c r="AE20" s="21"/>
      <c r="AF20" s="21"/>
      <c r="AG20" s="21"/>
      <c r="AH20" s="21"/>
      <c r="AI20" s="21"/>
      <c r="AJ20" s="95"/>
      <c r="AK20" s="95"/>
      <c r="AL20" s="21"/>
      <c r="AM20" s="21"/>
      <c r="AN20" s="21"/>
      <c r="AO20" s="21"/>
      <c r="AP20" s="21"/>
      <c r="AQ20" s="95"/>
      <c r="AR20" s="95"/>
      <c r="AS20" s="21"/>
      <c r="AT20" s="21"/>
      <c r="AU20" s="1"/>
    </row>
    <row r="21" spans="1:47" ht="20.100000000000001" customHeight="1" thickBot="1" x14ac:dyDescent="0.3">
      <c r="A21" s="54" t="str">
        <f>IFERROR(IF(config!E13="","",config!E13),"")</f>
        <v>MAINTENANCE</v>
      </c>
      <c r="B21" s="54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  <c r="AR21" s="179"/>
      <c r="AS21" s="179"/>
      <c r="AT21" s="179"/>
    </row>
    <row r="22" spans="1:47" ht="20.100000000000001" customHeight="1" thickBot="1" x14ac:dyDescent="0.3">
      <c r="A22" s="46" t="str">
        <f>IFERROR(IF(config!E14="","",config!E14),"")</f>
        <v>SURVEILLANT DE TRAVAUX</v>
      </c>
      <c r="B22" s="46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180"/>
      <c r="AR22" s="180"/>
      <c r="AS22" s="180"/>
      <c r="AT22" s="180"/>
    </row>
    <row r="23" spans="1:47" ht="20.100000000000001" customHeight="1" thickBot="1" x14ac:dyDescent="0.3">
      <c r="A23" s="30" t="str">
        <f>IFERROR(IF(config!E15="","",config!E15),"")</f>
        <v>C004587</v>
      </c>
      <c r="B23" s="40" t="str">
        <f>IFERROR(IF(config!F15="","",config!F15),"")</f>
        <v xml:space="preserve">BOURGOIN </v>
      </c>
      <c r="C23" s="102" t="str">
        <f>IFERROR(IF(config!G15="","",config!G15),"")</f>
        <v>Jean-Baptiste</v>
      </c>
      <c r="D23" s="103">
        <f>COUNTIF(P23:AS23,"p")</f>
        <v>0</v>
      </c>
      <c r="E23" s="22">
        <f>COUNTIF(P23:AS23,"PC")</f>
        <v>0</v>
      </c>
      <c r="F23" s="22">
        <f>COUNTIF(P23:AS23,"f")</f>
        <v>0</v>
      </c>
      <c r="G23" s="22">
        <f>COUNTIF(P23:AS23,"ast")</f>
        <v>0</v>
      </c>
      <c r="H23" s="22">
        <f>COUNTIF(P23:AS23,"cA")</f>
        <v>0</v>
      </c>
      <c r="I23" s="22">
        <f>COUNTIF(P23:AS23,"rtt")</f>
        <v>0</v>
      </c>
      <c r="J23" s="22">
        <f>COUNTIF(P23:AS23,"cex")</f>
        <v>0</v>
      </c>
      <c r="K23" s="22">
        <f>COUNTIF(P23:AS23,"res")</f>
        <v>0</v>
      </c>
      <c r="L23" s="22">
        <f>COUNTIF(P23:AS23,"mA")</f>
        <v>0</v>
      </c>
      <c r="M23" s="22">
        <f>COUNTIF(P23:AS23,"at")</f>
        <v>0</v>
      </c>
      <c r="N23" s="22">
        <f>COUNTIF(P23:AS23,"TAD")</f>
        <v>0</v>
      </c>
      <c r="O23" s="106">
        <f>COUNTIF(P23:AS23,"TP")</f>
        <v>0</v>
      </c>
      <c r="P23" s="230"/>
      <c r="Q23" s="22"/>
      <c r="R23" s="22"/>
      <c r="S23" s="22"/>
      <c r="T23" s="22"/>
      <c r="U23" s="22"/>
      <c r="V23" s="104"/>
      <c r="W23" s="104"/>
      <c r="X23" s="22"/>
      <c r="Y23" s="22"/>
      <c r="Z23" s="22"/>
      <c r="AA23" s="22"/>
      <c r="AB23" s="22"/>
      <c r="AC23" s="104"/>
      <c r="AD23" s="104"/>
      <c r="AE23" s="22"/>
      <c r="AF23" s="22"/>
      <c r="AG23" s="22"/>
      <c r="AH23" s="22"/>
      <c r="AI23" s="22"/>
      <c r="AJ23" s="104"/>
      <c r="AK23" s="104"/>
      <c r="AL23" s="22"/>
      <c r="AM23" s="22"/>
      <c r="AN23" s="22"/>
      <c r="AO23" s="22"/>
      <c r="AP23" s="22"/>
      <c r="AQ23" s="104"/>
      <c r="AR23" s="104"/>
      <c r="AS23" s="22"/>
      <c r="AT23" s="22"/>
    </row>
    <row r="24" spans="1:47" ht="20.100000000000001" customHeight="1" thickBot="1" x14ac:dyDescent="0.3">
      <c r="A24" s="131" t="str">
        <f>IFERROR(IF(config!E16="","",config!E16),"")</f>
        <v>N02645</v>
      </c>
      <c r="B24" s="132" t="str">
        <f>IFERROR(IF(config!F16="","",config!F16),"")</f>
        <v>MERCADIEU</v>
      </c>
      <c r="C24" s="133" t="str">
        <f>IFERROR(IF(config!G16="","",config!G16),"")</f>
        <v>Baptiste</v>
      </c>
      <c r="D24" s="134">
        <f>COUNTIF(P24:AS24,"p")</f>
        <v>0</v>
      </c>
      <c r="E24" s="123">
        <f>COUNTIF(P24:AS24,"PC")</f>
        <v>0</v>
      </c>
      <c r="F24" s="123">
        <f>COUNTIF(P24:AS24,"f")</f>
        <v>0</v>
      </c>
      <c r="G24" s="123">
        <f>COUNTIF(P24:AS24,"ast")</f>
        <v>0</v>
      </c>
      <c r="H24" s="123">
        <f>COUNTIF(P24:AS24,"cA")</f>
        <v>0</v>
      </c>
      <c r="I24" s="123">
        <f>COUNTIF(P24:AS24,"rtt")</f>
        <v>0</v>
      </c>
      <c r="J24" s="123">
        <f>COUNTIF(P24:AS24,"cex")</f>
        <v>0</v>
      </c>
      <c r="K24" s="123">
        <f>COUNTIF(P24:AS24,"res")</f>
        <v>0</v>
      </c>
      <c r="L24" s="123">
        <f>COUNTIF(P24:AS24,"mA")</f>
        <v>0</v>
      </c>
      <c r="M24" s="123">
        <f>COUNTIF(P24:AS24,"at")</f>
        <v>0</v>
      </c>
      <c r="N24" s="123">
        <f>COUNTIF(P24:AS24,"TAD")</f>
        <v>0</v>
      </c>
      <c r="O24" s="140">
        <f>COUNTIF(P24:AS24,"TP")</f>
        <v>0</v>
      </c>
      <c r="P24" s="230"/>
      <c r="Q24" s="22"/>
      <c r="R24" s="8"/>
      <c r="S24" s="8"/>
      <c r="T24" s="8"/>
      <c r="U24" s="8"/>
      <c r="V24" s="94"/>
      <c r="W24" s="94"/>
      <c r="X24" s="8"/>
      <c r="Y24" s="8"/>
      <c r="Z24" s="8"/>
      <c r="AA24" s="8"/>
      <c r="AB24" s="8"/>
      <c r="AC24" s="94"/>
      <c r="AD24" s="94"/>
      <c r="AE24" s="8"/>
      <c r="AF24" s="8"/>
      <c r="AG24" s="8"/>
      <c r="AH24" s="8"/>
      <c r="AI24" s="8"/>
      <c r="AJ24" s="94"/>
      <c r="AK24" s="94"/>
      <c r="AL24" s="8"/>
      <c r="AM24" s="8"/>
      <c r="AN24" s="8"/>
      <c r="AO24" s="8"/>
      <c r="AP24" s="8"/>
      <c r="AQ24" s="94"/>
      <c r="AR24" s="94"/>
      <c r="AS24" s="8"/>
      <c r="AT24" s="8"/>
    </row>
    <row r="25" spans="1:47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178"/>
    </row>
    <row r="26" spans="1:47" ht="20.100000000000001" customHeight="1" thickBot="1" x14ac:dyDescent="0.3">
      <c r="A26" s="33" t="str">
        <f>IFERROR(IF(config!E18="","",config!E18),"")</f>
        <v>C004845</v>
      </c>
      <c r="B26" s="40" t="str">
        <f>IFERROR(IF(config!F18="","",config!F18),"")</f>
        <v>GARCIA</v>
      </c>
      <c r="C26" s="102" t="str">
        <f>IFERROR(IF(config!G18="","",config!G18),"")</f>
        <v>Yoan</v>
      </c>
      <c r="D26" s="103">
        <f>COUNTIF(P26:AS26,"p")</f>
        <v>0</v>
      </c>
      <c r="E26" s="22">
        <f>COUNTIF(P26:AS26,"PC")</f>
        <v>0</v>
      </c>
      <c r="F26" s="22">
        <f>COUNTIF(P26:AS26,"f")</f>
        <v>0</v>
      </c>
      <c r="G26" s="22">
        <f>COUNTIF(P26:AS26,"ast")</f>
        <v>0</v>
      </c>
      <c r="H26" s="22">
        <f>COUNTIF(P26:AS26,"cA")</f>
        <v>0</v>
      </c>
      <c r="I26" s="22">
        <f>COUNTIF(P26:AS26,"rtt")</f>
        <v>0</v>
      </c>
      <c r="J26" s="22">
        <f>COUNTIF(P26:AS26,"cex")</f>
        <v>0</v>
      </c>
      <c r="K26" s="22">
        <f>COUNTIF(P26:AS26,"res")</f>
        <v>0</v>
      </c>
      <c r="L26" s="22">
        <f>COUNTIF(P26:AS26,"mA")</f>
        <v>0</v>
      </c>
      <c r="M26" s="22">
        <f>COUNTIF(P26:AS26,"at")</f>
        <v>0</v>
      </c>
      <c r="N26" s="22">
        <f>COUNTIF(P26:AS26,"TAD")</f>
        <v>0</v>
      </c>
      <c r="O26" s="22">
        <f>COUNTIF(P26:AS26,"TP")</f>
        <v>0</v>
      </c>
      <c r="P26" s="230"/>
      <c r="Q26" s="22"/>
      <c r="R26" s="22"/>
      <c r="S26" s="22"/>
      <c r="T26" s="22"/>
      <c r="U26" s="22"/>
      <c r="V26" s="104"/>
      <c r="W26" s="104"/>
      <c r="X26" s="22"/>
      <c r="Y26" s="22"/>
      <c r="Z26" s="22"/>
      <c r="AA26" s="22"/>
      <c r="AB26" s="22"/>
      <c r="AC26" s="104"/>
      <c r="AD26" s="104"/>
      <c r="AE26" s="22"/>
      <c r="AF26" s="22"/>
      <c r="AG26" s="22"/>
      <c r="AH26" s="22"/>
      <c r="AI26" s="22"/>
      <c r="AJ26" s="104"/>
      <c r="AK26" s="104"/>
      <c r="AL26" s="22"/>
      <c r="AM26" s="22"/>
      <c r="AN26" s="22"/>
      <c r="AO26" s="22"/>
      <c r="AP26" s="22"/>
      <c r="AQ26" s="104"/>
      <c r="AR26" s="104"/>
      <c r="AS26" s="22"/>
      <c r="AT26" s="22"/>
    </row>
    <row r="27" spans="1:47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230"/>
      <c r="Q27" s="22"/>
      <c r="R27" s="22"/>
      <c r="S27" s="22"/>
      <c r="T27" s="22"/>
      <c r="U27" s="22"/>
      <c r="V27" s="94"/>
      <c r="W27" s="94"/>
      <c r="X27" s="8"/>
      <c r="Y27" s="8"/>
      <c r="Z27" s="8"/>
      <c r="AA27" s="8"/>
      <c r="AB27" s="8"/>
      <c r="AC27" s="94"/>
      <c r="AD27" s="94"/>
      <c r="AE27" s="8"/>
      <c r="AF27" s="8"/>
      <c r="AG27" s="8"/>
      <c r="AH27" s="8"/>
      <c r="AI27" s="8"/>
      <c r="AJ27" s="94"/>
      <c r="AK27" s="94"/>
      <c r="AL27" s="8"/>
      <c r="AM27" s="8"/>
      <c r="AN27" s="8"/>
      <c r="AO27" s="8"/>
      <c r="AP27" s="8"/>
      <c r="AQ27" s="94"/>
      <c r="AR27" s="94"/>
      <c r="AS27" s="8"/>
      <c r="AT27" s="8"/>
    </row>
    <row r="28" spans="1:47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230"/>
      <c r="Q28" s="22"/>
      <c r="R28" s="22"/>
      <c r="S28" s="22"/>
      <c r="T28" s="22"/>
      <c r="U28" s="22"/>
      <c r="V28" s="104"/>
      <c r="W28" s="104"/>
      <c r="X28" s="22"/>
      <c r="Y28" s="22"/>
      <c r="Z28" s="22"/>
      <c r="AA28" s="22"/>
      <c r="AB28" s="22"/>
      <c r="AC28" s="104"/>
      <c r="AD28" s="104"/>
      <c r="AE28" s="22"/>
      <c r="AF28" s="22"/>
      <c r="AG28" s="22"/>
      <c r="AH28" s="22"/>
      <c r="AI28" s="22"/>
      <c r="AJ28" s="104"/>
      <c r="AK28" s="104"/>
      <c r="AL28" s="22"/>
      <c r="AM28" s="22"/>
      <c r="AN28" s="22"/>
      <c r="AO28" s="22"/>
      <c r="AP28" s="22"/>
      <c r="AQ28" s="104"/>
      <c r="AR28" s="104"/>
      <c r="AS28" s="22"/>
      <c r="AT28" s="22"/>
    </row>
    <row r="29" spans="1:47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23">
        <f>COUNTIF(P29:AS29,"TP")</f>
        <v>0</v>
      </c>
      <c r="P29" s="230"/>
      <c r="Q29" s="22"/>
      <c r="R29" s="8"/>
      <c r="S29" s="8"/>
      <c r="T29" s="8"/>
      <c r="U29" s="8"/>
      <c r="V29" s="94"/>
      <c r="W29" s="94"/>
      <c r="X29" s="8"/>
      <c r="Y29" s="8"/>
      <c r="Z29" s="8"/>
      <c r="AA29" s="8"/>
      <c r="AB29" s="8"/>
      <c r="AC29" s="94"/>
      <c r="AD29" s="94"/>
      <c r="AE29" s="8"/>
      <c r="AF29" s="8"/>
      <c r="AG29" s="8"/>
      <c r="AH29" s="8"/>
      <c r="AI29" s="8"/>
      <c r="AJ29" s="94"/>
      <c r="AK29" s="94"/>
      <c r="AL29" s="8"/>
      <c r="AM29" s="8"/>
      <c r="AN29" s="8"/>
      <c r="AO29" s="8"/>
      <c r="AP29" s="8"/>
      <c r="AQ29" s="94"/>
      <c r="AR29" s="94"/>
      <c r="AS29" s="8"/>
      <c r="AT29" s="8"/>
    </row>
    <row r="30" spans="1:47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  <c r="AT30" s="226"/>
    </row>
    <row r="31" spans="1:47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23">
        <f t="shared" ref="O31:O36" si="26">COUNTIF(P31:AS31,"TP")</f>
        <v>0</v>
      </c>
      <c r="P31" s="230"/>
      <c r="Q31" s="22"/>
      <c r="R31" s="8"/>
      <c r="S31" s="8"/>
      <c r="T31" s="8"/>
      <c r="U31" s="8"/>
      <c r="V31" s="94"/>
      <c r="W31" s="94"/>
      <c r="X31" s="8"/>
      <c r="Y31" s="8"/>
      <c r="Z31" s="8"/>
      <c r="AA31" s="8"/>
      <c r="AB31" s="8"/>
      <c r="AC31" s="94"/>
      <c r="AD31" s="94"/>
      <c r="AE31" s="8"/>
      <c r="AF31" s="8"/>
      <c r="AG31" s="8"/>
      <c r="AH31" s="8"/>
      <c r="AI31" s="8"/>
      <c r="AJ31" s="94"/>
      <c r="AK31" s="94"/>
      <c r="AL31" s="8"/>
      <c r="AM31" s="8"/>
      <c r="AN31" s="8"/>
      <c r="AO31" s="8"/>
      <c r="AP31" s="8"/>
      <c r="AQ31" s="94"/>
      <c r="AR31" s="94"/>
      <c r="AS31" s="8"/>
      <c r="AT31" s="8"/>
    </row>
    <row r="32" spans="1:47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23">
        <f t="shared" si="26"/>
        <v>0</v>
      </c>
      <c r="P32" s="230"/>
      <c r="Q32" s="22"/>
      <c r="R32" s="8"/>
      <c r="S32" s="8"/>
      <c r="T32" s="8"/>
      <c r="U32" s="8"/>
      <c r="V32" s="94"/>
      <c r="W32" s="94"/>
      <c r="X32" s="8"/>
      <c r="Y32" s="8"/>
      <c r="Z32" s="8"/>
      <c r="AA32" s="8"/>
      <c r="AB32" s="8"/>
      <c r="AC32" s="94"/>
      <c r="AD32" s="94"/>
      <c r="AE32" s="8"/>
      <c r="AF32" s="8"/>
      <c r="AG32" s="8"/>
      <c r="AH32" s="8"/>
      <c r="AI32" s="8"/>
      <c r="AJ32" s="94"/>
      <c r="AK32" s="94"/>
      <c r="AL32" s="8"/>
      <c r="AM32" s="8"/>
      <c r="AN32" s="8"/>
      <c r="AO32" s="8"/>
      <c r="AP32" s="8"/>
      <c r="AQ32" s="94"/>
      <c r="AR32" s="94"/>
      <c r="AS32" s="8"/>
      <c r="AT32" s="8"/>
    </row>
    <row r="33" spans="1:58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23">
        <f t="shared" si="26"/>
        <v>0</v>
      </c>
      <c r="P33" s="230"/>
      <c r="Q33" s="22"/>
      <c r="R33" s="8"/>
      <c r="S33" s="8"/>
      <c r="T33" s="8"/>
      <c r="U33" s="8"/>
      <c r="V33" s="94"/>
      <c r="W33" s="94"/>
      <c r="X33" s="8"/>
      <c r="Y33" s="8"/>
      <c r="Z33" s="8"/>
      <c r="AA33" s="8"/>
      <c r="AB33" s="8"/>
      <c r="AC33" s="94"/>
      <c r="AD33" s="94"/>
      <c r="AE33" s="8"/>
      <c r="AF33" s="8"/>
      <c r="AG33" s="8"/>
      <c r="AH33" s="8"/>
      <c r="AI33" s="8"/>
      <c r="AJ33" s="94"/>
      <c r="AK33" s="94"/>
      <c r="AL33" s="8"/>
      <c r="AM33" s="8"/>
      <c r="AN33" s="8"/>
      <c r="AO33" s="8"/>
      <c r="AP33" s="8"/>
      <c r="AQ33" s="94"/>
      <c r="AR33" s="94"/>
      <c r="AS33" s="8"/>
      <c r="AT33" s="8"/>
    </row>
    <row r="34" spans="1:58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23">
        <f t="shared" si="26"/>
        <v>0</v>
      </c>
      <c r="P34" s="230"/>
      <c r="Q34" s="22"/>
      <c r="R34" s="8"/>
      <c r="S34" s="8"/>
      <c r="T34" s="8"/>
      <c r="U34" s="8"/>
      <c r="V34" s="94"/>
      <c r="W34" s="94"/>
      <c r="X34" s="8"/>
      <c r="Y34" s="8"/>
      <c r="Z34" s="8"/>
      <c r="AA34" s="8"/>
      <c r="AB34" s="8"/>
      <c r="AC34" s="94"/>
      <c r="AD34" s="94"/>
      <c r="AE34" s="8"/>
      <c r="AF34" s="8"/>
      <c r="AG34" s="8"/>
      <c r="AH34" s="8"/>
      <c r="AI34" s="8"/>
      <c r="AJ34" s="94"/>
      <c r="AK34" s="94"/>
      <c r="AL34" s="8"/>
      <c r="AM34" s="8"/>
      <c r="AN34" s="8"/>
      <c r="AO34" s="8"/>
      <c r="AP34" s="8"/>
      <c r="AQ34" s="94"/>
      <c r="AR34" s="94"/>
      <c r="AS34" s="8"/>
      <c r="AT34" s="8"/>
    </row>
    <row r="35" spans="1:58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23">
        <f t="shared" si="26"/>
        <v>0</v>
      </c>
      <c r="P35" s="230"/>
      <c r="Q35" s="22"/>
      <c r="R35" s="8"/>
      <c r="S35" s="8"/>
      <c r="T35" s="8"/>
      <c r="U35" s="8"/>
      <c r="V35" s="94"/>
      <c r="W35" s="94"/>
      <c r="X35" s="8"/>
      <c r="Y35" s="8"/>
      <c r="Z35" s="8"/>
      <c r="AA35" s="8"/>
      <c r="AB35" s="8"/>
      <c r="AC35" s="94"/>
      <c r="AD35" s="94"/>
      <c r="AE35" s="8"/>
      <c r="AF35" s="8"/>
      <c r="AG35" s="8"/>
      <c r="AH35" s="8"/>
      <c r="AI35" s="8"/>
      <c r="AJ35" s="94"/>
      <c r="AK35" s="94"/>
      <c r="AL35" s="8"/>
      <c r="AM35" s="8"/>
      <c r="AN35" s="8"/>
      <c r="AO35" s="8"/>
      <c r="AP35" s="8"/>
      <c r="AQ35" s="94"/>
      <c r="AR35" s="94"/>
      <c r="AS35" s="8"/>
      <c r="AT35" s="8"/>
    </row>
    <row r="36" spans="1:58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23">
        <f t="shared" si="26"/>
        <v>0</v>
      </c>
      <c r="P36" s="230"/>
      <c r="Q36" s="22"/>
      <c r="R36" s="8"/>
      <c r="S36" s="8"/>
      <c r="T36" s="8"/>
      <c r="U36" s="8"/>
      <c r="V36" s="94"/>
      <c r="W36" s="94"/>
      <c r="X36" s="8"/>
      <c r="Y36" s="8"/>
      <c r="Z36" s="8"/>
      <c r="AA36" s="8"/>
      <c r="AB36" s="8"/>
      <c r="AC36" s="94"/>
      <c r="AD36" s="94"/>
      <c r="AE36" s="8"/>
      <c r="AF36" s="8"/>
      <c r="AG36" s="8"/>
      <c r="AH36" s="8"/>
      <c r="AI36" s="8"/>
      <c r="AJ36" s="94"/>
      <c r="AK36" s="94"/>
      <c r="AL36" s="8"/>
      <c r="AM36" s="8"/>
      <c r="AN36" s="8"/>
      <c r="AO36" s="8"/>
      <c r="AP36" s="8"/>
      <c r="AQ36" s="94"/>
      <c r="AR36" s="94"/>
      <c r="AS36" s="8"/>
      <c r="AT36" s="8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83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213"/>
      <c r="Q39" s="20"/>
      <c r="R39" s="20"/>
      <c r="S39" s="20"/>
      <c r="T39" s="20"/>
      <c r="U39" s="20"/>
      <c r="V39" s="86"/>
      <c r="W39" s="86"/>
      <c r="X39" s="20"/>
      <c r="Y39" s="20"/>
      <c r="Z39" s="20"/>
      <c r="AA39" s="20"/>
      <c r="AB39" s="20"/>
      <c r="AC39" s="86"/>
      <c r="AD39" s="86"/>
      <c r="AE39" s="20"/>
      <c r="AF39" s="20"/>
      <c r="AG39" s="20"/>
      <c r="AH39" s="20"/>
      <c r="AI39" s="20"/>
      <c r="AJ39" s="86"/>
      <c r="AK39" s="86"/>
      <c r="AL39" s="20"/>
      <c r="AM39" s="20"/>
      <c r="AN39" s="20"/>
      <c r="AO39" s="20"/>
      <c r="AP39" s="20"/>
      <c r="AQ39" s="86"/>
      <c r="AR39" s="86"/>
      <c r="AS39" s="20"/>
      <c r="AT39" s="34"/>
      <c r="AV39" s="168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216"/>
      <c r="Q40" s="8"/>
      <c r="R40" s="8"/>
      <c r="S40" s="8"/>
      <c r="T40" s="8"/>
      <c r="U40" s="8"/>
      <c r="V40" s="94"/>
      <c r="W40" s="94"/>
      <c r="X40" s="8"/>
      <c r="Y40" s="8"/>
      <c r="Z40" s="8"/>
      <c r="AA40" s="8"/>
      <c r="AB40" s="8"/>
      <c r="AC40" s="94"/>
      <c r="AD40" s="94"/>
      <c r="AE40" s="8"/>
      <c r="AF40" s="8"/>
      <c r="AG40" s="8"/>
      <c r="AH40" s="8"/>
      <c r="AI40" s="8"/>
      <c r="AJ40" s="94"/>
      <c r="AK40" s="94"/>
      <c r="AL40" s="8"/>
      <c r="AM40" s="8"/>
      <c r="AN40" s="8"/>
      <c r="AO40" s="8"/>
      <c r="AP40" s="8"/>
      <c r="AQ40" s="94"/>
      <c r="AR40" s="94"/>
      <c r="AS40" s="8"/>
      <c r="AT40" s="35"/>
      <c r="AU40" s="19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30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216"/>
      <c r="Q41" s="8"/>
      <c r="R41" s="8"/>
      <c r="S41" s="8"/>
      <c r="T41" s="8"/>
      <c r="U41" s="8"/>
      <c r="V41" s="94"/>
      <c r="W41" s="94"/>
      <c r="X41" s="8"/>
      <c r="Y41" s="8"/>
      <c r="Z41" s="8"/>
      <c r="AA41" s="8"/>
      <c r="AB41" s="8"/>
      <c r="AC41" s="94"/>
      <c r="AD41" s="94"/>
      <c r="AE41" s="8"/>
      <c r="AF41" s="8"/>
      <c r="AG41" s="8"/>
      <c r="AH41" s="8"/>
      <c r="AI41" s="8"/>
      <c r="AJ41" s="94"/>
      <c r="AK41" s="94"/>
      <c r="AL41" s="8"/>
      <c r="AM41" s="8"/>
      <c r="AN41" s="8"/>
      <c r="AO41" s="8"/>
      <c r="AP41" s="8"/>
      <c r="AQ41" s="94"/>
      <c r="AR41" s="94"/>
      <c r="AS41" s="8"/>
      <c r="AT41" s="35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216"/>
      <c r="Q42" s="8"/>
      <c r="R42" s="8"/>
      <c r="S42" s="8"/>
      <c r="T42" s="8"/>
      <c r="U42" s="8"/>
      <c r="V42" s="94"/>
      <c r="W42" s="94"/>
      <c r="X42" s="8"/>
      <c r="Y42" s="8"/>
      <c r="Z42" s="8"/>
      <c r="AA42" s="8"/>
      <c r="AB42" s="8"/>
      <c r="AC42" s="94"/>
      <c r="AD42" s="94"/>
      <c r="AE42" s="8"/>
      <c r="AF42" s="8"/>
      <c r="AG42" s="8"/>
      <c r="AH42" s="8"/>
      <c r="AI42" s="8"/>
      <c r="AJ42" s="94"/>
      <c r="AK42" s="94"/>
      <c r="AL42" s="8"/>
      <c r="AM42" s="8"/>
      <c r="AN42" s="8"/>
      <c r="AO42" s="8"/>
      <c r="AP42" s="8"/>
      <c r="AQ42" s="94"/>
      <c r="AR42" s="94"/>
      <c r="AS42" s="8"/>
      <c r="AT42" s="35"/>
      <c r="AU42" s="19"/>
    </row>
    <row r="43" spans="1:58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216"/>
      <c r="Q43" s="8"/>
      <c r="R43" s="8"/>
      <c r="S43" s="8"/>
      <c r="T43" s="8"/>
      <c r="U43" s="8"/>
      <c r="V43" s="94"/>
      <c r="W43" s="94"/>
      <c r="X43" s="8"/>
      <c r="Y43" s="8"/>
      <c r="Z43" s="8"/>
      <c r="AA43" s="8"/>
      <c r="AB43" s="8"/>
      <c r="AC43" s="94"/>
      <c r="AD43" s="94"/>
      <c r="AE43" s="8"/>
      <c r="AF43" s="8"/>
      <c r="AG43" s="8"/>
      <c r="AH43" s="8"/>
      <c r="AI43" s="8"/>
      <c r="AJ43" s="94"/>
      <c r="AK43" s="94"/>
      <c r="AL43" s="8"/>
      <c r="AM43" s="8"/>
      <c r="AN43" s="8"/>
      <c r="AO43" s="8"/>
      <c r="AP43" s="8"/>
      <c r="AQ43" s="94"/>
      <c r="AR43" s="94"/>
      <c r="AS43" s="8"/>
      <c r="AT43" s="35"/>
    </row>
    <row r="44" spans="1:58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216"/>
      <c r="Q44" s="8"/>
      <c r="R44" s="8"/>
      <c r="S44" s="8"/>
      <c r="T44" s="8"/>
      <c r="U44" s="8"/>
      <c r="V44" s="94"/>
      <c r="W44" s="94"/>
      <c r="X44" s="8"/>
      <c r="Y44" s="8"/>
      <c r="Z44" s="8"/>
      <c r="AA44" s="8"/>
      <c r="AB44" s="8"/>
      <c r="AC44" s="94"/>
      <c r="AD44" s="94"/>
      <c r="AE44" s="8"/>
      <c r="AF44" s="8"/>
      <c r="AG44" s="8"/>
      <c r="AH44" s="8"/>
      <c r="AI44" s="8"/>
      <c r="AJ44" s="94"/>
      <c r="AK44" s="94"/>
      <c r="AL44" s="8"/>
      <c r="AM44" s="8"/>
      <c r="AN44" s="8"/>
      <c r="AO44" s="8"/>
      <c r="AP44" s="8"/>
      <c r="AQ44" s="94"/>
      <c r="AR44" s="94"/>
      <c r="AS44" s="8"/>
      <c r="AT44" s="35"/>
    </row>
    <row r="45" spans="1:58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30</v>
      </c>
      <c r="N45" s="20">
        <f t="shared" si="37"/>
        <v>0</v>
      </c>
      <c r="O45" s="92">
        <f t="shared" si="38"/>
        <v>0</v>
      </c>
      <c r="P45" s="216" t="s">
        <v>203</v>
      </c>
      <c r="Q45" s="127" t="s">
        <v>203</v>
      </c>
      <c r="R45" s="127" t="s">
        <v>203</v>
      </c>
      <c r="S45" s="127" t="s">
        <v>203</v>
      </c>
      <c r="T45" s="127" t="s">
        <v>203</v>
      </c>
      <c r="U45" s="127" t="s">
        <v>203</v>
      </c>
      <c r="V45" s="127" t="s">
        <v>203</v>
      </c>
      <c r="W45" s="127" t="s">
        <v>203</v>
      </c>
      <c r="X45" s="127" t="s">
        <v>203</v>
      </c>
      <c r="Y45" s="127" t="s">
        <v>203</v>
      </c>
      <c r="Z45" s="127" t="s">
        <v>203</v>
      </c>
      <c r="AA45" s="127" t="s">
        <v>203</v>
      </c>
      <c r="AB45" s="127" t="s">
        <v>203</v>
      </c>
      <c r="AC45" s="127" t="s">
        <v>203</v>
      </c>
      <c r="AD45" s="127" t="s">
        <v>203</v>
      </c>
      <c r="AE45" s="127" t="s">
        <v>203</v>
      </c>
      <c r="AF45" s="127" t="s">
        <v>203</v>
      </c>
      <c r="AG45" s="127" t="s">
        <v>203</v>
      </c>
      <c r="AH45" s="127" t="s">
        <v>203</v>
      </c>
      <c r="AI45" s="127" t="s">
        <v>203</v>
      </c>
      <c r="AJ45" s="127" t="s">
        <v>203</v>
      </c>
      <c r="AK45" s="127" t="s">
        <v>203</v>
      </c>
      <c r="AL45" s="127" t="s">
        <v>203</v>
      </c>
      <c r="AM45" s="127" t="s">
        <v>203</v>
      </c>
      <c r="AN45" s="127" t="s">
        <v>203</v>
      </c>
      <c r="AO45" s="127" t="s">
        <v>203</v>
      </c>
      <c r="AP45" s="127" t="s">
        <v>203</v>
      </c>
      <c r="AQ45" s="127" t="s">
        <v>203</v>
      </c>
      <c r="AR45" s="127" t="s">
        <v>203</v>
      </c>
      <c r="AS45" s="127" t="s">
        <v>203</v>
      </c>
      <c r="AT45" s="129" t="s">
        <v>203</v>
      </c>
    </row>
    <row r="46" spans="1:58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216"/>
      <c r="Q46" s="8"/>
      <c r="R46" s="8"/>
      <c r="S46" s="8"/>
      <c r="T46" s="8"/>
      <c r="U46" s="8"/>
      <c r="V46" s="94"/>
      <c r="W46" s="94"/>
      <c r="X46" s="8"/>
      <c r="Y46" s="8"/>
      <c r="Z46" s="8"/>
      <c r="AA46" s="8"/>
      <c r="AB46" s="8"/>
      <c r="AC46" s="94"/>
      <c r="AD46" s="94"/>
      <c r="AE46" s="8"/>
      <c r="AF46" s="8"/>
      <c r="AG46" s="8"/>
      <c r="AH46" s="8"/>
      <c r="AI46" s="8"/>
      <c r="AJ46" s="94"/>
      <c r="AK46" s="94"/>
      <c r="AL46" s="8"/>
      <c r="AM46" s="8"/>
      <c r="AN46" s="8"/>
      <c r="AO46" s="8"/>
      <c r="AP46" s="8"/>
      <c r="AQ46" s="94"/>
      <c r="AR46" s="94"/>
      <c r="AS46" s="8"/>
      <c r="AT46" s="35"/>
    </row>
    <row r="47" spans="1:58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216"/>
      <c r="Q47" s="8"/>
      <c r="R47" s="8"/>
      <c r="S47" s="8"/>
      <c r="T47" s="8"/>
      <c r="U47" s="8"/>
      <c r="V47" s="94"/>
      <c r="W47" s="94"/>
      <c r="X47" s="8"/>
      <c r="Y47" s="8"/>
      <c r="Z47" s="8"/>
      <c r="AA47" s="8"/>
      <c r="AB47" s="8"/>
      <c r="AC47" s="94"/>
      <c r="AD47" s="94"/>
      <c r="AE47" s="8"/>
      <c r="AF47" s="8"/>
      <c r="AG47" s="8"/>
      <c r="AH47" s="8"/>
      <c r="AI47" s="8"/>
      <c r="AJ47" s="94"/>
      <c r="AK47" s="94"/>
      <c r="AL47" s="8"/>
      <c r="AM47" s="8"/>
      <c r="AN47" s="8"/>
      <c r="AO47" s="8"/>
      <c r="AP47" s="8"/>
      <c r="AQ47" s="94"/>
      <c r="AR47" s="94"/>
      <c r="AS47" s="8"/>
      <c r="AT47" s="35"/>
    </row>
    <row r="48" spans="1:58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216"/>
      <c r="Q48" s="8"/>
      <c r="R48" s="8"/>
      <c r="S48" s="8"/>
      <c r="T48" s="8"/>
      <c r="U48" s="8"/>
      <c r="V48" s="94"/>
      <c r="W48" s="94"/>
      <c r="X48" s="8"/>
      <c r="Y48" s="8"/>
      <c r="Z48" s="8"/>
      <c r="AA48" s="8"/>
      <c r="AB48" s="8"/>
      <c r="AC48" s="94"/>
      <c r="AD48" s="94"/>
      <c r="AE48" s="8"/>
      <c r="AF48" s="8"/>
      <c r="AG48" s="8"/>
      <c r="AH48" s="8"/>
      <c r="AI48" s="8"/>
      <c r="AJ48" s="94"/>
      <c r="AK48" s="94"/>
      <c r="AL48" s="8"/>
      <c r="AM48" s="8"/>
      <c r="AN48" s="8"/>
      <c r="AO48" s="8"/>
      <c r="AP48" s="8"/>
      <c r="AQ48" s="94"/>
      <c r="AR48" s="94"/>
      <c r="AS48" s="8"/>
      <c r="AT48" s="35"/>
    </row>
    <row r="49" spans="1:58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134">
        <f t="shared" si="27"/>
        <v>0</v>
      </c>
      <c r="E49" s="123">
        <f t="shared" si="28"/>
        <v>0</v>
      </c>
      <c r="F49" s="123">
        <f t="shared" si="29"/>
        <v>0</v>
      </c>
      <c r="G49" s="123">
        <f t="shared" si="30"/>
        <v>0</v>
      </c>
      <c r="H49" s="123">
        <f t="shared" si="31"/>
        <v>0</v>
      </c>
      <c r="I49" s="123">
        <f t="shared" si="32"/>
        <v>0</v>
      </c>
      <c r="J49" s="123">
        <f t="shared" si="33"/>
        <v>0</v>
      </c>
      <c r="K49" s="123">
        <f t="shared" si="34"/>
        <v>0</v>
      </c>
      <c r="L49" s="123">
        <f t="shared" si="35"/>
        <v>0</v>
      </c>
      <c r="M49" s="123">
        <f t="shared" si="36"/>
        <v>0</v>
      </c>
      <c r="N49" s="123">
        <f t="shared" si="37"/>
        <v>0</v>
      </c>
      <c r="O49" s="140">
        <f t="shared" si="38"/>
        <v>0</v>
      </c>
      <c r="P49" s="231"/>
      <c r="Q49" s="21"/>
      <c r="R49" s="21"/>
      <c r="S49" s="21"/>
      <c r="T49" s="21"/>
      <c r="U49" s="21"/>
      <c r="V49" s="95"/>
      <c r="W49" s="95"/>
      <c r="X49" s="21"/>
      <c r="Y49" s="21"/>
      <c r="Z49" s="21"/>
      <c r="AA49" s="21"/>
      <c r="AB49" s="21"/>
      <c r="AC49" s="95"/>
      <c r="AD49" s="95"/>
      <c r="AE49" s="21"/>
      <c r="AF49" s="21"/>
      <c r="AG49" s="21"/>
      <c r="AH49" s="21"/>
      <c r="AI49" s="21"/>
      <c r="AJ49" s="95"/>
      <c r="AK49" s="95"/>
      <c r="AL49" s="21"/>
      <c r="AM49" s="21"/>
      <c r="AN49" s="21"/>
      <c r="AO49" s="21"/>
      <c r="AP49" s="21"/>
      <c r="AQ49" s="95"/>
      <c r="AR49" s="95"/>
      <c r="AS49" s="21"/>
      <c r="AT49" s="36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  <c r="AO50" s="282"/>
      <c r="AP50" s="282"/>
      <c r="AQ50" s="282"/>
      <c r="AR50" s="282"/>
      <c r="AS50" s="284"/>
      <c r="AT50" s="284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103">
        <f t="shared" ref="D51:D62" si="39">COUNTIF(P51:AS51,"p")</f>
        <v>0</v>
      </c>
      <c r="E51" s="22">
        <f t="shared" ref="E51:E62" si="40">COUNTIF(P51:AS51,"PC")</f>
        <v>0</v>
      </c>
      <c r="F51" s="22">
        <f t="shared" ref="F51:F62" si="41">COUNTIF(P51:AS51,"f")</f>
        <v>0</v>
      </c>
      <c r="G51" s="22">
        <f t="shared" ref="G51:G62" si="42">COUNTIF(P51:AS51,"ast")</f>
        <v>0</v>
      </c>
      <c r="H51" s="22">
        <f t="shared" ref="H51:H62" si="43">COUNTIF(P51:AS51,"cA")</f>
        <v>0</v>
      </c>
      <c r="I51" s="22">
        <f t="shared" ref="I51:I62" si="44">COUNTIF(P51:AS51,"rtt")</f>
        <v>0</v>
      </c>
      <c r="J51" s="22">
        <f t="shared" ref="J51:J62" si="45">COUNTIF(P51:AS51,"cex")</f>
        <v>0</v>
      </c>
      <c r="K51" s="22">
        <f t="shared" ref="K51:K62" si="46">COUNTIF(P51:AS51,"res")</f>
        <v>0</v>
      </c>
      <c r="L51" s="22">
        <f t="shared" ref="L51:L62" si="47">COUNTIF(P51:AS51,"mA")</f>
        <v>0</v>
      </c>
      <c r="M51" s="22">
        <f t="shared" ref="M51:M62" si="48">COUNTIF(P51:AS51,"at")</f>
        <v>0</v>
      </c>
      <c r="N51" s="22">
        <f t="shared" ref="N51:N62" si="49">COUNTIF(P51:AS51,"TAD")</f>
        <v>0</v>
      </c>
      <c r="O51" s="106">
        <f t="shared" ref="O51:O62" si="50">COUNTIF(P51:AS51,"TP")</f>
        <v>0</v>
      </c>
      <c r="P51" s="230"/>
      <c r="Q51" s="22"/>
      <c r="R51" s="22"/>
      <c r="S51" s="22"/>
      <c r="T51" s="22"/>
      <c r="U51" s="22"/>
      <c r="V51" s="104"/>
      <c r="W51" s="104"/>
      <c r="X51" s="22"/>
      <c r="Y51" s="22"/>
      <c r="Z51" s="22"/>
      <c r="AA51" s="22"/>
      <c r="AB51" s="22"/>
      <c r="AC51" s="104"/>
      <c r="AD51" s="104"/>
      <c r="AE51" s="22"/>
      <c r="AF51" s="22"/>
      <c r="AG51" s="22"/>
      <c r="AH51" s="22"/>
      <c r="AI51" s="22"/>
      <c r="AJ51" s="104"/>
      <c r="AK51" s="104"/>
      <c r="AL51" s="22"/>
      <c r="AM51" s="22"/>
      <c r="AN51" s="22"/>
      <c r="AO51" s="22"/>
      <c r="AP51" s="22"/>
      <c r="AQ51" s="104"/>
      <c r="AR51" s="104"/>
      <c r="AS51" s="22"/>
      <c r="AT51" s="22"/>
      <c r="AV51" s="168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230"/>
      <c r="Q52" s="22"/>
      <c r="R52" s="22"/>
      <c r="S52" s="22"/>
      <c r="T52" s="22"/>
      <c r="U52" s="22"/>
      <c r="V52" s="104"/>
      <c r="W52" s="104"/>
      <c r="X52" s="22"/>
      <c r="Y52" s="22"/>
      <c r="Z52" s="22"/>
      <c r="AA52" s="22"/>
      <c r="AB52" s="22"/>
      <c r="AC52" s="104"/>
      <c r="AD52" s="104"/>
      <c r="AE52" s="22"/>
      <c r="AF52" s="22"/>
      <c r="AG52" s="22"/>
      <c r="AH52" s="22"/>
      <c r="AI52" s="22"/>
      <c r="AJ52" s="104"/>
      <c r="AK52" s="104"/>
      <c r="AL52" s="22"/>
      <c r="AM52" s="22"/>
      <c r="AN52" s="22"/>
      <c r="AO52" s="22"/>
      <c r="AP52" s="22"/>
      <c r="AQ52" s="104"/>
      <c r="AR52" s="104"/>
      <c r="AS52" s="22"/>
      <c r="AT52" s="22"/>
      <c r="AU52" s="19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0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230"/>
      <c r="Q53" s="22"/>
      <c r="R53" s="22"/>
      <c r="S53" s="22"/>
      <c r="T53" s="22"/>
      <c r="U53" s="22"/>
      <c r="V53" s="104"/>
      <c r="W53" s="104"/>
      <c r="X53" s="22"/>
      <c r="Y53" s="22"/>
      <c r="Z53" s="22"/>
      <c r="AA53" s="22"/>
      <c r="AB53" s="22"/>
      <c r="AC53" s="104"/>
      <c r="AD53" s="104"/>
      <c r="AE53" s="22"/>
      <c r="AF53" s="22"/>
      <c r="AG53" s="22"/>
      <c r="AH53" s="22"/>
      <c r="AI53" s="22"/>
      <c r="AJ53" s="104"/>
      <c r="AK53" s="104"/>
      <c r="AL53" s="22"/>
      <c r="AM53" s="22"/>
      <c r="AN53" s="22"/>
      <c r="AO53" s="22"/>
      <c r="AP53" s="22"/>
      <c r="AQ53" s="104"/>
      <c r="AR53" s="104"/>
      <c r="AS53" s="22"/>
      <c r="AT53" s="22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230"/>
      <c r="Q54" s="22"/>
      <c r="R54" s="22"/>
      <c r="S54" s="22"/>
      <c r="T54" s="22"/>
      <c r="U54" s="22"/>
      <c r="V54" s="104"/>
      <c r="W54" s="104"/>
      <c r="X54" s="22"/>
      <c r="Y54" s="22"/>
      <c r="Z54" s="22"/>
      <c r="AA54" s="22"/>
      <c r="AB54" s="22"/>
      <c r="AC54" s="104"/>
      <c r="AD54" s="104"/>
      <c r="AE54" s="22"/>
      <c r="AF54" s="22"/>
      <c r="AG54" s="22"/>
      <c r="AH54" s="22"/>
      <c r="AI54" s="22"/>
      <c r="AJ54" s="104"/>
      <c r="AK54" s="104"/>
      <c r="AL54" s="22"/>
      <c r="AM54" s="22"/>
      <c r="AN54" s="22"/>
      <c r="AO54" s="22"/>
      <c r="AP54" s="22"/>
      <c r="AQ54" s="104"/>
      <c r="AR54" s="104"/>
      <c r="AS54" s="22"/>
      <c r="AT54" s="22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230"/>
      <c r="Q55" s="22"/>
      <c r="R55" s="22"/>
      <c r="S55" s="22"/>
      <c r="T55" s="22"/>
      <c r="U55" s="22"/>
      <c r="V55" s="104"/>
      <c r="W55" s="104"/>
      <c r="X55" s="22"/>
      <c r="Y55" s="22"/>
      <c r="Z55" s="22"/>
      <c r="AA55" s="22"/>
      <c r="AB55" s="22"/>
      <c r="AC55" s="104"/>
      <c r="AD55" s="104"/>
      <c r="AE55" s="22"/>
      <c r="AF55" s="22"/>
      <c r="AG55" s="22"/>
      <c r="AH55" s="22"/>
      <c r="AI55" s="22"/>
      <c r="AJ55" s="104"/>
      <c r="AK55" s="104"/>
      <c r="AL55" s="22"/>
      <c r="AM55" s="22"/>
      <c r="AN55" s="22"/>
      <c r="AO55" s="22"/>
      <c r="AP55" s="22"/>
      <c r="AQ55" s="104"/>
      <c r="AR55" s="104"/>
      <c r="AS55" s="22"/>
      <c r="AT55" s="22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230"/>
      <c r="Q56" s="22"/>
      <c r="R56" s="22"/>
      <c r="S56" s="22"/>
      <c r="T56" s="22"/>
      <c r="U56" s="22"/>
      <c r="V56" s="104"/>
      <c r="W56" s="104"/>
      <c r="X56" s="22"/>
      <c r="Y56" s="22"/>
      <c r="Z56" s="22"/>
      <c r="AA56" s="22"/>
      <c r="AB56" s="22"/>
      <c r="AC56" s="104"/>
      <c r="AD56" s="104"/>
      <c r="AE56" s="22"/>
      <c r="AF56" s="22"/>
      <c r="AG56" s="22"/>
      <c r="AH56" s="22"/>
      <c r="AI56" s="22"/>
      <c r="AJ56" s="104"/>
      <c r="AK56" s="104"/>
      <c r="AL56" s="22"/>
      <c r="AM56" s="22"/>
      <c r="AN56" s="22"/>
      <c r="AO56" s="22"/>
      <c r="AP56" s="22"/>
      <c r="AQ56" s="104"/>
      <c r="AR56" s="104"/>
      <c r="AS56" s="22"/>
      <c r="AT56" s="22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230"/>
      <c r="Q57" s="22"/>
      <c r="R57" s="22"/>
      <c r="S57" s="22"/>
      <c r="T57" s="22"/>
      <c r="U57" s="22"/>
      <c r="V57" s="104"/>
      <c r="W57" s="104"/>
      <c r="X57" s="22"/>
      <c r="Y57" s="22"/>
      <c r="Z57" s="22"/>
      <c r="AA57" s="22"/>
      <c r="AB57" s="22"/>
      <c r="AC57" s="104"/>
      <c r="AD57" s="104"/>
      <c r="AE57" s="22"/>
      <c r="AF57" s="22"/>
      <c r="AG57" s="22"/>
      <c r="AH57" s="22"/>
      <c r="AI57" s="22"/>
      <c r="AJ57" s="104"/>
      <c r="AK57" s="104"/>
      <c r="AL57" s="22"/>
      <c r="AM57" s="22"/>
      <c r="AN57" s="22"/>
      <c r="AO57" s="22"/>
      <c r="AP57" s="22"/>
      <c r="AQ57" s="104"/>
      <c r="AR57" s="104"/>
      <c r="AS57" s="22"/>
      <c r="AT57" s="22"/>
      <c r="AU57" s="19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230"/>
      <c r="Q58" s="22"/>
      <c r="R58" s="22"/>
      <c r="S58" s="22"/>
      <c r="T58" s="22"/>
      <c r="U58" s="22"/>
      <c r="V58" s="104"/>
      <c r="W58" s="104"/>
      <c r="X58" s="22"/>
      <c r="Y58" s="22"/>
      <c r="Z58" s="22"/>
      <c r="AA58" s="22"/>
      <c r="AB58" s="22"/>
      <c r="AC58" s="104"/>
      <c r="AD58" s="104"/>
      <c r="AE58" s="22"/>
      <c r="AF58" s="22"/>
      <c r="AG58" s="22"/>
      <c r="AH58" s="22"/>
      <c r="AI58" s="22"/>
      <c r="AJ58" s="104"/>
      <c r="AK58" s="104"/>
      <c r="AL58" s="22"/>
      <c r="AM58" s="22"/>
      <c r="AN58" s="22"/>
      <c r="AO58" s="22"/>
      <c r="AP58" s="22"/>
      <c r="AQ58" s="104"/>
      <c r="AR58" s="104"/>
      <c r="AS58" s="22"/>
      <c r="AT58" s="22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230"/>
      <c r="Q59" s="22"/>
      <c r="R59" s="22"/>
      <c r="S59" s="22"/>
      <c r="T59" s="22"/>
      <c r="U59" s="22"/>
      <c r="V59" s="104"/>
      <c r="W59" s="104"/>
      <c r="X59" s="22"/>
      <c r="Y59" s="22"/>
      <c r="Z59" s="22"/>
      <c r="AA59" s="22"/>
      <c r="AB59" s="22"/>
      <c r="AC59" s="104"/>
      <c r="AD59" s="104"/>
      <c r="AE59" s="22"/>
      <c r="AF59" s="22"/>
      <c r="AG59" s="22"/>
      <c r="AH59" s="22"/>
      <c r="AI59" s="22"/>
      <c r="AJ59" s="104"/>
      <c r="AK59" s="104"/>
      <c r="AL59" s="22"/>
      <c r="AM59" s="22"/>
      <c r="AN59" s="22"/>
      <c r="AO59" s="22"/>
      <c r="AP59" s="22"/>
      <c r="AQ59" s="104"/>
      <c r="AR59" s="104"/>
      <c r="AS59" s="22"/>
      <c r="AT59" s="22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230"/>
      <c r="Q60" s="22"/>
      <c r="R60" s="22"/>
      <c r="S60" s="22"/>
      <c r="T60" s="22"/>
      <c r="U60" s="22"/>
      <c r="V60" s="104"/>
      <c r="W60" s="104"/>
      <c r="X60" s="22"/>
      <c r="Y60" s="22"/>
      <c r="Z60" s="22"/>
      <c r="AA60" s="22"/>
      <c r="AB60" s="22"/>
      <c r="AC60" s="104"/>
      <c r="AD60" s="104"/>
      <c r="AE60" s="22"/>
      <c r="AF60" s="22"/>
      <c r="AG60" s="22"/>
      <c r="AH60" s="22"/>
      <c r="AI60" s="22"/>
      <c r="AJ60" s="104"/>
      <c r="AK60" s="104"/>
      <c r="AL60" s="22"/>
      <c r="AM60" s="22"/>
      <c r="AN60" s="22"/>
      <c r="AO60" s="22"/>
      <c r="AP60" s="22"/>
      <c r="AQ60" s="104"/>
      <c r="AR60" s="104"/>
      <c r="AS60" s="22"/>
      <c r="AT60" s="22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230"/>
      <c r="Q61" s="22"/>
      <c r="R61" s="22"/>
      <c r="S61" s="22"/>
      <c r="T61" s="22"/>
      <c r="U61" s="22"/>
      <c r="V61" s="104"/>
      <c r="W61" s="104"/>
      <c r="X61" s="22"/>
      <c r="Y61" s="22"/>
      <c r="Z61" s="22"/>
      <c r="AA61" s="22"/>
      <c r="AB61" s="22"/>
      <c r="AC61" s="104"/>
      <c r="AD61" s="104"/>
      <c r="AE61" s="22"/>
      <c r="AF61" s="22"/>
      <c r="AG61" s="22"/>
      <c r="AH61" s="22"/>
      <c r="AI61" s="22"/>
      <c r="AJ61" s="104"/>
      <c r="AK61" s="104"/>
      <c r="AL61" s="22"/>
      <c r="AM61" s="22"/>
      <c r="AN61" s="22"/>
      <c r="AO61" s="22"/>
      <c r="AP61" s="22"/>
      <c r="AQ61" s="104"/>
      <c r="AR61" s="104"/>
      <c r="AS61" s="22"/>
      <c r="AT61" s="22"/>
    </row>
    <row r="62" spans="1:58" ht="20.100000000000001" customHeight="1" thickBot="1" x14ac:dyDescent="0.3">
      <c r="A62" s="174" t="str">
        <f>IFERROR(IF(config!E54="","",config!E54),"")</f>
        <v>N019975</v>
      </c>
      <c r="B62" s="174" t="str">
        <f>IFERROR(IF(config!F54="","",config!F54),"")</f>
        <v>VILLENEUVE</v>
      </c>
      <c r="C62" s="175" t="str">
        <f>IFERROR(IF(config!G54="","",config!G54),"")</f>
        <v>Fabrice</v>
      </c>
      <c r="D62" s="134">
        <f t="shared" si="39"/>
        <v>0</v>
      </c>
      <c r="E62" s="123">
        <f t="shared" si="40"/>
        <v>0</v>
      </c>
      <c r="F62" s="123">
        <f t="shared" si="41"/>
        <v>0</v>
      </c>
      <c r="G62" s="123">
        <f t="shared" si="42"/>
        <v>0</v>
      </c>
      <c r="H62" s="123">
        <f t="shared" si="43"/>
        <v>0</v>
      </c>
      <c r="I62" s="123">
        <f t="shared" si="44"/>
        <v>0</v>
      </c>
      <c r="J62" s="123">
        <f t="shared" si="45"/>
        <v>0</v>
      </c>
      <c r="K62" s="123">
        <f t="shared" si="46"/>
        <v>0</v>
      </c>
      <c r="L62" s="123">
        <f t="shared" si="47"/>
        <v>0</v>
      </c>
      <c r="M62" s="123">
        <f t="shared" si="48"/>
        <v>0</v>
      </c>
      <c r="N62" s="123">
        <f t="shared" si="49"/>
        <v>0</v>
      </c>
      <c r="O62" s="140">
        <f t="shared" si="50"/>
        <v>0</v>
      </c>
      <c r="P62" s="230"/>
      <c r="Q62" s="22"/>
      <c r="R62" s="22"/>
      <c r="S62" s="22"/>
      <c r="T62" s="22"/>
      <c r="U62" s="22"/>
      <c r="V62" s="104"/>
      <c r="W62" s="104"/>
      <c r="X62" s="22"/>
      <c r="Y62" s="22"/>
      <c r="Z62" s="22"/>
      <c r="AA62" s="22"/>
      <c r="AB62" s="22"/>
      <c r="AC62" s="104"/>
      <c r="AD62" s="104"/>
      <c r="AE62" s="22"/>
      <c r="AF62" s="22"/>
      <c r="AG62" s="22"/>
      <c r="AH62" s="22"/>
      <c r="AI62" s="22"/>
      <c r="AJ62" s="104"/>
      <c r="AK62" s="104"/>
      <c r="AL62" s="22"/>
      <c r="AM62" s="22"/>
      <c r="AN62" s="22"/>
      <c r="AO62" s="22"/>
      <c r="AP62" s="22"/>
      <c r="AQ62" s="104"/>
      <c r="AR62" s="104"/>
      <c r="AS62" s="22"/>
      <c r="AT62" s="22"/>
    </row>
    <row r="63" spans="1:58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9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230"/>
      <c r="Q64" s="22"/>
      <c r="R64" s="22"/>
      <c r="S64" s="22"/>
      <c r="T64" s="22"/>
      <c r="U64" s="22"/>
      <c r="V64" s="104"/>
      <c r="W64" s="104"/>
      <c r="X64" s="22"/>
      <c r="Y64" s="22"/>
      <c r="Z64" s="22"/>
      <c r="AA64" s="22"/>
      <c r="AB64" s="22"/>
      <c r="AC64" s="104"/>
      <c r="AD64" s="104"/>
      <c r="AE64" s="22"/>
      <c r="AF64" s="22"/>
      <c r="AG64" s="22"/>
      <c r="AH64" s="22"/>
      <c r="AI64" s="22"/>
      <c r="AJ64" s="104"/>
      <c r="AK64" s="104"/>
      <c r="AL64" s="22"/>
      <c r="AM64" s="22"/>
      <c r="AN64" s="22"/>
      <c r="AO64" s="22"/>
      <c r="AP64" s="22"/>
      <c r="AQ64" s="104"/>
      <c r="AR64" s="104"/>
      <c r="AS64" s="22"/>
      <c r="AT64" s="22"/>
      <c r="AV64" s="168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230"/>
      <c r="Q65" s="22"/>
      <c r="R65" s="22"/>
      <c r="S65" s="22"/>
      <c r="T65" s="22"/>
      <c r="U65" s="22"/>
      <c r="V65" s="104"/>
      <c r="W65" s="104"/>
      <c r="X65" s="22"/>
      <c r="Y65" s="22"/>
      <c r="Z65" s="22"/>
      <c r="AA65" s="22"/>
      <c r="AB65" s="22"/>
      <c r="AC65" s="104"/>
      <c r="AD65" s="104"/>
      <c r="AE65" s="22"/>
      <c r="AF65" s="22"/>
      <c r="AG65" s="22"/>
      <c r="AH65" s="22"/>
      <c r="AI65" s="22"/>
      <c r="AJ65" s="104"/>
      <c r="AK65" s="104"/>
      <c r="AL65" s="22"/>
      <c r="AM65" s="22"/>
      <c r="AN65" s="22"/>
      <c r="AO65" s="22"/>
      <c r="AP65" s="22"/>
      <c r="AQ65" s="104"/>
      <c r="AR65" s="104"/>
      <c r="AS65" s="22"/>
      <c r="AT65" s="22"/>
      <c r="AV65" s="19">
        <f>COUNTIF(P64:AS75,"P")</f>
        <v>0</v>
      </c>
      <c r="AW65" s="19">
        <f>COUNTIF(P64:AS75,"PC")</f>
        <v>0</v>
      </c>
      <c r="AX65" s="19">
        <f>COUNTIF(P64:AS75,"F")</f>
        <v>0</v>
      </c>
      <c r="AY65" s="19">
        <f>COUNTIF(P64:AS75,"AST")</f>
        <v>0</v>
      </c>
      <c r="AZ65" s="19">
        <f>COUNTIF(P64:AS75,"Ca")</f>
        <v>0</v>
      </c>
      <c r="BA65" s="19">
        <f>COUNTIF(P64:AS75,"RTT")</f>
        <v>0</v>
      </c>
      <c r="BB65" s="19">
        <f>COUNTIF(P64:AS75,"CEX")</f>
        <v>0</v>
      </c>
      <c r="BC65" s="19">
        <f>COUNTIF(P64:AS75,"RES")</f>
        <v>0</v>
      </c>
      <c r="BD65" s="19">
        <f>COUNTIF(P64:AS75,"MA")</f>
        <v>0</v>
      </c>
      <c r="BE65" s="19">
        <f>COUNTIF(P64:AS75,"AT")</f>
        <v>0</v>
      </c>
      <c r="BF65" s="19">
        <f>COUNTIF(P64:AS75,"TP")</f>
        <v>10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230"/>
      <c r="Q66" s="22"/>
      <c r="R66" s="22"/>
      <c r="S66" s="22"/>
      <c r="T66" s="22"/>
      <c r="U66" s="22"/>
      <c r="V66" s="104"/>
      <c r="W66" s="104"/>
      <c r="X66" s="22"/>
      <c r="Y66" s="22"/>
      <c r="Z66" s="22"/>
      <c r="AA66" s="22"/>
      <c r="AB66" s="22"/>
      <c r="AC66" s="104"/>
      <c r="AD66" s="104"/>
      <c r="AE66" s="22"/>
      <c r="AF66" s="22"/>
      <c r="AG66" s="22"/>
      <c r="AH66" s="22"/>
      <c r="AI66" s="22"/>
      <c r="AJ66" s="104"/>
      <c r="AK66" s="104"/>
      <c r="AL66" s="22"/>
      <c r="AM66" s="22"/>
      <c r="AN66" s="22"/>
      <c r="AO66" s="22"/>
      <c r="AP66" s="22"/>
      <c r="AQ66" s="104"/>
      <c r="AR66" s="104"/>
      <c r="AS66" s="22"/>
      <c r="AT66" s="22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10</v>
      </c>
      <c r="P67" s="230"/>
      <c r="Q67" s="8"/>
      <c r="R67" s="8" t="s">
        <v>205</v>
      </c>
      <c r="S67" s="8"/>
      <c r="T67" s="8" t="s">
        <v>205</v>
      </c>
      <c r="U67" s="8"/>
      <c r="V67" s="94"/>
      <c r="W67" s="94"/>
      <c r="X67" s="8" t="s">
        <v>205</v>
      </c>
      <c r="Y67" s="8"/>
      <c r="Z67" s="8" t="s">
        <v>205</v>
      </c>
      <c r="AA67" s="8"/>
      <c r="AB67" s="8" t="s">
        <v>205</v>
      </c>
      <c r="AC67" s="104"/>
      <c r="AD67" s="104"/>
      <c r="AE67" s="8"/>
      <c r="AF67" s="8" t="s">
        <v>205</v>
      </c>
      <c r="AG67" s="8"/>
      <c r="AH67" s="8" t="s">
        <v>205</v>
      </c>
      <c r="AI67" s="8"/>
      <c r="AJ67" s="94"/>
      <c r="AK67" s="94"/>
      <c r="AL67" s="8" t="s">
        <v>205</v>
      </c>
      <c r="AM67" s="8"/>
      <c r="AN67" s="8" t="s">
        <v>205</v>
      </c>
      <c r="AO67" s="8"/>
      <c r="AP67" s="8" t="s">
        <v>205</v>
      </c>
      <c r="AQ67" s="104"/>
      <c r="AR67" s="104"/>
      <c r="AS67" s="8"/>
      <c r="AT67" s="8" t="s">
        <v>205</v>
      </c>
    </row>
    <row r="68" spans="1:58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230"/>
      <c r="Q68" s="22"/>
      <c r="R68" s="22"/>
      <c r="S68" s="22"/>
      <c r="T68" s="22"/>
      <c r="U68" s="22"/>
      <c r="V68" s="104"/>
      <c r="W68" s="104"/>
      <c r="X68" s="22"/>
      <c r="Y68" s="22"/>
      <c r="Z68" s="22"/>
      <c r="AA68" s="22"/>
      <c r="AB68" s="22"/>
      <c r="AC68" s="104"/>
      <c r="AD68" s="104"/>
      <c r="AE68" s="22"/>
      <c r="AF68" s="22"/>
      <c r="AG68" s="22"/>
      <c r="AH68" s="22"/>
      <c r="AI68" s="22"/>
      <c r="AJ68" s="104"/>
      <c r="AK68" s="104"/>
      <c r="AL68" s="22"/>
      <c r="AM68" s="22"/>
      <c r="AN68" s="22"/>
      <c r="AO68" s="22"/>
      <c r="AP68" s="22"/>
      <c r="AQ68" s="104"/>
      <c r="AR68" s="104"/>
      <c r="AS68" s="22"/>
      <c r="AT68" s="22"/>
    </row>
    <row r="69" spans="1:58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8">
        <f t="shared" si="51"/>
        <v>0</v>
      </c>
      <c r="E69" s="89">
        <f t="shared" si="52"/>
        <v>0</v>
      </c>
      <c r="F69" s="89">
        <f t="shared" si="53"/>
        <v>0</v>
      </c>
      <c r="G69" s="89">
        <f t="shared" si="54"/>
        <v>0</v>
      </c>
      <c r="H69" s="89">
        <f t="shared" si="55"/>
        <v>0</v>
      </c>
      <c r="I69" s="89">
        <f t="shared" si="56"/>
        <v>0</v>
      </c>
      <c r="J69" s="89">
        <f t="shared" si="57"/>
        <v>0</v>
      </c>
      <c r="K69" s="89">
        <f t="shared" si="58"/>
        <v>0</v>
      </c>
      <c r="L69" s="89">
        <f t="shared" si="59"/>
        <v>0</v>
      </c>
      <c r="M69" s="89">
        <f t="shared" si="60"/>
        <v>0</v>
      </c>
      <c r="N69" s="89">
        <f t="shared" si="61"/>
        <v>0</v>
      </c>
      <c r="O69" s="93">
        <f t="shared" si="62"/>
        <v>0</v>
      </c>
      <c r="P69" s="230"/>
      <c r="Q69" s="22"/>
      <c r="R69" s="22"/>
      <c r="S69" s="22"/>
      <c r="T69" s="22"/>
      <c r="U69" s="22"/>
      <c r="V69" s="104"/>
      <c r="W69" s="104"/>
      <c r="X69" s="22"/>
      <c r="Y69" s="22"/>
      <c r="Z69" s="22"/>
      <c r="AA69" s="22"/>
      <c r="AB69" s="22"/>
      <c r="AC69" s="104"/>
      <c r="AD69" s="104"/>
      <c r="AE69" s="22"/>
      <c r="AF69" s="22"/>
      <c r="AG69" s="22"/>
      <c r="AH69" s="22"/>
      <c r="AI69" s="22"/>
      <c r="AJ69" s="104"/>
      <c r="AK69" s="104"/>
      <c r="AL69" s="22"/>
      <c r="AM69" s="22"/>
      <c r="AN69" s="22"/>
      <c r="AO69" s="22"/>
      <c r="AP69" s="22"/>
      <c r="AQ69" s="104"/>
      <c r="AR69" s="104"/>
      <c r="AS69" s="22"/>
      <c r="AT69" s="22"/>
    </row>
    <row r="78" spans="1:58" x14ac:dyDescent="0.25">
      <c r="T78" s="19" t="s">
        <v>194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181" priority="97" operator="equal">
      <formula>"repos"</formula>
    </cfRule>
    <cfRule type="cellIs" dxfId="1180" priority="98" operator="equal">
      <formula>"permanence"</formula>
    </cfRule>
    <cfRule type="cellIs" dxfId="1179" priority="99" operator="equal">
      <formula>"dimanche"</formula>
    </cfRule>
    <cfRule type="cellIs" dxfId="1178" priority="100" operator="equal">
      <formula>"formation"</formula>
    </cfRule>
    <cfRule type="cellIs" dxfId="1177" priority="101" operator="equal">
      <formula>"conges exc"</formula>
    </cfRule>
    <cfRule type="cellIs" dxfId="1176" priority="102" operator="equal">
      <formula>"conges"</formula>
    </cfRule>
    <cfRule type="cellIs" dxfId="1175" priority="103" operator="equal">
      <formula>"asa"</formula>
    </cfRule>
    <cfRule type="cellIs" dxfId="1174" priority="104" operator="equal">
      <formula>"maladie / at"</formula>
    </cfRule>
    <cfRule type="cellIs" dxfId="1173" priority="105" operator="equal">
      <formula>"presence"</formula>
    </cfRule>
  </conditionalFormatting>
  <conditionalFormatting sqref="D11:O20 D23:O24 D26:O29 D31:O36 D39:O49 D51:O62 D64:O69">
    <cfRule type="cellIs" dxfId="1172" priority="106" operator="equal">
      <formula>0</formula>
    </cfRule>
  </conditionalFormatting>
  <conditionalFormatting sqref="P9:AT9">
    <cfRule type="expression" dxfId="1171" priority="108">
      <formula>OR(P$9=1, P$9=7)</formula>
    </cfRule>
  </conditionalFormatting>
  <conditionalFormatting sqref="P9:AT10">
    <cfRule type="expression" dxfId="1170" priority="107">
      <formula>OR(P$9=1,P$9=7)</formula>
    </cfRule>
  </conditionalFormatting>
  <conditionalFormatting sqref="P23:AT24">
    <cfRule type="containsText" dxfId="1169" priority="73" operator="containsText" text="TP">
      <formula>NOT(ISERROR(SEARCH("TP",P23)))</formula>
    </cfRule>
    <cfRule type="containsText" priority="74" operator="containsText" text="TAD">
      <formula>NOT(ISERROR(SEARCH("TAD",P23)))</formula>
    </cfRule>
    <cfRule type="containsText" dxfId="1168" priority="75" operator="containsText" text="AT">
      <formula>NOT(ISERROR(SEARCH("AT",P23)))</formula>
    </cfRule>
    <cfRule type="containsText" dxfId="1167" priority="76" operator="containsText" text="MA">
      <formula>NOT(ISERROR(SEARCH("MA",P23)))</formula>
    </cfRule>
    <cfRule type="containsText" dxfId="1166" priority="77" operator="containsText" text="RES">
      <formula>NOT(ISERROR(SEARCH("RES",P23)))</formula>
    </cfRule>
    <cfRule type="containsText" dxfId="1165" priority="78" operator="containsText" text="CEX">
      <formula>NOT(ISERROR(SEARCH("CEX",P23)))</formula>
    </cfRule>
    <cfRule type="containsText" dxfId="1164" priority="79" operator="containsText" text="RTT">
      <formula>NOT(ISERROR(SEARCH("RTT",P23)))</formula>
    </cfRule>
    <cfRule type="beginsWith" dxfId="1163" priority="80" operator="beginsWith" text="CA">
      <formula>LEFT(P23,LEN("CA"))="CA"</formula>
    </cfRule>
    <cfRule type="containsText" dxfId="1162" priority="81" operator="containsText" text="AST">
      <formula>NOT(ISERROR(SEARCH("AST",P23)))</formula>
    </cfRule>
    <cfRule type="containsText" dxfId="1161" priority="82" operator="containsText" text="F">
      <formula>NOT(ISERROR(SEARCH("F",P23)))</formula>
    </cfRule>
    <cfRule type="containsText" dxfId="1160" priority="83" operator="containsText" text="PC">
      <formula>NOT(ISERROR(SEARCH("PC",P23)))</formula>
    </cfRule>
    <cfRule type="containsText" dxfId="1159" priority="84" operator="containsText" text="P">
      <formula>NOT(ISERROR(SEARCH("P",P23)))</formula>
    </cfRule>
  </conditionalFormatting>
  <conditionalFormatting sqref="P26:AT29 P31:AT36">
    <cfRule type="containsText" dxfId="1158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157" priority="63" operator="containsText" text="AT">
      <formula>NOT(ISERROR(SEARCH("AT",P26)))</formula>
    </cfRule>
    <cfRule type="containsText" dxfId="1156" priority="64" operator="containsText" text="MA">
      <formula>NOT(ISERROR(SEARCH("MA",P26)))</formula>
    </cfRule>
    <cfRule type="containsText" dxfId="1155" priority="65" operator="containsText" text="RES">
      <formula>NOT(ISERROR(SEARCH("RES",P26)))</formula>
    </cfRule>
    <cfRule type="containsText" dxfId="1154" priority="66" operator="containsText" text="CEX">
      <formula>NOT(ISERROR(SEARCH("CEX",P26)))</formula>
    </cfRule>
    <cfRule type="containsText" dxfId="1153" priority="67" operator="containsText" text="RTT">
      <formula>NOT(ISERROR(SEARCH("RTT",P26)))</formula>
    </cfRule>
    <cfRule type="beginsWith" dxfId="1152" priority="68" operator="beginsWith" text="CA">
      <formula>LEFT(P26,LEN("CA"))="CA"</formula>
    </cfRule>
    <cfRule type="containsText" dxfId="1151" priority="69" operator="containsText" text="AST">
      <formula>NOT(ISERROR(SEARCH("AST",P26)))</formula>
    </cfRule>
    <cfRule type="containsText" dxfId="1150" priority="70" operator="containsText" text="F">
      <formula>NOT(ISERROR(SEARCH("F",P26)))</formula>
    </cfRule>
    <cfRule type="containsText" dxfId="1149" priority="71" operator="containsText" text="PC">
      <formula>NOT(ISERROR(SEARCH("PC",P26)))</formula>
    </cfRule>
    <cfRule type="containsText" dxfId="1148" priority="72" operator="containsText" text="P">
      <formula>NOT(ISERROR(SEARCH("P",P26)))</formula>
    </cfRule>
  </conditionalFormatting>
  <conditionalFormatting sqref="P39:AT49">
    <cfRule type="containsText" dxfId="1147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146" priority="51" operator="containsText" text="AT">
      <formula>NOT(ISERROR(SEARCH("AT",P39)))</formula>
    </cfRule>
    <cfRule type="containsText" dxfId="1145" priority="52" operator="containsText" text="MA">
      <formula>NOT(ISERROR(SEARCH("MA",P39)))</formula>
    </cfRule>
    <cfRule type="containsText" dxfId="1144" priority="53" operator="containsText" text="RES">
      <formula>NOT(ISERROR(SEARCH("RES",P39)))</formula>
    </cfRule>
    <cfRule type="containsText" dxfId="1143" priority="54" operator="containsText" text="CEX">
      <formula>NOT(ISERROR(SEARCH("CEX",P39)))</formula>
    </cfRule>
    <cfRule type="containsText" dxfId="1142" priority="55" operator="containsText" text="RTT">
      <formula>NOT(ISERROR(SEARCH("RTT",P39)))</formula>
    </cfRule>
    <cfRule type="beginsWith" dxfId="1141" priority="56" operator="beginsWith" text="CA">
      <formula>LEFT(P39,LEN("CA"))="CA"</formula>
    </cfRule>
    <cfRule type="containsText" dxfId="1140" priority="57" operator="containsText" text="AST">
      <formula>NOT(ISERROR(SEARCH("AST",P39)))</formula>
    </cfRule>
    <cfRule type="containsText" dxfId="1139" priority="58" operator="containsText" text="F">
      <formula>NOT(ISERROR(SEARCH("F",P39)))</formula>
    </cfRule>
    <cfRule type="containsText" dxfId="1138" priority="59" operator="containsText" text="PC">
      <formula>NOT(ISERROR(SEARCH("PC",P39)))</formula>
    </cfRule>
    <cfRule type="containsText" dxfId="1137" priority="60" operator="containsText" text="P">
      <formula>NOT(ISERROR(SEARCH("P",P39)))</formula>
    </cfRule>
  </conditionalFormatting>
  <conditionalFormatting sqref="P51:AT62">
    <cfRule type="containsText" dxfId="1136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135" priority="39" operator="containsText" text="AT">
      <formula>NOT(ISERROR(SEARCH("AT",P51)))</formula>
    </cfRule>
    <cfRule type="containsText" dxfId="1134" priority="40" operator="containsText" text="MA">
      <formula>NOT(ISERROR(SEARCH("MA",P51)))</formula>
    </cfRule>
    <cfRule type="containsText" dxfId="1133" priority="41" operator="containsText" text="RES">
      <formula>NOT(ISERROR(SEARCH("RES",P51)))</formula>
    </cfRule>
    <cfRule type="containsText" dxfId="1132" priority="42" operator="containsText" text="CEX">
      <formula>NOT(ISERROR(SEARCH("CEX",P51)))</formula>
    </cfRule>
    <cfRule type="containsText" dxfId="1131" priority="43" operator="containsText" text="RTT">
      <formula>NOT(ISERROR(SEARCH("RTT",P51)))</formula>
    </cfRule>
    <cfRule type="beginsWith" dxfId="1130" priority="44" operator="beginsWith" text="CA">
      <formula>LEFT(P51,LEN("CA"))="CA"</formula>
    </cfRule>
    <cfRule type="containsText" dxfId="1129" priority="45" operator="containsText" text="AST">
      <formula>NOT(ISERROR(SEARCH("AST",P51)))</formula>
    </cfRule>
    <cfRule type="containsText" dxfId="1128" priority="46" operator="containsText" text="F">
      <formula>NOT(ISERROR(SEARCH("F",P51)))</formula>
    </cfRule>
    <cfRule type="containsText" dxfId="1127" priority="47" operator="containsText" text="PC">
      <formula>NOT(ISERROR(SEARCH("PC",P51)))</formula>
    </cfRule>
    <cfRule type="containsText" dxfId="1126" priority="48" operator="containsText" text="P">
      <formula>NOT(ISERROR(SEARCH("P",P51)))</formula>
    </cfRule>
  </conditionalFormatting>
  <conditionalFormatting sqref="P64:AT69">
    <cfRule type="containsText" dxfId="112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124" priority="3" operator="containsText" text="AT">
      <formula>NOT(ISERROR(SEARCH("AT",P64)))</formula>
    </cfRule>
    <cfRule type="containsText" dxfId="1123" priority="4" operator="containsText" text="MA">
      <formula>NOT(ISERROR(SEARCH("MA",P64)))</formula>
    </cfRule>
    <cfRule type="containsText" dxfId="1122" priority="5" operator="containsText" text="RES">
      <formula>NOT(ISERROR(SEARCH("RES",P64)))</formula>
    </cfRule>
    <cfRule type="containsText" dxfId="1121" priority="6" operator="containsText" text="CEX">
      <formula>NOT(ISERROR(SEARCH("CEX",P64)))</formula>
    </cfRule>
    <cfRule type="containsText" dxfId="1120" priority="7" operator="containsText" text="RTT">
      <formula>NOT(ISERROR(SEARCH("RTT",P64)))</formula>
    </cfRule>
    <cfRule type="beginsWith" dxfId="1119" priority="8" operator="beginsWith" text="CA">
      <formula>LEFT(P64,LEN("CA"))="CA"</formula>
    </cfRule>
    <cfRule type="containsText" dxfId="1118" priority="9" operator="containsText" text="AST">
      <formula>NOT(ISERROR(SEARCH("AST",P64)))</formula>
    </cfRule>
    <cfRule type="containsText" dxfId="1117" priority="10" operator="containsText" text="F">
      <formula>NOT(ISERROR(SEARCH("F",P64)))</formula>
    </cfRule>
    <cfRule type="containsText" dxfId="1116" priority="11" operator="containsText" text="PC">
      <formula>NOT(ISERROR(SEARCH("PC",P64)))</formula>
    </cfRule>
    <cfRule type="containsText" dxfId="1115" priority="12" operator="containsText" text="P">
      <formula>NOT(ISERROR(SEARCH("P",P64)))</formula>
    </cfRule>
  </conditionalFormatting>
  <conditionalFormatting sqref="P11:AU20">
    <cfRule type="containsText" dxfId="1114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13" priority="87" operator="containsText" text="AT">
      <formula>NOT(ISERROR(SEARCH("AT",P11)))</formula>
    </cfRule>
    <cfRule type="containsText" dxfId="1112" priority="88" operator="containsText" text="MA">
      <formula>NOT(ISERROR(SEARCH("MA",P11)))</formula>
    </cfRule>
    <cfRule type="containsText" dxfId="1111" priority="89" operator="containsText" text="RES">
      <formula>NOT(ISERROR(SEARCH("RES",P11)))</formula>
    </cfRule>
    <cfRule type="containsText" dxfId="1110" priority="90" operator="containsText" text="CEX">
      <formula>NOT(ISERROR(SEARCH("CEX",P11)))</formula>
    </cfRule>
    <cfRule type="containsText" dxfId="1109" priority="91" operator="containsText" text="RTT">
      <formula>NOT(ISERROR(SEARCH("RTT",P11)))</formula>
    </cfRule>
    <cfRule type="beginsWith" dxfId="1108" priority="92" operator="beginsWith" text="CA">
      <formula>LEFT(P11,LEN("CA"))="CA"</formula>
    </cfRule>
    <cfRule type="containsText" dxfId="1107" priority="93" operator="containsText" text="AST">
      <formula>NOT(ISERROR(SEARCH("AST",P11)))</formula>
    </cfRule>
    <cfRule type="containsText" dxfId="1106" priority="94" operator="containsText" text="F">
      <formula>NOT(ISERROR(SEARCH("F",P11)))</formula>
    </cfRule>
    <cfRule type="containsText" dxfId="1105" priority="95" operator="containsText" text="PC">
      <formula>NOT(ISERROR(SEARCH("PC",P11)))</formula>
    </cfRule>
    <cfRule type="containsText" dxfId="1104" priority="96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300-000000000000}">
      <formula1>"P,M,A,C,CEX,F,R,T,8H"</formula1>
    </dataValidation>
    <dataValidation type="list" allowBlank="1" showInputMessage="1" showErrorMessage="1" sqref="T78" xr:uid="{00000000-0002-0000-0300-000001000000}">
      <formula1>$D$9:$O$9</formula1>
    </dataValidation>
    <dataValidation type="list" allowBlank="1" showInputMessage="1" showErrorMessage="1" sqref="P11:AU20 P23:AT24 P26:AT29 P31:AT36 P39:AT49 P51:AT62 P64:AT69" xr:uid="{00000000-0002-0000-03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F69"/>
  <sheetViews>
    <sheetView zoomScale="85" zoomScaleNormal="85" workbookViewId="0">
      <pane xSplit="2" ySplit="10" topLeftCell="C37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6" width="4.2851562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config!B8</f>
        <v>46113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config!C8</f>
        <v>46142</v>
      </c>
    </row>
    <row r="3" spans="1:58" ht="15" customHeight="1" x14ac:dyDescent="0.25">
      <c r="A3" s="27"/>
    </row>
    <row r="4" spans="1:58" ht="56.25" customHeight="1" x14ac:dyDescent="0.25">
      <c r="A4" s="27"/>
      <c r="P4" s="28">
        <f>A1</f>
        <v>46113</v>
      </c>
      <c r="Q4" s="28">
        <f t="shared" ref="Q4:AT4" si="0">P4+1</f>
        <v>46114</v>
      </c>
      <c r="R4" s="28">
        <f t="shared" si="0"/>
        <v>46115</v>
      </c>
      <c r="S4" s="28">
        <f t="shared" si="0"/>
        <v>46116</v>
      </c>
      <c r="T4" s="28">
        <f t="shared" si="0"/>
        <v>46117</v>
      </c>
      <c r="U4" s="28">
        <f t="shared" si="0"/>
        <v>46118</v>
      </c>
      <c r="V4" s="28">
        <f t="shared" si="0"/>
        <v>46119</v>
      </c>
      <c r="W4" s="28">
        <f t="shared" si="0"/>
        <v>46120</v>
      </c>
      <c r="X4" s="28">
        <f t="shared" si="0"/>
        <v>46121</v>
      </c>
      <c r="Y4" s="28">
        <f t="shared" si="0"/>
        <v>46122</v>
      </c>
      <c r="Z4" s="28">
        <f t="shared" si="0"/>
        <v>46123</v>
      </c>
      <c r="AA4" s="28">
        <f t="shared" si="0"/>
        <v>46124</v>
      </c>
      <c r="AB4" s="28">
        <f t="shared" si="0"/>
        <v>46125</v>
      </c>
      <c r="AC4" s="28">
        <f t="shared" si="0"/>
        <v>46126</v>
      </c>
      <c r="AD4" s="28">
        <f t="shared" si="0"/>
        <v>46127</v>
      </c>
      <c r="AE4" s="28">
        <f t="shared" si="0"/>
        <v>46128</v>
      </c>
      <c r="AF4" s="28">
        <f t="shared" si="0"/>
        <v>46129</v>
      </c>
      <c r="AG4" s="28">
        <f t="shared" si="0"/>
        <v>46130</v>
      </c>
      <c r="AH4" s="28">
        <f t="shared" si="0"/>
        <v>46131</v>
      </c>
      <c r="AI4" s="28">
        <f t="shared" si="0"/>
        <v>46132</v>
      </c>
      <c r="AJ4" s="28">
        <f t="shared" si="0"/>
        <v>46133</v>
      </c>
      <c r="AK4" s="28">
        <f t="shared" si="0"/>
        <v>46134</v>
      </c>
      <c r="AL4" s="28">
        <f t="shared" si="0"/>
        <v>46135</v>
      </c>
      <c r="AM4" s="28">
        <f t="shared" si="0"/>
        <v>46136</v>
      </c>
      <c r="AN4" s="28">
        <f t="shared" si="0"/>
        <v>46137</v>
      </c>
      <c r="AO4" s="28">
        <f t="shared" si="0"/>
        <v>46138</v>
      </c>
      <c r="AP4" s="28">
        <f t="shared" si="0"/>
        <v>46139</v>
      </c>
      <c r="AQ4" s="28">
        <f t="shared" si="0"/>
        <v>46140</v>
      </c>
      <c r="AR4" s="28">
        <f t="shared" si="0"/>
        <v>46141</v>
      </c>
      <c r="AS4" s="28">
        <f t="shared" si="0"/>
        <v>46142</v>
      </c>
      <c r="AT4" s="28">
        <f t="shared" si="0"/>
        <v>46143</v>
      </c>
      <c r="AU4" s="28"/>
      <c r="AV4" s="27"/>
      <c r="AW4" s="27"/>
      <c r="AX4" s="27"/>
      <c r="AY4" s="27"/>
      <c r="AZ4" s="27"/>
      <c r="BA4" s="27"/>
      <c r="BB4" s="27"/>
    </row>
    <row r="5" spans="1:58" ht="36" customHeight="1" x14ac:dyDescent="0.25">
      <c r="A5" s="295" t="str">
        <f>TEXT(A1,"mmmmmmmmmmmm")</f>
        <v>avril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3"/>
    </row>
    <row r="6" spans="1:58" ht="36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3"/>
    </row>
    <row r="7" spans="1:58" ht="36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3"/>
    </row>
    <row r="8" spans="1:58" s="29" customFormat="1" ht="21.75" customHeight="1" thickBot="1" x14ac:dyDescent="0.3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8"/>
      <c r="Y8" s="18"/>
      <c r="Z8" s="18"/>
      <c r="AA8" s="18"/>
      <c r="AB8" s="18"/>
      <c r="AC8" s="164"/>
      <c r="AD8" s="164"/>
      <c r="AE8" s="18"/>
      <c r="AF8" s="18"/>
      <c r="AG8" s="18"/>
      <c r="AH8" s="18"/>
      <c r="AI8" s="149"/>
      <c r="AJ8" s="164"/>
      <c r="AK8" s="149"/>
      <c r="AL8" s="149"/>
      <c r="AM8" s="149"/>
      <c r="AN8" s="149"/>
      <c r="AO8" s="149"/>
      <c r="AP8" s="149"/>
      <c r="AQ8" s="149"/>
      <c r="AR8" s="164"/>
      <c r="AS8" s="149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57" t="s">
        <v>205</v>
      </c>
      <c r="P9" s="169">
        <f t="shared" ref="P9:AT9" si="1">IFERROR(WEEKDAY(P4),"")</f>
        <v>4</v>
      </c>
      <c r="Q9" s="150">
        <f t="shared" si="1"/>
        <v>5</v>
      </c>
      <c r="R9" s="151">
        <f t="shared" si="1"/>
        <v>6</v>
      </c>
      <c r="S9" s="151">
        <f t="shared" si="1"/>
        <v>7</v>
      </c>
      <c r="T9" s="151">
        <f t="shared" si="1"/>
        <v>1</v>
      </c>
      <c r="U9" s="151">
        <f t="shared" si="1"/>
        <v>2</v>
      </c>
      <c r="V9" s="151">
        <f t="shared" si="1"/>
        <v>3</v>
      </c>
      <c r="W9" s="151">
        <f t="shared" si="1"/>
        <v>4</v>
      </c>
      <c r="X9" s="151">
        <f t="shared" si="1"/>
        <v>5</v>
      </c>
      <c r="Y9" s="151">
        <f t="shared" si="1"/>
        <v>6</v>
      </c>
      <c r="Z9" s="151">
        <f t="shared" si="1"/>
        <v>7</v>
      </c>
      <c r="AA9" s="151">
        <f t="shared" si="1"/>
        <v>1</v>
      </c>
      <c r="AB9" s="151">
        <f t="shared" si="1"/>
        <v>2</v>
      </c>
      <c r="AC9" s="151">
        <f t="shared" si="1"/>
        <v>3</v>
      </c>
      <c r="AD9" s="151">
        <f t="shared" si="1"/>
        <v>4</v>
      </c>
      <c r="AE9" s="151">
        <f t="shared" si="1"/>
        <v>5</v>
      </c>
      <c r="AF9" s="151">
        <f t="shared" si="1"/>
        <v>6</v>
      </c>
      <c r="AG9" s="151">
        <f t="shared" si="1"/>
        <v>7</v>
      </c>
      <c r="AH9" s="151">
        <f t="shared" si="1"/>
        <v>1</v>
      </c>
      <c r="AI9" s="151">
        <f t="shared" si="1"/>
        <v>2</v>
      </c>
      <c r="AJ9" s="151">
        <f t="shared" si="1"/>
        <v>3</v>
      </c>
      <c r="AK9" s="151">
        <f t="shared" si="1"/>
        <v>4</v>
      </c>
      <c r="AL9" s="151">
        <f t="shared" si="1"/>
        <v>5</v>
      </c>
      <c r="AM9" s="151">
        <f t="shared" si="1"/>
        <v>6</v>
      </c>
      <c r="AN9" s="151">
        <f t="shared" si="1"/>
        <v>7</v>
      </c>
      <c r="AO9" s="151">
        <f t="shared" si="1"/>
        <v>1</v>
      </c>
      <c r="AP9" s="151">
        <f t="shared" si="1"/>
        <v>2</v>
      </c>
      <c r="AQ9" s="151">
        <f t="shared" si="1"/>
        <v>3</v>
      </c>
      <c r="AR9" s="151">
        <f t="shared" si="1"/>
        <v>4</v>
      </c>
      <c r="AS9" s="152">
        <f t="shared" si="1"/>
        <v>5</v>
      </c>
      <c r="AT9" s="153">
        <f t="shared" si="1"/>
        <v>6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58" t="s">
        <v>216</v>
      </c>
      <c r="P10" s="170">
        <f t="shared" ref="P10:AT10" si="2">DAY(P4)</f>
        <v>1</v>
      </c>
      <c r="Q10" s="154">
        <f t="shared" si="2"/>
        <v>2</v>
      </c>
      <c r="R10" s="155">
        <f t="shared" si="2"/>
        <v>3</v>
      </c>
      <c r="S10" s="155">
        <f t="shared" si="2"/>
        <v>4</v>
      </c>
      <c r="T10" s="155">
        <f t="shared" si="2"/>
        <v>5</v>
      </c>
      <c r="U10" s="155">
        <f t="shared" si="2"/>
        <v>6</v>
      </c>
      <c r="V10" s="155">
        <f t="shared" si="2"/>
        <v>7</v>
      </c>
      <c r="W10" s="155">
        <f t="shared" si="2"/>
        <v>8</v>
      </c>
      <c r="X10" s="155">
        <f t="shared" si="2"/>
        <v>9</v>
      </c>
      <c r="Y10" s="155">
        <f t="shared" si="2"/>
        <v>10</v>
      </c>
      <c r="Z10" s="155">
        <f t="shared" si="2"/>
        <v>11</v>
      </c>
      <c r="AA10" s="155">
        <f t="shared" si="2"/>
        <v>12</v>
      </c>
      <c r="AB10" s="155">
        <f t="shared" si="2"/>
        <v>13</v>
      </c>
      <c r="AC10" s="155">
        <f t="shared" si="2"/>
        <v>14</v>
      </c>
      <c r="AD10" s="155">
        <f t="shared" si="2"/>
        <v>15</v>
      </c>
      <c r="AE10" s="155">
        <f t="shared" si="2"/>
        <v>16</v>
      </c>
      <c r="AF10" s="155">
        <f t="shared" si="2"/>
        <v>17</v>
      </c>
      <c r="AG10" s="155">
        <f t="shared" si="2"/>
        <v>18</v>
      </c>
      <c r="AH10" s="155">
        <f t="shared" si="2"/>
        <v>19</v>
      </c>
      <c r="AI10" s="155">
        <f t="shared" si="2"/>
        <v>20</v>
      </c>
      <c r="AJ10" s="155">
        <f t="shared" si="2"/>
        <v>21</v>
      </c>
      <c r="AK10" s="155">
        <f t="shared" si="2"/>
        <v>22</v>
      </c>
      <c r="AL10" s="155">
        <f t="shared" si="2"/>
        <v>23</v>
      </c>
      <c r="AM10" s="155">
        <f t="shared" si="2"/>
        <v>24</v>
      </c>
      <c r="AN10" s="155">
        <f t="shared" si="2"/>
        <v>25</v>
      </c>
      <c r="AO10" s="155">
        <f t="shared" si="2"/>
        <v>26</v>
      </c>
      <c r="AP10" s="155">
        <f t="shared" si="2"/>
        <v>27</v>
      </c>
      <c r="AQ10" s="155">
        <f t="shared" si="2"/>
        <v>28</v>
      </c>
      <c r="AR10" s="155">
        <f t="shared" si="2"/>
        <v>29</v>
      </c>
      <c r="AS10" s="154">
        <f t="shared" si="2"/>
        <v>30</v>
      </c>
      <c r="AT10" s="156">
        <f t="shared" si="2"/>
        <v>1</v>
      </c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188"/>
      <c r="Q11" s="20"/>
      <c r="R11" s="183"/>
      <c r="S11" s="86"/>
      <c r="T11" s="86"/>
      <c r="U11" s="20"/>
      <c r="V11" s="20"/>
      <c r="W11" s="20"/>
      <c r="X11" s="20"/>
      <c r="Y11" s="20"/>
      <c r="Z11" s="86"/>
      <c r="AA11" s="86"/>
      <c r="AB11" s="20"/>
      <c r="AC11" s="20"/>
      <c r="AD11" s="20"/>
      <c r="AE11" s="20"/>
      <c r="AF11" s="20"/>
      <c r="AG11" s="86"/>
      <c r="AH11" s="86"/>
      <c r="AI11" s="20"/>
      <c r="AJ11" s="20"/>
      <c r="AK11" s="20"/>
      <c r="AL11" s="20"/>
      <c r="AM11" s="20"/>
      <c r="AN11" s="86"/>
      <c r="AO11" s="86"/>
      <c r="AP11" s="20"/>
      <c r="AQ11" s="20"/>
      <c r="AR11" s="20"/>
      <c r="AS11" s="20"/>
      <c r="AT11" s="34"/>
      <c r="AU11" s="1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189"/>
      <c r="Q12" s="8"/>
      <c r="R12" s="235"/>
      <c r="S12" s="94"/>
      <c r="T12" s="94"/>
      <c r="U12" s="8"/>
      <c r="V12" s="8"/>
      <c r="W12" s="8"/>
      <c r="X12" s="8"/>
      <c r="Y12" s="8"/>
      <c r="Z12" s="94"/>
      <c r="AA12" s="94"/>
      <c r="AB12" s="8"/>
      <c r="AC12" s="8"/>
      <c r="AD12" s="8"/>
      <c r="AE12" s="8"/>
      <c r="AF12" s="8"/>
      <c r="AG12" s="94"/>
      <c r="AH12" s="94"/>
      <c r="AI12" s="8"/>
      <c r="AJ12" s="8"/>
      <c r="AK12" s="8"/>
      <c r="AL12" s="8"/>
      <c r="AM12" s="8"/>
      <c r="AN12" s="94"/>
      <c r="AO12" s="94"/>
      <c r="AP12" s="8"/>
      <c r="AQ12" s="8"/>
      <c r="AR12" s="8"/>
      <c r="AS12" s="8"/>
      <c r="AT12" s="35"/>
      <c r="AU12" s="1"/>
      <c r="AV12" s="168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189"/>
      <c r="Q13" s="8"/>
      <c r="R13" s="8"/>
      <c r="S13" s="94"/>
      <c r="T13" s="94"/>
      <c r="U13" s="8"/>
      <c r="V13" s="8"/>
      <c r="W13" s="8"/>
      <c r="X13" s="22"/>
      <c r="Y13" s="8"/>
      <c r="Z13" s="94"/>
      <c r="AA13" s="94"/>
      <c r="AB13" s="8"/>
      <c r="AC13" s="8"/>
      <c r="AD13" s="8"/>
      <c r="AE13" s="8"/>
      <c r="AF13" s="8"/>
      <c r="AG13" s="94"/>
      <c r="AH13" s="94"/>
      <c r="AI13" s="8"/>
      <c r="AJ13" s="8"/>
      <c r="AK13" s="8"/>
      <c r="AL13" s="8"/>
      <c r="AM13" s="8"/>
      <c r="AN13" s="94"/>
      <c r="AO13" s="94"/>
      <c r="AP13" s="8"/>
      <c r="AQ13" s="8"/>
      <c r="AR13" s="8"/>
      <c r="AS13" s="8"/>
      <c r="AT13" s="35"/>
      <c r="AU13" s="1"/>
      <c r="AV13" s="19">
        <f>COUNTIF(P11:AS29,"p")</f>
        <v>0</v>
      </c>
      <c r="AW13" s="19">
        <f>COUNTIF(P11:AS29,"PC")</f>
        <v>0</v>
      </c>
      <c r="AX13" s="19">
        <f>COUNTIF(P11:AS29,"f")</f>
        <v>0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189"/>
      <c r="Q14" s="8"/>
      <c r="R14" s="235"/>
      <c r="S14" s="94"/>
      <c r="T14" s="94"/>
      <c r="U14" s="8"/>
      <c r="V14" s="8"/>
      <c r="W14" s="8"/>
      <c r="X14" s="8"/>
      <c r="Y14" s="8"/>
      <c r="Z14" s="94"/>
      <c r="AA14" s="94"/>
      <c r="AB14" s="8"/>
      <c r="AC14" s="8"/>
      <c r="AD14" s="8"/>
      <c r="AE14" s="8"/>
      <c r="AF14" s="8"/>
      <c r="AG14" s="94"/>
      <c r="AH14" s="94"/>
      <c r="AI14" s="8"/>
      <c r="AJ14" s="8"/>
      <c r="AK14" s="8"/>
      <c r="AL14" s="22"/>
      <c r="AM14" s="8"/>
      <c r="AN14" s="94"/>
      <c r="AO14" s="94"/>
      <c r="AP14" s="8"/>
      <c r="AQ14" s="8"/>
      <c r="AR14" s="8"/>
      <c r="AS14" s="8"/>
      <c r="AT14" s="35"/>
      <c r="AU14" s="1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189"/>
      <c r="Q15" s="8"/>
      <c r="R15" s="186"/>
      <c r="S15" s="94"/>
      <c r="T15" s="94"/>
      <c r="U15" s="8"/>
      <c r="V15" s="8"/>
      <c r="W15" s="8"/>
      <c r="X15" s="8"/>
      <c r="Y15" s="8"/>
      <c r="Z15" s="94"/>
      <c r="AA15" s="94"/>
      <c r="AB15" s="8"/>
      <c r="AC15" s="8"/>
      <c r="AD15" s="8"/>
      <c r="AE15" s="22"/>
      <c r="AF15" s="8"/>
      <c r="AG15" s="94"/>
      <c r="AH15" s="94"/>
      <c r="AI15" s="8"/>
      <c r="AJ15" s="8"/>
      <c r="AK15" s="8"/>
      <c r="AL15" s="8"/>
      <c r="AM15" s="8"/>
      <c r="AN15" s="94"/>
      <c r="AO15" s="94"/>
      <c r="AP15" s="8"/>
      <c r="AQ15" s="8"/>
      <c r="AR15" s="8"/>
      <c r="AS15" s="8"/>
      <c r="AT15" s="35"/>
      <c r="AU15" s="1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189"/>
      <c r="Q16" s="8"/>
      <c r="R16" s="186"/>
      <c r="S16" s="94"/>
      <c r="T16" s="94"/>
      <c r="U16" s="8"/>
      <c r="V16" s="8"/>
      <c r="W16" s="8"/>
      <c r="X16" s="8"/>
      <c r="Y16" s="8"/>
      <c r="Z16" s="94"/>
      <c r="AA16" s="94"/>
      <c r="AB16" s="8"/>
      <c r="AC16" s="8"/>
      <c r="AD16" s="8"/>
      <c r="AE16" s="8"/>
      <c r="AF16" s="8"/>
      <c r="AG16" s="94"/>
      <c r="AH16" s="94"/>
      <c r="AI16" s="8"/>
      <c r="AJ16" s="8"/>
      <c r="AK16" s="8"/>
      <c r="AL16" s="8"/>
      <c r="AM16" s="8"/>
      <c r="AN16" s="94"/>
      <c r="AO16" s="94"/>
      <c r="AP16" s="8"/>
      <c r="AQ16" s="8"/>
      <c r="AR16" s="8"/>
      <c r="AS16" s="8"/>
      <c r="AT16" s="35"/>
      <c r="AU16" s="1"/>
    </row>
    <row r="17" spans="1:47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189"/>
      <c r="Q17" s="8"/>
      <c r="R17" s="186"/>
      <c r="S17" s="94"/>
      <c r="T17" s="94"/>
      <c r="U17" s="8"/>
      <c r="V17" s="8"/>
      <c r="W17" s="8"/>
      <c r="X17" s="8"/>
      <c r="Y17" s="8"/>
      <c r="Z17" s="94"/>
      <c r="AA17" s="94"/>
      <c r="AB17" s="8"/>
      <c r="AC17" s="8"/>
      <c r="AD17" s="8"/>
      <c r="AE17" s="8"/>
      <c r="AF17" s="8"/>
      <c r="AG17" s="94"/>
      <c r="AH17" s="94"/>
      <c r="AI17" s="8"/>
      <c r="AJ17" s="8"/>
      <c r="AK17" s="8"/>
      <c r="AL17" s="22"/>
      <c r="AM17" s="8"/>
      <c r="AN17" s="94"/>
      <c r="AO17" s="94"/>
      <c r="AP17" s="8"/>
      <c r="AQ17" s="8"/>
      <c r="AR17" s="8"/>
      <c r="AS17" s="8"/>
      <c r="AT17" s="35"/>
      <c r="AU17" s="1"/>
    </row>
    <row r="18" spans="1:47" ht="20.100000000000001" customHeight="1" thickBot="1" x14ac:dyDescent="0.3">
      <c r="A18" s="32" t="str">
        <f>IFERROR(IF(config!E10="","",config!E10),"")</f>
        <v>N010036</v>
      </c>
      <c r="B18" s="39" t="str">
        <f>IFERROR(IF(config!F10="","",config!F10),"")</f>
        <v>BETTINGER</v>
      </c>
      <c r="C18" s="69" t="str">
        <f>IFERROR(IF(config!G10="","",config!G10),"")</f>
        <v>Philippe</v>
      </c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0</v>
      </c>
      <c r="I18" s="20">
        <f t="shared" si="8"/>
        <v>0</v>
      </c>
      <c r="J18" s="20">
        <f t="shared" si="9"/>
        <v>0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189"/>
      <c r="Q18" s="8"/>
      <c r="R18" s="186"/>
      <c r="S18" s="94"/>
      <c r="T18" s="94"/>
      <c r="U18" s="8"/>
      <c r="V18" s="8"/>
      <c r="W18" s="8"/>
      <c r="X18" s="8"/>
      <c r="Y18" s="8"/>
      <c r="Z18" s="94"/>
      <c r="AA18" s="94"/>
      <c r="AB18" s="8"/>
      <c r="AC18" s="8"/>
      <c r="AD18" s="8"/>
      <c r="AE18" s="8"/>
      <c r="AF18" s="8"/>
      <c r="AG18" s="94"/>
      <c r="AH18" s="94"/>
      <c r="AI18" s="8"/>
      <c r="AJ18" s="8"/>
      <c r="AK18" s="8"/>
      <c r="AL18" s="8"/>
      <c r="AM18" s="8"/>
      <c r="AN18" s="94"/>
      <c r="AO18" s="94"/>
      <c r="AP18" s="8"/>
      <c r="AQ18" s="8"/>
      <c r="AR18" s="8"/>
      <c r="AS18" s="8"/>
      <c r="AT18" s="35"/>
      <c r="AU18" s="1"/>
    </row>
    <row r="19" spans="1:47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189"/>
      <c r="Q19" s="8"/>
      <c r="R19" s="186"/>
      <c r="S19" s="94"/>
      <c r="T19" s="94"/>
      <c r="U19" s="8"/>
      <c r="V19" s="8"/>
      <c r="W19" s="8"/>
      <c r="X19" s="22"/>
      <c r="Y19" s="8"/>
      <c r="Z19" s="94"/>
      <c r="AA19" s="94"/>
      <c r="AB19" s="8"/>
      <c r="AC19" s="8"/>
      <c r="AD19" s="8"/>
      <c r="AE19" s="8"/>
      <c r="AF19" s="8"/>
      <c r="AG19" s="94"/>
      <c r="AH19" s="94"/>
      <c r="AI19" s="8"/>
      <c r="AJ19" s="8"/>
      <c r="AK19" s="8"/>
      <c r="AL19" s="8"/>
      <c r="AM19" s="8"/>
      <c r="AN19" s="94"/>
      <c r="AO19" s="94"/>
      <c r="AP19" s="8"/>
      <c r="AQ19" s="8"/>
      <c r="AR19" s="8"/>
      <c r="AS19" s="8"/>
      <c r="AT19" s="35"/>
      <c r="AU19" s="1"/>
    </row>
    <row r="20" spans="1:47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91"/>
      <c r="Q20" s="21"/>
      <c r="R20" s="21"/>
      <c r="S20" s="95"/>
      <c r="T20" s="95"/>
      <c r="U20" s="21"/>
      <c r="V20" s="21"/>
      <c r="W20" s="21"/>
      <c r="X20" s="184"/>
      <c r="Y20" s="21"/>
      <c r="Z20" s="95"/>
      <c r="AA20" s="95"/>
      <c r="AB20" s="21"/>
      <c r="AC20" s="21"/>
      <c r="AD20" s="21"/>
      <c r="AE20" s="21"/>
      <c r="AF20" s="21"/>
      <c r="AG20" s="95"/>
      <c r="AH20" s="95"/>
      <c r="AI20" s="21"/>
      <c r="AJ20" s="21"/>
      <c r="AK20" s="21"/>
      <c r="AL20" s="21"/>
      <c r="AM20" s="21"/>
      <c r="AN20" s="95"/>
      <c r="AO20" s="95"/>
      <c r="AP20" s="21"/>
      <c r="AQ20" s="21"/>
      <c r="AR20" s="21"/>
      <c r="AS20" s="21"/>
      <c r="AT20" s="36"/>
      <c r="AU20" s="1"/>
    </row>
    <row r="21" spans="1:47" ht="20.100000000000001" customHeight="1" thickBot="1" x14ac:dyDescent="0.3">
      <c r="A21" s="54" t="str">
        <f>IFERROR(IF(config!E13="","",config!E13),"")</f>
        <v>MAINTENANCE</v>
      </c>
      <c r="B21" s="54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  <c r="AR21" s="179"/>
      <c r="AS21" s="179"/>
      <c r="AT21" s="179"/>
    </row>
    <row r="22" spans="1:47" ht="20.100000000000001" customHeight="1" thickBot="1" x14ac:dyDescent="0.3">
      <c r="A22" s="46" t="str">
        <f>IFERROR(IF(config!E14="","",config!E14),"")</f>
        <v>SURVEILLANT DE TRAVAUX</v>
      </c>
      <c r="B22" s="46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  <c r="AT22" s="97"/>
    </row>
    <row r="23" spans="1:47" ht="20.100000000000001" customHeight="1" thickBot="1" x14ac:dyDescent="0.3">
      <c r="A23" s="30" t="str">
        <f>IFERROR(IF(config!E15="","",config!E15),"")</f>
        <v>C004587</v>
      </c>
      <c r="B23" s="40" t="str">
        <f>IFERROR(IF(config!F15="","",config!F15),"")</f>
        <v xml:space="preserve">BOURGOIN </v>
      </c>
      <c r="C23" s="102" t="str">
        <f>IFERROR(IF(config!G15="","",config!G15),"")</f>
        <v>Jean-Baptiste</v>
      </c>
      <c r="D23" s="103">
        <f>COUNTIF(P23:AS23,"p")</f>
        <v>0</v>
      </c>
      <c r="E23" s="22">
        <f>COUNTIF(P23:AS23,"PC")</f>
        <v>0</v>
      </c>
      <c r="F23" s="22">
        <f>COUNTIF(P23:AS23,"f")</f>
        <v>0</v>
      </c>
      <c r="G23" s="22">
        <f>COUNTIF(P23:AS23,"ast")</f>
        <v>0</v>
      </c>
      <c r="H23" s="22">
        <f>COUNTIF(P23:AS23,"cA")</f>
        <v>0</v>
      </c>
      <c r="I23" s="22">
        <f>COUNTIF(P23:AS23,"rtt")</f>
        <v>0</v>
      </c>
      <c r="J23" s="22">
        <f>COUNTIF(P23:AS23,"cex")</f>
        <v>0</v>
      </c>
      <c r="K23" s="22">
        <f>COUNTIF(P23:AS23,"res")</f>
        <v>0</v>
      </c>
      <c r="L23" s="22">
        <f>COUNTIF(P23:AS23,"mA")</f>
        <v>0</v>
      </c>
      <c r="M23" s="22">
        <f>COUNTIF(P23:AS23,"at")</f>
        <v>0</v>
      </c>
      <c r="N23" s="22">
        <f>COUNTIF(P23:AS23,"TAD")</f>
        <v>0</v>
      </c>
      <c r="O23" s="106">
        <f>COUNTIF(P23:AS23,"TP")</f>
        <v>0</v>
      </c>
      <c r="P23" s="87"/>
      <c r="Q23" s="20"/>
      <c r="R23" s="20"/>
      <c r="S23" s="86"/>
      <c r="T23" s="86"/>
      <c r="U23" s="20"/>
      <c r="V23" s="20"/>
      <c r="W23" s="20"/>
      <c r="X23" s="20"/>
      <c r="Y23" s="20"/>
      <c r="Z23" s="86"/>
      <c r="AA23" s="86"/>
      <c r="AB23" s="20"/>
      <c r="AC23" s="20"/>
      <c r="AD23" s="20"/>
      <c r="AE23" s="20"/>
      <c r="AF23" s="20"/>
      <c r="AG23" s="86"/>
      <c r="AH23" s="86"/>
      <c r="AI23" s="20"/>
      <c r="AJ23" s="20"/>
      <c r="AK23" s="20"/>
      <c r="AL23" s="20"/>
      <c r="AM23" s="20"/>
      <c r="AN23" s="86"/>
      <c r="AO23" s="86"/>
      <c r="AP23" s="20"/>
      <c r="AQ23" s="20"/>
      <c r="AR23" s="20"/>
      <c r="AS23" s="20"/>
      <c r="AT23" s="34"/>
    </row>
    <row r="24" spans="1:47" ht="20.100000000000001" customHeight="1" thickBot="1" x14ac:dyDescent="0.3">
      <c r="A24" s="131" t="str">
        <f>IFERROR(IF(config!E16="","",config!E16),"")</f>
        <v>N02645</v>
      </c>
      <c r="B24" s="132" t="str">
        <f>IFERROR(IF(config!F16="","",config!F16),"")</f>
        <v>MERCADIEU</v>
      </c>
      <c r="C24" s="133" t="str">
        <f>IFERROR(IF(config!G16="","",config!G16),"")</f>
        <v>Baptiste</v>
      </c>
      <c r="D24" s="134">
        <f>COUNTIF(P24:AS24,"p")</f>
        <v>0</v>
      </c>
      <c r="E24" s="123">
        <f>COUNTIF(P24:AS24,"PC")</f>
        <v>0</v>
      </c>
      <c r="F24" s="123">
        <f>COUNTIF(P24:AS24,"f")</f>
        <v>0</v>
      </c>
      <c r="G24" s="123">
        <f>COUNTIF(P24:AS24,"ast")</f>
        <v>0</v>
      </c>
      <c r="H24" s="123">
        <f>COUNTIF(P24:AS24,"cA")</f>
        <v>0</v>
      </c>
      <c r="I24" s="123">
        <f>COUNTIF(P24:AS24,"rtt")</f>
        <v>0</v>
      </c>
      <c r="J24" s="123">
        <f>COUNTIF(P24:AS24,"cex")</f>
        <v>0</v>
      </c>
      <c r="K24" s="123">
        <f>COUNTIF(P24:AS24,"res")</f>
        <v>0</v>
      </c>
      <c r="L24" s="123">
        <f>COUNTIF(P24:AS24,"mA")</f>
        <v>0</v>
      </c>
      <c r="M24" s="123">
        <f>COUNTIF(P24:AS24,"at")</f>
        <v>0</v>
      </c>
      <c r="N24" s="123">
        <f>COUNTIF(P24:AS24,"TAD")</f>
        <v>0</v>
      </c>
      <c r="O24" s="140">
        <f>COUNTIF(P24:AS24,"TP")</f>
        <v>0</v>
      </c>
      <c r="P24" s="91"/>
      <c r="Q24" s="21"/>
      <c r="R24" s="21"/>
      <c r="S24" s="95"/>
      <c r="T24" s="95"/>
      <c r="U24" s="21"/>
      <c r="V24" s="21"/>
      <c r="W24" s="21"/>
      <c r="X24" s="21"/>
      <c r="Y24" s="21"/>
      <c r="Z24" s="95"/>
      <c r="AA24" s="95"/>
      <c r="AB24" s="21"/>
      <c r="AC24" s="21"/>
      <c r="AD24" s="21"/>
      <c r="AE24" s="21"/>
      <c r="AF24" s="21"/>
      <c r="AG24" s="95"/>
      <c r="AH24" s="95"/>
      <c r="AI24" s="21"/>
      <c r="AJ24" s="21"/>
      <c r="AK24" s="21"/>
      <c r="AL24" s="21"/>
      <c r="AM24" s="21"/>
      <c r="AN24" s="95"/>
      <c r="AO24" s="95"/>
      <c r="AP24" s="21"/>
      <c r="AQ24" s="21"/>
      <c r="AR24" s="21"/>
      <c r="AS24" s="21"/>
      <c r="AT24" s="36"/>
    </row>
    <row r="25" spans="1:47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251"/>
    </row>
    <row r="26" spans="1:47" ht="20.100000000000001" customHeight="1" thickBot="1" x14ac:dyDescent="0.3">
      <c r="A26" s="33" t="str">
        <f>IFERROR(IF(config!E18="","",config!E18),"")</f>
        <v>C004845</v>
      </c>
      <c r="B26" s="40" t="str">
        <f>IFERROR(IF(config!F18="","",config!F18),"")</f>
        <v>GARCIA</v>
      </c>
      <c r="C26" s="102" t="str">
        <f>IFERROR(IF(config!G18="","",config!G18),"")</f>
        <v>Yoan</v>
      </c>
      <c r="D26" s="103">
        <f>COUNTIF(P26:AS26,"p")</f>
        <v>0</v>
      </c>
      <c r="E26" s="22">
        <f>COUNTIF(P26:AS26,"PC")</f>
        <v>0</v>
      </c>
      <c r="F26" s="22">
        <f>COUNTIF(P26:AS26,"f")</f>
        <v>0</v>
      </c>
      <c r="G26" s="22">
        <f>COUNTIF(P26:AS26,"ast")</f>
        <v>0</v>
      </c>
      <c r="H26" s="22">
        <f>COUNTIF(P26:AS26,"cA")</f>
        <v>0</v>
      </c>
      <c r="I26" s="22">
        <f>COUNTIF(P26:AS26,"rtt")</f>
        <v>0</v>
      </c>
      <c r="J26" s="22">
        <f>COUNTIF(P26:AS26,"cex")</f>
        <v>0</v>
      </c>
      <c r="K26" s="22">
        <f>COUNTIF(P26:AS26,"res")</f>
        <v>0</v>
      </c>
      <c r="L26" s="22">
        <f>COUNTIF(P26:AS26,"mA")</f>
        <v>0</v>
      </c>
      <c r="M26" s="22">
        <f>COUNTIF(P26:AS26,"at")</f>
        <v>0</v>
      </c>
      <c r="N26" s="22">
        <f>COUNTIF(P26:AS26,"TAD")</f>
        <v>0</v>
      </c>
      <c r="O26" s="106">
        <f>COUNTIF(P26:AS26,"TP")</f>
        <v>0</v>
      </c>
      <c r="P26" s="87"/>
      <c r="Q26" s="20"/>
      <c r="R26" s="20"/>
      <c r="S26" s="86"/>
      <c r="T26" s="86"/>
      <c r="U26" s="20"/>
      <c r="V26" s="20"/>
      <c r="W26" s="20"/>
      <c r="X26" s="20"/>
      <c r="Y26" s="20"/>
      <c r="Z26" s="86"/>
      <c r="AA26" s="86"/>
      <c r="AB26" s="20"/>
      <c r="AC26" s="20"/>
      <c r="AD26" s="20"/>
      <c r="AE26" s="20"/>
      <c r="AF26" s="20"/>
      <c r="AG26" s="86"/>
      <c r="AH26" s="86"/>
      <c r="AI26" s="20"/>
      <c r="AJ26" s="20"/>
      <c r="AK26" s="20"/>
      <c r="AL26" s="20"/>
      <c r="AM26" s="20"/>
      <c r="AN26" s="86"/>
      <c r="AO26" s="86"/>
      <c r="AP26" s="20"/>
      <c r="AQ26" s="20"/>
      <c r="AR26" s="20"/>
      <c r="AS26" s="20"/>
      <c r="AT26" s="34"/>
    </row>
    <row r="27" spans="1:47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92">
        <f>COUNTIF(P27:AS27,"TP")</f>
        <v>0</v>
      </c>
      <c r="P27" s="90"/>
      <c r="Q27" s="8"/>
      <c r="R27" s="8"/>
      <c r="S27" s="94"/>
      <c r="T27" s="94"/>
      <c r="U27" s="8"/>
      <c r="V27" s="8"/>
      <c r="W27" s="8"/>
      <c r="X27" s="8"/>
      <c r="Y27" s="8"/>
      <c r="Z27" s="94"/>
      <c r="AA27" s="94"/>
      <c r="AB27" s="8"/>
      <c r="AC27" s="8"/>
      <c r="AD27" s="8"/>
      <c r="AE27" s="8"/>
      <c r="AF27" s="8"/>
      <c r="AG27" s="94"/>
      <c r="AH27" s="94"/>
      <c r="AI27" s="8"/>
      <c r="AJ27" s="8"/>
      <c r="AK27" s="8"/>
      <c r="AL27" s="8"/>
      <c r="AM27" s="8"/>
      <c r="AN27" s="94"/>
      <c r="AO27" s="94"/>
      <c r="AP27" s="8"/>
      <c r="AQ27" s="8"/>
      <c r="AR27" s="8"/>
      <c r="AS27" s="8"/>
      <c r="AT27" s="35"/>
    </row>
    <row r="28" spans="1:47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92">
        <f>COUNTIF(P28:AS28,"TP")</f>
        <v>0</v>
      </c>
      <c r="P28" s="90"/>
      <c r="Q28" s="8"/>
      <c r="R28" s="8"/>
      <c r="S28" s="94"/>
      <c r="T28" s="94"/>
      <c r="U28" s="8"/>
      <c r="V28" s="8"/>
      <c r="W28" s="8"/>
      <c r="X28" s="8"/>
      <c r="Y28" s="8"/>
      <c r="Z28" s="94"/>
      <c r="AA28" s="94"/>
      <c r="AB28" s="8"/>
      <c r="AC28" s="8"/>
      <c r="AD28" s="8"/>
      <c r="AE28" s="8"/>
      <c r="AF28" s="8"/>
      <c r="AG28" s="94"/>
      <c r="AH28" s="94"/>
      <c r="AI28" s="8"/>
      <c r="AJ28" s="8"/>
      <c r="AK28" s="8"/>
      <c r="AL28" s="8"/>
      <c r="AM28" s="8"/>
      <c r="AN28" s="94"/>
      <c r="AO28" s="94"/>
      <c r="AP28" s="8"/>
      <c r="AQ28" s="8"/>
      <c r="AR28" s="8"/>
      <c r="AS28" s="8"/>
      <c r="AT28" s="35"/>
    </row>
    <row r="29" spans="1:47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40">
        <f>COUNTIF(P29:AS29,"TP")</f>
        <v>0</v>
      </c>
      <c r="P29" s="163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126"/>
    </row>
    <row r="30" spans="1:47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40"/>
      <c r="AR30" s="240"/>
      <c r="AS30" s="240"/>
      <c r="AT30" s="240"/>
    </row>
    <row r="31" spans="1:47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23">
        <f t="shared" ref="O31:O36" si="26">COUNTIF(P31:AS31,"TP")</f>
        <v>0</v>
      </c>
      <c r="P31" s="90"/>
      <c r="Q31" s="8"/>
      <c r="R31" s="8"/>
      <c r="S31" s="94"/>
      <c r="T31" s="94"/>
      <c r="U31" s="8"/>
      <c r="V31" s="8"/>
      <c r="W31" s="8"/>
      <c r="X31" s="8"/>
      <c r="Y31" s="8"/>
      <c r="Z31" s="94"/>
      <c r="AA31" s="94"/>
      <c r="AB31" s="8"/>
      <c r="AC31" s="8"/>
      <c r="AD31" s="8"/>
      <c r="AE31" s="8"/>
      <c r="AF31" s="8"/>
      <c r="AG31" s="94"/>
      <c r="AH31" s="94"/>
      <c r="AI31" s="8"/>
      <c r="AJ31" s="8"/>
      <c r="AK31" s="8"/>
      <c r="AL31" s="8"/>
      <c r="AM31" s="8"/>
      <c r="AN31" s="94"/>
      <c r="AO31" s="94"/>
      <c r="AP31" s="8"/>
      <c r="AQ31" s="8"/>
      <c r="AR31" s="8"/>
      <c r="AS31" s="8"/>
      <c r="AT31" s="35"/>
    </row>
    <row r="32" spans="1:47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23">
        <f t="shared" si="26"/>
        <v>0</v>
      </c>
      <c r="P32" s="90"/>
      <c r="Q32" s="8"/>
      <c r="R32" s="8"/>
      <c r="S32" s="94"/>
      <c r="T32" s="94"/>
      <c r="U32" s="8"/>
      <c r="V32" s="8"/>
      <c r="W32" s="8"/>
      <c r="X32" s="8"/>
      <c r="Y32" s="8"/>
      <c r="Z32" s="94"/>
      <c r="AA32" s="94"/>
      <c r="AB32" s="8"/>
      <c r="AC32" s="8"/>
      <c r="AD32" s="8"/>
      <c r="AE32" s="8"/>
      <c r="AF32" s="8"/>
      <c r="AG32" s="94"/>
      <c r="AH32" s="94"/>
      <c r="AI32" s="8"/>
      <c r="AJ32" s="8"/>
      <c r="AK32" s="8"/>
      <c r="AL32" s="8"/>
      <c r="AM32" s="8"/>
      <c r="AN32" s="94"/>
      <c r="AO32" s="94"/>
      <c r="AP32" s="8"/>
      <c r="AQ32" s="8"/>
      <c r="AR32" s="8"/>
      <c r="AS32" s="8"/>
      <c r="AT32" s="35"/>
    </row>
    <row r="33" spans="1:58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23">
        <f t="shared" si="26"/>
        <v>0</v>
      </c>
      <c r="P33" s="90"/>
      <c r="Q33" s="8"/>
      <c r="R33" s="8"/>
      <c r="S33" s="94"/>
      <c r="T33" s="94"/>
      <c r="U33" s="8"/>
      <c r="V33" s="8"/>
      <c r="W33" s="8"/>
      <c r="X33" s="8"/>
      <c r="Y33" s="8"/>
      <c r="Z33" s="94"/>
      <c r="AA33" s="94"/>
      <c r="AB33" s="8"/>
      <c r="AC33" s="8"/>
      <c r="AD33" s="8"/>
      <c r="AE33" s="8"/>
      <c r="AF33" s="8"/>
      <c r="AG33" s="94"/>
      <c r="AH33" s="94"/>
      <c r="AI33" s="8"/>
      <c r="AJ33" s="8"/>
      <c r="AK33" s="8"/>
      <c r="AL33" s="8"/>
      <c r="AM33" s="8"/>
      <c r="AN33" s="94"/>
      <c r="AO33" s="94"/>
      <c r="AP33" s="8"/>
      <c r="AQ33" s="8"/>
      <c r="AR33" s="8"/>
      <c r="AS33" s="8"/>
      <c r="AT33" s="35"/>
    </row>
    <row r="34" spans="1:58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23">
        <f t="shared" si="26"/>
        <v>0</v>
      </c>
      <c r="P34" s="90"/>
      <c r="Q34" s="8"/>
      <c r="R34" s="8"/>
      <c r="S34" s="94"/>
      <c r="T34" s="94"/>
      <c r="U34" s="8"/>
      <c r="V34" s="8"/>
      <c r="W34" s="8"/>
      <c r="X34" s="8"/>
      <c r="Y34" s="8"/>
      <c r="Z34" s="94"/>
      <c r="AA34" s="94"/>
      <c r="AB34" s="8"/>
      <c r="AC34" s="8"/>
      <c r="AD34" s="8"/>
      <c r="AE34" s="8"/>
      <c r="AF34" s="8"/>
      <c r="AG34" s="94"/>
      <c r="AH34" s="94"/>
      <c r="AI34" s="8"/>
      <c r="AJ34" s="8"/>
      <c r="AK34" s="8"/>
      <c r="AL34" s="8"/>
      <c r="AM34" s="8"/>
      <c r="AN34" s="94"/>
      <c r="AO34" s="94"/>
      <c r="AP34" s="8"/>
      <c r="AQ34" s="8"/>
      <c r="AR34" s="8"/>
      <c r="AS34" s="8"/>
      <c r="AT34" s="35"/>
    </row>
    <row r="35" spans="1:58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23">
        <f t="shared" si="26"/>
        <v>0</v>
      </c>
      <c r="P35" s="90"/>
      <c r="Q35" s="8"/>
      <c r="R35" s="8"/>
      <c r="S35" s="94"/>
      <c r="T35" s="94"/>
      <c r="U35" s="8"/>
      <c r="V35" s="8"/>
      <c r="W35" s="8"/>
      <c r="X35" s="8"/>
      <c r="Y35" s="8"/>
      <c r="Z35" s="94"/>
      <c r="AA35" s="94"/>
      <c r="AB35" s="8"/>
      <c r="AC35" s="8"/>
      <c r="AD35" s="8"/>
      <c r="AE35" s="8"/>
      <c r="AF35" s="8"/>
      <c r="AG35" s="94"/>
      <c r="AH35" s="94"/>
      <c r="AI35" s="8"/>
      <c r="AJ35" s="8"/>
      <c r="AK35" s="8"/>
      <c r="AL35" s="8"/>
      <c r="AM35" s="8"/>
      <c r="AN35" s="94"/>
      <c r="AO35" s="94"/>
      <c r="AP35" s="8"/>
      <c r="AQ35" s="8"/>
      <c r="AR35" s="8"/>
      <c r="AS35" s="8"/>
      <c r="AT35" s="35"/>
    </row>
    <row r="36" spans="1:58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23">
        <f t="shared" si="26"/>
        <v>0</v>
      </c>
      <c r="P36" s="90"/>
      <c r="Q36" s="8"/>
      <c r="R36" s="8"/>
      <c r="S36" s="94"/>
      <c r="T36" s="94"/>
      <c r="U36" s="8"/>
      <c r="V36" s="8"/>
      <c r="W36" s="8"/>
      <c r="X36" s="8"/>
      <c r="Y36" s="8"/>
      <c r="Z36" s="94"/>
      <c r="AA36" s="94"/>
      <c r="AB36" s="8"/>
      <c r="AC36" s="8"/>
      <c r="AD36" s="8"/>
      <c r="AE36" s="8"/>
      <c r="AF36" s="8"/>
      <c r="AG36" s="94"/>
      <c r="AH36" s="94"/>
      <c r="AI36" s="8"/>
      <c r="AJ36" s="8"/>
      <c r="AK36" s="8"/>
      <c r="AL36" s="8"/>
      <c r="AM36" s="8"/>
      <c r="AN36" s="94"/>
      <c r="AO36" s="94"/>
      <c r="AP36" s="8"/>
      <c r="AQ36" s="8"/>
      <c r="AR36" s="8"/>
      <c r="AS36" s="8"/>
      <c r="AT36" s="35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83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148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124"/>
      <c r="AV39" s="168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90"/>
      <c r="Q40" s="8"/>
      <c r="R40" s="8"/>
      <c r="S40" s="94"/>
      <c r="T40" s="94"/>
      <c r="U40" s="8"/>
      <c r="V40" s="8"/>
      <c r="W40" s="8"/>
      <c r="X40" s="8"/>
      <c r="Y40" s="8"/>
      <c r="Z40" s="94"/>
      <c r="AA40" s="94"/>
      <c r="AB40" s="8"/>
      <c r="AC40" s="8"/>
      <c r="AD40" s="8"/>
      <c r="AE40" s="8"/>
      <c r="AF40" s="8"/>
      <c r="AG40" s="94"/>
      <c r="AH40" s="94"/>
      <c r="AI40" s="8"/>
      <c r="AJ40" s="8"/>
      <c r="AK40" s="8"/>
      <c r="AL40" s="8"/>
      <c r="AM40" s="8"/>
      <c r="AN40" s="94"/>
      <c r="AO40" s="94"/>
      <c r="AP40" s="8"/>
      <c r="AQ40" s="8"/>
      <c r="AR40" s="8"/>
      <c r="AS40" s="8"/>
      <c r="AT40" s="35"/>
      <c r="AU40" s="19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30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90"/>
      <c r="Q41" s="8"/>
      <c r="R41" s="8"/>
      <c r="S41" s="94"/>
      <c r="T41" s="94"/>
      <c r="U41" s="8"/>
      <c r="V41" s="8"/>
      <c r="W41" s="8"/>
      <c r="X41" s="8"/>
      <c r="Y41" s="8"/>
      <c r="Z41" s="94"/>
      <c r="AA41" s="94"/>
      <c r="AB41" s="8"/>
      <c r="AC41" s="8"/>
      <c r="AD41" s="8"/>
      <c r="AE41" s="8"/>
      <c r="AF41" s="8"/>
      <c r="AG41" s="94"/>
      <c r="AH41" s="94"/>
      <c r="AI41" s="8"/>
      <c r="AJ41" s="8"/>
      <c r="AK41" s="8"/>
      <c r="AL41" s="8"/>
      <c r="AM41" s="8"/>
      <c r="AN41" s="94"/>
      <c r="AO41" s="94"/>
      <c r="AP41" s="8"/>
      <c r="AQ41" s="8"/>
      <c r="AR41" s="8"/>
      <c r="AS41" s="8"/>
      <c r="AT41" s="35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90"/>
      <c r="Q42" s="8"/>
      <c r="R42" s="8"/>
      <c r="S42" s="94"/>
      <c r="T42" s="94"/>
      <c r="U42" s="8"/>
      <c r="V42" s="8"/>
      <c r="W42" s="8"/>
      <c r="X42" s="8"/>
      <c r="Y42" s="8"/>
      <c r="Z42" s="94"/>
      <c r="AA42" s="94"/>
      <c r="AB42" s="8"/>
      <c r="AC42" s="8"/>
      <c r="AD42" s="8"/>
      <c r="AE42" s="8"/>
      <c r="AF42" s="8"/>
      <c r="AG42" s="94"/>
      <c r="AH42" s="94"/>
      <c r="AI42" s="8"/>
      <c r="AJ42" s="8"/>
      <c r="AK42" s="8"/>
      <c r="AL42" s="8"/>
      <c r="AM42" s="8"/>
      <c r="AN42" s="94"/>
      <c r="AO42" s="94"/>
      <c r="AP42" s="8"/>
      <c r="AQ42" s="8"/>
      <c r="AR42" s="8"/>
      <c r="AS42" s="8"/>
      <c r="AT42" s="35"/>
      <c r="AU42" s="19"/>
    </row>
    <row r="43" spans="1:58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90"/>
      <c r="Q43" s="8"/>
      <c r="R43" s="8"/>
      <c r="S43" s="94"/>
      <c r="T43" s="94"/>
      <c r="U43" s="8"/>
      <c r="V43" s="8"/>
      <c r="W43" s="8"/>
      <c r="X43" s="8"/>
      <c r="Y43" s="8"/>
      <c r="Z43" s="94"/>
      <c r="AA43" s="94"/>
      <c r="AB43" s="8"/>
      <c r="AC43" s="8"/>
      <c r="AD43" s="8"/>
      <c r="AE43" s="8"/>
      <c r="AF43" s="8"/>
      <c r="AG43" s="94"/>
      <c r="AH43" s="94"/>
      <c r="AI43" s="8"/>
      <c r="AJ43" s="8"/>
      <c r="AK43" s="8"/>
      <c r="AL43" s="8"/>
      <c r="AM43" s="8"/>
      <c r="AN43" s="94"/>
      <c r="AO43" s="94"/>
      <c r="AP43" s="8"/>
      <c r="AQ43" s="8"/>
      <c r="AR43" s="8"/>
      <c r="AS43" s="8"/>
      <c r="AT43" s="35"/>
    </row>
    <row r="44" spans="1:58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90"/>
      <c r="Q44" s="8"/>
      <c r="R44" s="8"/>
      <c r="S44" s="94"/>
      <c r="T44" s="94"/>
      <c r="U44" s="8"/>
      <c r="V44" s="8"/>
      <c r="W44" s="8"/>
      <c r="X44" s="8"/>
      <c r="Y44" s="8"/>
      <c r="Z44" s="94"/>
      <c r="AA44" s="94"/>
      <c r="AB44" s="8"/>
      <c r="AC44" s="8"/>
      <c r="AD44" s="8"/>
      <c r="AE44" s="8"/>
      <c r="AF44" s="8"/>
      <c r="AG44" s="94"/>
      <c r="AH44" s="94"/>
      <c r="AI44" s="8"/>
      <c r="AJ44" s="8"/>
      <c r="AK44" s="8"/>
      <c r="AL44" s="8"/>
      <c r="AM44" s="8"/>
      <c r="AN44" s="94"/>
      <c r="AO44" s="94"/>
      <c r="AP44" s="8"/>
      <c r="AQ44" s="8"/>
      <c r="AR44" s="8"/>
      <c r="AS44" s="8"/>
      <c r="AT44" s="35"/>
    </row>
    <row r="45" spans="1:58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30</v>
      </c>
      <c r="N45" s="20">
        <f t="shared" si="37"/>
        <v>0</v>
      </c>
      <c r="O45" s="92">
        <f t="shared" si="38"/>
        <v>0</v>
      </c>
      <c r="P45" s="90" t="s">
        <v>203</v>
      </c>
      <c r="Q45" s="8" t="s">
        <v>203</v>
      </c>
      <c r="R45" s="8" t="s">
        <v>203</v>
      </c>
      <c r="S45" s="8" t="s">
        <v>203</v>
      </c>
      <c r="T45" s="8" t="s">
        <v>203</v>
      </c>
      <c r="U45" s="8" t="s">
        <v>203</v>
      </c>
      <c r="V45" s="8" t="s">
        <v>203</v>
      </c>
      <c r="W45" s="8" t="s">
        <v>203</v>
      </c>
      <c r="X45" s="8" t="s">
        <v>203</v>
      </c>
      <c r="Y45" s="8" t="s">
        <v>203</v>
      </c>
      <c r="Z45" s="8" t="s">
        <v>203</v>
      </c>
      <c r="AA45" s="8" t="s">
        <v>203</v>
      </c>
      <c r="AB45" s="8" t="s">
        <v>203</v>
      </c>
      <c r="AC45" s="8" t="s">
        <v>203</v>
      </c>
      <c r="AD45" s="8" t="s">
        <v>203</v>
      </c>
      <c r="AE45" s="8" t="s">
        <v>203</v>
      </c>
      <c r="AF45" s="8" t="s">
        <v>203</v>
      </c>
      <c r="AG45" s="8" t="s">
        <v>203</v>
      </c>
      <c r="AH45" s="8" t="s">
        <v>203</v>
      </c>
      <c r="AI45" s="8" t="s">
        <v>203</v>
      </c>
      <c r="AJ45" s="8" t="s">
        <v>203</v>
      </c>
      <c r="AK45" s="8" t="s">
        <v>203</v>
      </c>
      <c r="AL45" s="8" t="s">
        <v>203</v>
      </c>
      <c r="AM45" s="8" t="s">
        <v>203</v>
      </c>
      <c r="AN45" s="8" t="s">
        <v>203</v>
      </c>
      <c r="AO45" s="8" t="s">
        <v>203</v>
      </c>
      <c r="AP45" s="8" t="s">
        <v>203</v>
      </c>
      <c r="AQ45" s="8" t="s">
        <v>203</v>
      </c>
      <c r="AR45" s="8" t="s">
        <v>203</v>
      </c>
      <c r="AS45" s="8" t="s">
        <v>203</v>
      </c>
      <c r="AT45" s="35" t="s">
        <v>203</v>
      </c>
    </row>
    <row r="46" spans="1:58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90"/>
      <c r="Q46" s="8"/>
      <c r="R46" s="8"/>
      <c r="S46" s="94"/>
      <c r="T46" s="94"/>
      <c r="U46" s="8"/>
      <c r="V46" s="8"/>
      <c r="W46" s="8"/>
      <c r="X46" s="8"/>
      <c r="Y46" s="8"/>
      <c r="Z46" s="94"/>
      <c r="AA46" s="94"/>
      <c r="AB46" s="8"/>
      <c r="AC46" s="8"/>
      <c r="AD46" s="8"/>
      <c r="AE46" s="8"/>
      <c r="AF46" s="8"/>
      <c r="AG46" s="94"/>
      <c r="AH46" s="94"/>
      <c r="AI46" s="8"/>
      <c r="AJ46" s="8"/>
      <c r="AK46" s="8"/>
      <c r="AL46" s="8"/>
      <c r="AM46" s="8"/>
      <c r="AN46" s="94"/>
      <c r="AO46" s="94"/>
      <c r="AP46" s="8"/>
      <c r="AQ46" s="8"/>
      <c r="AR46" s="8"/>
      <c r="AS46" s="8"/>
      <c r="AT46" s="35"/>
    </row>
    <row r="47" spans="1:58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90"/>
      <c r="Q47" s="8"/>
      <c r="R47" s="8"/>
      <c r="S47" s="94"/>
      <c r="T47" s="94"/>
      <c r="U47" s="8"/>
      <c r="V47" s="8"/>
      <c r="W47" s="8"/>
      <c r="X47" s="8"/>
      <c r="Y47" s="8"/>
      <c r="Z47" s="94"/>
      <c r="AA47" s="94"/>
      <c r="AB47" s="8"/>
      <c r="AC47" s="8"/>
      <c r="AD47" s="8"/>
      <c r="AE47" s="8"/>
      <c r="AF47" s="8"/>
      <c r="AG47" s="94"/>
      <c r="AH47" s="94"/>
      <c r="AI47" s="8"/>
      <c r="AJ47" s="8"/>
      <c r="AK47" s="8"/>
      <c r="AL47" s="8"/>
      <c r="AM47" s="8"/>
      <c r="AN47" s="94"/>
      <c r="AO47" s="94"/>
      <c r="AP47" s="8"/>
      <c r="AQ47" s="8"/>
      <c r="AR47" s="8"/>
      <c r="AS47" s="8"/>
      <c r="AT47" s="35"/>
    </row>
    <row r="48" spans="1:58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90"/>
      <c r="Q48" s="8"/>
      <c r="R48" s="8"/>
      <c r="S48" s="94"/>
      <c r="T48" s="94"/>
      <c r="U48" s="8"/>
      <c r="V48" s="8"/>
      <c r="W48" s="8"/>
      <c r="X48" s="8"/>
      <c r="Y48" s="8"/>
      <c r="Z48" s="94"/>
      <c r="AA48" s="94"/>
      <c r="AB48" s="8"/>
      <c r="AC48" s="8"/>
      <c r="AD48" s="8"/>
      <c r="AE48" s="8"/>
      <c r="AF48" s="8"/>
      <c r="AG48" s="94"/>
      <c r="AH48" s="94"/>
      <c r="AI48" s="8"/>
      <c r="AJ48" s="8"/>
      <c r="AK48" s="8"/>
      <c r="AL48" s="8"/>
      <c r="AM48" s="8"/>
      <c r="AN48" s="94"/>
      <c r="AO48" s="94"/>
      <c r="AP48" s="8"/>
      <c r="AQ48" s="8"/>
      <c r="AR48" s="8"/>
      <c r="AS48" s="8"/>
      <c r="AT48" s="35"/>
    </row>
    <row r="49" spans="1:58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91"/>
      <c r="Q49" s="21"/>
      <c r="R49" s="21"/>
      <c r="S49" s="95"/>
      <c r="T49" s="95"/>
      <c r="U49" s="21"/>
      <c r="V49" s="21"/>
      <c r="W49" s="21"/>
      <c r="X49" s="21"/>
      <c r="Y49" s="21"/>
      <c r="Z49" s="95"/>
      <c r="AA49" s="95"/>
      <c r="AB49" s="21"/>
      <c r="AC49" s="21"/>
      <c r="AD49" s="21"/>
      <c r="AE49" s="21"/>
      <c r="AF49" s="21"/>
      <c r="AG49" s="95"/>
      <c r="AH49" s="95"/>
      <c r="AI49" s="21"/>
      <c r="AJ49" s="21"/>
      <c r="AK49" s="21"/>
      <c r="AL49" s="21"/>
      <c r="AM49" s="21"/>
      <c r="AN49" s="95"/>
      <c r="AO49" s="95"/>
      <c r="AP49" s="21"/>
      <c r="AQ49" s="21"/>
      <c r="AR49" s="21"/>
      <c r="AS49" s="21"/>
      <c r="AT49" s="36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T50" s="144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103">
        <f t="shared" ref="D51:D62" si="39">COUNTIF(P51:AS51,"p")</f>
        <v>0</v>
      </c>
      <c r="E51" s="22">
        <f t="shared" ref="E51:E62" si="40">COUNTIF(P51:AS51,"PC")</f>
        <v>0</v>
      </c>
      <c r="F51" s="22">
        <f t="shared" ref="F51:F62" si="41">COUNTIF(P51:AS51,"f")</f>
        <v>0</v>
      </c>
      <c r="G51" s="22">
        <f t="shared" ref="G51:G62" si="42">COUNTIF(P51:AS51,"ast")</f>
        <v>0</v>
      </c>
      <c r="H51" s="22">
        <f t="shared" ref="H51:H62" si="43">COUNTIF(P51:AS51,"cA")</f>
        <v>0</v>
      </c>
      <c r="I51" s="22">
        <f t="shared" ref="I51:I62" si="44">COUNTIF(P51:AS51,"rtt")</f>
        <v>0</v>
      </c>
      <c r="J51" s="22">
        <f t="shared" ref="J51:J62" si="45">COUNTIF(P51:AS51,"cex")</f>
        <v>0</v>
      </c>
      <c r="K51" s="22">
        <f t="shared" ref="K51:K62" si="46">COUNTIF(P51:AS51,"res")</f>
        <v>0</v>
      </c>
      <c r="L51" s="22">
        <f t="shared" ref="L51:L62" si="47">COUNTIF(P51:AS51,"mA")</f>
        <v>0</v>
      </c>
      <c r="M51" s="22">
        <f t="shared" ref="M51:M62" si="48">COUNTIF(P51:AS51,"at")</f>
        <v>0</v>
      </c>
      <c r="N51" s="22">
        <f t="shared" ref="N51:N62" si="49">COUNTIF(P51:AS51,"TAD")</f>
        <v>0</v>
      </c>
      <c r="O51" s="106">
        <f t="shared" ref="O51:O62" si="50">COUNTIF(P51:AS51,"TP")</f>
        <v>0</v>
      </c>
      <c r="P51" s="87"/>
      <c r="Q51" s="20"/>
      <c r="R51" s="20"/>
      <c r="S51" s="86"/>
      <c r="T51" s="86"/>
      <c r="U51" s="20"/>
      <c r="V51" s="20"/>
      <c r="W51" s="20"/>
      <c r="X51" s="20"/>
      <c r="Y51" s="20"/>
      <c r="Z51" s="86"/>
      <c r="AA51" s="86"/>
      <c r="AB51" s="20"/>
      <c r="AC51" s="20"/>
      <c r="AD51" s="20"/>
      <c r="AE51" s="20"/>
      <c r="AF51" s="20"/>
      <c r="AG51" s="86"/>
      <c r="AH51" s="86"/>
      <c r="AI51" s="20"/>
      <c r="AJ51" s="20"/>
      <c r="AK51" s="20"/>
      <c r="AL51" s="20"/>
      <c r="AM51" s="20"/>
      <c r="AN51" s="86"/>
      <c r="AO51" s="86"/>
      <c r="AP51" s="20"/>
      <c r="AQ51" s="20"/>
      <c r="AR51" s="20"/>
      <c r="AS51" s="20"/>
      <c r="AT51" s="34"/>
      <c r="AV51" s="168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90"/>
      <c r="Q52" s="8"/>
      <c r="R52" s="8"/>
      <c r="S52" s="94"/>
      <c r="T52" s="94"/>
      <c r="U52" s="8"/>
      <c r="V52" s="8"/>
      <c r="W52" s="8"/>
      <c r="X52" s="8"/>
      <c r="Y52" s="8"/>
      <c r="Z52" s="94"/>
      <c r="AA52" s="94"/>
      <c r="AB52" s="8"/>
      <c r="AC52" s="8"/>
      <c r="AD52" s="8"/>
      <c r="AE52" s="8"/>
      <c r="AF52" s="8"/>
      <c r="AG52" s="94"/>
      <c r="AH52" s="94"/>
      <c r="AI52" s="8"/>
      <c r="AJ52" s="8"/>
      <c r="AK52" s="8"/>
      <c r="AL52" s="8"/>
      <c r="AM52" s="8"/>
      <c r="AN52" s="94"/>
      <c r="AO52" s="94"/>
      <c r="AP52" s="8"/>
      <c r="AQ52" s="8"/>
      <c r="AR52" s="8"/>
      <c r="AS52" s="8"/>
      <c r="AT52" s="35"/>
      <c r="AU52" s="19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0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90"/>
      <c r="Q53" s="8"/>
      <c r="R53" s="8"/>
      <c r="S53" s="94"/>
      <c r="T53" s="94"/>
      <c r="U53" s="8"/>
      <c r="V53" s="8"/>
      <c r="W53" s="8"/>
      <c r="X53" s="8"/>
      <c r="Y53" s="8"/>
      <c r="Z53" s="94"/>
      <c r="AA53" s="94"/>
      <c r="AB53" s="8"/>
      <c r="AC53" s="8"/>
      <c r="AD53" s="8"/>
      <c r="AE53" s="8"/>
      <c r="AF53" s="8"/>
      <c r="AG53" s="94"/>
      <c r="AH53" s="94"/>
      <c r="AI53" s="8"/>
      <c r="AJ53" s="8"/>
      <c r="AK53" s="8"/>
      <c r="AL53" s="8"/>
      <c r="AM53" s="8"/>
      <c r="AN53" s="94"/>
      <c r="AO53" s="94"/>
      <c r="AP53" s="8"/>
      <c r="AQ53" s="8"/>
      <c r="AR53" s="8"/>
      <c r="AS53" s="8"/>
      <c r="AT53" s="35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90"/>
      <c r="Q54" s="8"/>
      <c r="R54" s="8"/>
      <c r="S54" s="94"/>
      <c r="T54" s="94"/>
      <c r="U54" s="8"/>
      <c r="V54" s="8"/>
      <c r="W54" s="8"/>
      <c r="X54" s="8"/>
      <c r="Y54" s="8"/>
      <c r="Z54" s="94"/>
      <c r="AA54" s="94"/>
      <c r="AB54" s="8"/>
      <c r="AC54" s="8"/>
      <c r="AD54" s="8"/>
      <c r="AE54" s="8"/>
      <c r="AF54" s="8"/>
      <c r="AG54" s="94"/>
      <c r="AH54" s="94"/>
      <c r="AI54" s="8"/>
      <c r="AJ54" s="8"/>
      <c r="AK54" s="8"/>
      <c r="AL54" s="8"/>
      <c r="AM54" s="8"/>
      <c r="AN54" s="94"/>
      <c r="AO54" s="94"/>
      <c r="AP54" s="8"/>
      <c r="AQ54" s="8"/>
      <c r="AR54" s="8"/>
      <c r="AS54" s="8"/>
      <c r="AT54" s="35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90"/>
      <c r="Q55" s="8"/>
      <c r="R55" s="8"/>
      <c r="S55" s="94"/>
      <c r="T55" s="94"/>
      <c r="U55" s="8"/>
      <c r="V55" s="8"/>
      <c r="W55" s="8"/>
      <c r="X55" s="8"/>
      <c r="Y55" s="8"/>
      <c r="Z55" s="94"/>
      <c r="AA55" s="94"/>
      <c r="AB55" s="8"/>
      <c r="AC55" s="8"/>
      <c r="AD55" s="8"/>
      <c r="AE55" s="8"/>
      <c r="AF55" s="8"/>
      <c r="AG55" s="94"/>
      <c r="AH55" s="94"/>
      <c r="AI55" s="8"/>
      <c r="AJ55" s="8"/>
      <c r="AK55" s="8"/>
      <c r="AL55" s="8"/>
      <c r="AM55" s="8"/>
      <c r="AN55" s="94"/>
      <c r="AO55" s="94"/>
      <c r="AP55" s="8"/>
      <c r="AQ55" s="8"/>
      <c r="AR55" s="8"/>
      <c r="AS55" s="8"/>
      <c r="AT55" s="35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90"/>
      <c r="Q56" s="8"/>
      <c r="R56" s="8"/>
      <c r="S56" s="94"/>
      <c r="T56" s="94"/>
      <c r="U56" s="8"/>
      <c r="V56" s="8"/>
      <c r="W56" s="8"/>
      <c r="X56" s="8"/>
      <c r="Y56" s="8"/>
      <c r="Z56" s="94"/>
      <c r="AA56" s="94"/>
      <c r="AB56" s="8"/>
      <c r="AC56" s="8"/>
      <c r="AD56" s="8"/>
      <c r="AE56" s="8"/>
      <c r="AF56" s="8"/>
      <c r="AG56" s="94"/>
      <c r="AH56" s="94"/>
      <c r="AI56" s="8"/>
      <c r="AJ56" s="8"/>
      <c r="AK56" s="8"/>
      <c r="AL56" s="8"/>
      <c r="AM56" s="8"/>
      <c r="AN56" s="94"/>
      <c r="AO56" s="94"/>
      <c r="AP56" s="8"/>
      <c r="AQ56" s="8"/>
      <c r="AR56" s="8"/>
      <c r="AS56" s="8"/>
      <c r="AT56" s="35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90"/>
      <c r="Q57" s="8"/>
      <c r="R57" s="8"/>
      <c r="S57" s="94"/>
      <c r="T57" s="94"/>
      <c r="U57" s="8"/>
      <c r="V57" s="8"/>
      <c r="W57" s="8"/>
      <c r="X57" s="8"/>
      <c r="Y57" s="8"/>
      <c r="Z57" s="94"/>
      <c r="AA57" s="94"/>
      <c r="AB57" s="8"/>
      <c r="AC57" s="8"/>
      <c r="AD57" s="8"/>
      <c r="AE57" s="8"/>
      <c r="AF57" s="8"/>
      <c r="AG57" s="94"/>
      <c r="AH57" s="94"/>
      <c r="AI57" s="8"/>
      <c r="AJ57" s="8"/>
      <c r="AK57" s="8"/>
      <c r="AL57" s="8"/>
      <c r="AM57" s="8"/>
      <c r="AN57" s="94"/>
      <c r="AO57" s="94"/>
      <c r="AP57" s="8"/>
      <c r="AQ57" s="8"/>
      <c r="AR57" s="8"/>
      <c r="AS57" s="8"/>
      <c r="AT57" s="35"/>
      <c r="AU57" s="19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90"/>
      <c r="Q58" s="8"/>
      <c r="R58" s="8"/>
      <c r="S58" s="94"/>
      <c r="T58" s="94"/>
      <c r="U58" s="8"/>
      <c r="V58" s="8"/>
      <c r="W58" s="8"/>
      <c r="X58" s="8"/>
      <c r="Y58" s="8"/>
      <c r="Z58" s="94"/>
      <c r="AA58" s="94"/>
      <c r="AB58" s="8"/>
      <c r="AC58" s="8"/>
      <c r="AD58" s="8"/>
      <c r="AE58" s="8"/>
      <c r="AF58" s="8"/>
      <c r="AG58" s="94"/>
      <c r="AH58" s="94"/>
      <c r="AI58" s="8"/>
      <c r="AJ58" s="8"/>
      <c r="AK58" s="8"/>
      <c r="AL58" s="8"/>
      <c r="AM58" s="8"/>
      <c r="AN58" s="94"/>
      <c r="AO58" s="94"/>
      <c r="AP58" s="8"/>
      <c r="AQ58" s="8"/>
      <c r="AR58" s="8"/>
      <c r="AS58" s="8"/>
      <c r="AT58" s="35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90"/>
      <c r="Q59" s="8"/>
      <c r="R59" s="8"/>
      <c r="S59" s="94"/>
      <c r="T59" s="94"/>
      <c r="U59" s="8"/>
      <c r="V59" s="8"/>
      <c r="W59" s="8"/>
      <c r="X59" s="8"/>
      <c r="Y59" s="8"/>
      <c r="Z59" s="94"/>
      <c r="AA59" s="94"/>
      <c r="AB59" s="8"/>
      <c r="AC59" s="8"/>
      <c r="AD59" s="8"/>
      <c r="AE59" s="8"/>
      <c r="AF59" s="8"/>
      <c r="AG59" s="94"/>
      <c r="AH59" s="94"/>
      <c r="AI59" s="8"/>
      <c r="AJ59" s="8"/>
      <c r="AK59" s="8"/>
      <c r="AL59" s="8"/>
      <c r="AM59" s="8"/>
      <c r="AN59" s="94"/>
      <c r="AO59" s="94"/>
      <c r="AP59" s="8"/>
      <c r="AQ59" s="8"/>
      <c r="AR59" s="8"/>
      <c r="AS59" s="8"/>
      <c r="AT59" s="35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90"/>
      <c r="Q60" s="8"/>
      <c r="R60" s="8"/>
      <c r="S60" s="94"/>
      <c r="T60" s="94"/>
      <c r="U60" s="8"/>
      <c r="V60" s="8"/>
      <c r="W60" s="8"/>
      <c r="X60" s="8"/>
      <c r="Y60" s="8"/>
      <c r="Z60" s="94"/>
      <c r="AA60" s="94"/>
      <c r="AB60" s="8"/>
      <c r="AC60" s="8"/>
      <c r="AD60" s="8"/>
      <c r="AE60" s="8"/>
      <c r="AF60" s="8"/>
      <c r="AG60" s="94"/>
      <c r="AH60" s="94"/>
      <c r="AI60" s="8"/>
      <c r="AJ60" s="8"/>
      <c r="AK60" s="8"/>
      <c r="AL60" s="8"/>
      <c r="AM60" s="8"/>
      <c r="AN60" s="94"/>
      <c r="AO60" s="94"/>
      <c r="AP60" s="8"/>
      <c r="AQ60" s="8"/>
      <c r="AR60" s="8"/>
      <c r="AS60" s="8"/>
      <c r="AT60" s="35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90"/>
      <c r="Q61" s="8"/>
      <c r="R61" s="8"/>
      <c r="S61" s="94"/>
      <c r="T61" s="94"/>
      <c r="U61" s="8"/>
      <c r="V61" s="8"/>
      <c r="W61" s="8"/>
      <c r="X61" s="8"/>
      <c r="Y61" s="8"/>
      <c r="Z61" s="94"/>
      <c r="AA61" s="94"/>
      <c r="AB61" s="8"/>
      <c r="AC61" s="8"/>
      <c r="AD61" s="8"/>
      <c r="AE61" s="8"/>
      <c r="AF61" s="8"/>
      <c r="AG61" s="94"/>
      <c r="AH61" s="94"/>
      <c r="AI61" s="8"/>
      <c r="AJ61" s="8"/>
      <c r="AK61" s="8"/>
      <c r="AL61" s="8"/>
      <c r="AM61" s="8"/>
      <c r="AN61" s="94"/>
      <c r="AO61" s="94"/>
      <c r="AP61" s="8"/>
      <c r="AQ61" s="8"/>
      <c r="AR61" s="8"/>
      <c r="AS61" s="8"/>
      <c r="AT61" s="35"/>
    </row>
    <row r="62" spans="1:58" ht="20.100000000000001" customHeight="1" thickBot="1" x14ac:dyDescent="0.3">
      <c r="A62" s="203"/>
      <c r="B62" s="203"/>
      <c r="C62" s="204"/>
      <c r="D62" s="205">
        <f t="shared" si="39"/>
        <v>0</v>
      </c>
      <c r="E62" s="206">
        <f t="shared" si="40"/>
        <v>0</v>
      </c>
      <c r="F62" s="206">
        <f t="shared" si="41"/>
        <v>0</v>
      </c>
      <c r="G62" s="206">
        <f t="shared" si="42"/>
        <v>0</v>
      </c>
      <c r="H62" s="206">
        <f t="shared" si="43"/>
        <v>0</v>
      </c>
      <c r="I62" s="206">
        <f t="shared" si="44"/>
        <v>0</v>
      </c>
      <c r="J62" s="206">
        <f t="shared" si="45"/>
        <v>0</v>
      </c>
      <c r="K62" s="206">
        <f t="shared" si="46"/>
        <v>0</v>
      </c>
      <c r="L62" s="206">
        <f t="shared" si="47"/>
        <v>0</v>
      </c>
      <c r="M62" s="206">
        <f t="shared" si="48"/>
        <v>0</v>
      </c>
      <c r="N62" s="206">
        <f t="shared" si="49"/>
        <v>0</v>
      </c>
      <c r="O62" s="207">
        <f t="shared" si="50"/>
        <v>0</v>
      </c>
      <c r="P62" s="208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10"/>
    </row>
    <row r="63" spans="1:58" ht="20.100000000000001" customHeight="1" thickBot="1" x14ac:dyDescent="0.3">
      <c r="A63" s="299" t="str">
        <f>IFERROR(IF(config!E55="","",config!E55),"")</f>
        <v/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  <c r="AH63" s="300"/>
      <c r="AI63" s="300"/>
      <c r="AJ63" s="300"/>
      <c r="AK63" s="300"/>
      <c r="AL63" s="300"/>
      <c r="AM63" s="300"/>
      <c r="AN63" s="300"/>
      <c r="AO63" s="300"/>
      <c r="AP63" s="300"/>
      <c r="AQ63" s="300"/>
      <c r="AR63" s="300"/>
      <c r="AS63" s="300"/>
      <c r="AT63" s="301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87"/>
      <c r="Q64" s="20"/>
      <c r="R64" s="20"/>
      <c r="S64" s="86"/>
      <c r="T64" s="86"/>
      <c r="U64" s="20"/>
      <c r="V64" s="20"/>
      <c r="W64" s="20"/>
      <c r="X64" s="20"/>
      <c r="Y64" s="20"/>
      <c r="Z64" s="86"/>
      <c r="AA64" s="86"/>
      <c r="AB64" s="20"/>
      <c r="AC64" s="20"/>
      <c r="AD64" s="20"/>
      <c r="AE64" s="20"/>
      <c r="AF64" s="20"/>
      <c r="AG64" s="86"/>
      <c r="AH64" s="86"/>
      <c r="AI64" s="20"/>
      <c r="AJ64" s="20"/>
      <c r="AK64" s="20"/>
      <c r="AL64" s="20"/>
      <c r="AM64" s="20"/>
      <c r="AN64" s="86"/>
      <c r="AO64" s="86"/>
      <c r="AP64" s="20"/>
      <c r="AQ64" s="20"/>
      <c r="AR64" s="20"/>
      <c r="AS64" s="20"/>
      <c r="AT64" s="34"/>
      <c r="AV64" s="168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90"/>
      <c r="Q65" s="8"/>
      <c r="R65" s="8"/>
      <c r="S65" s="94"/>
      <c r="T65" s="94"/>
      <c r="U65" s="8"/>
      <c r="V65" s="8"/>
      <c r="W65" s="8"/>
      <c r="X65" s="8"/>
      <c r="Y65" s="8"/>
      <c r="Z65" s="94"/>
      <c r="AA65" s="94"/>
      <c r="AB65" s="8"/>
      <c r="AC65" s="8"/>
      <c r="AD65" s="8"/>
      <c r="AE65" s="8"/>
      <c r="AF65" s="8"/>
      <c r="AG65" s="94"/>
      <c r="AH65" s="94"/>
      <c r="AI65" s="8"/>
      <c r="AJ65" s="8"/>
      <c r="AK65" s="8"/>
      <c r="AL65" s="8"/>
      <c r="AM65" s="8"/>
      <c r="AN65" s="94"/>
      <c r="AO65" s="94"/>
      <c r="AP65" s="8"/>
      <c r="AQ65" s="8"/>
      <c r="AR65" s="8"/>
      <c r="AS65" s="8"/>
      <c r="AT65" s="35"/>
      <c r="AV65" s="19">
        <f>COUNTIF(P64:AS75,"P")</f>
        <v>0</v>
      </c>
      <c r="AW65" s="19">
        <f>COUNTIF(P64:AS75,"PC")</f>
        <v>0</v>
      </c>
      <c r="AX65" s="19">
        <f>COUNTIF(P64:AS75,"F")</f>
        <v>0</v>
      </c>
      <c r="AY65" s="19">
        <f>COUNTIF(P64:AS75,"AST")</f>
        <v>0</v>
      </c>
      <c r="AZ65" s="19">
        <f>COUNTIF(P64:AS75,"Ca")</f>
        <v>0</v>
      </c>
      <c r="BA65" s="19">
        <f>COUNTIF(P64:AS75,"RTT")</f>
        <v>0</v>
      </c>
      <c r="BB65" s="19">
        <f>COUNTIF(P64:AS75,"CEX")</f>
        <v>0</v>
      </c>
      <c r="BC65" s="19">
        <f>COUNTIF(P64:AS75,"RES")</f>
        <v>0</v>
      </c>
      <c r="BD65" s="19">
        <f>COUNTIF(P64:AS75,"MA")</f>
        <v>0</v>
      </c>
      <c r="BE65" s="19">
        <f>COUNTIF(P64:AS75,"AT")</f>
        <v>0</v>
      </c>
      <c r="BF65" s="19">
        <f>COUNTIF(P64:AS75,"TP")</f>
        <v>0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90"/>
      <c r="Q66" s="8"/>
      <c r="R66" s="8"/>
      <c r="S66" s="94"/>
      <c r="T66" s="94"/>
      <c r="U66" s="8"/>
      <c r="V66" s="8"/>
      <c r="W66" s="8"/>
      <c r="X66" s="8"/>
      <c r="Y66" s="8"/>
      <c r="Z66" s="94"/>
      <c r="AA66" s="94"/>
      <c r="AB66" s="8"/>
      <c r="AC66" s="8"/>
      <c r="AD66" s="8"/>
      <c r="AE66" s="8"/>
      <c r="AF66" s="8"/>
      <c r="AG66" s="94"/>
      <c r="AH66" s="94"/>
      <c r="AI66" s="8"/>
      <c r="AJ66" s="8"/>
      <c r="AK66" s="8"/>
      <c r="AL66" s="8"/>
      <c r="AM66" s="8"/>
      <c r="AN66" s="94"/>
      <c r="AO66" s="94"/>
      <c r="AP66" s="8"/>
      <c r="AQ66" s="8"/>
      <c r="AR66" s="8"/>
      <c r="AS66" s="8"/>
      <c r="AT66" s="35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90"/>
      <c r="Q67" s="8"/>
      <c r="R67" s="8"/>
      <c r="S67" s="94"/>
      <c r="T67" s="94"/>
      <c r="U67" s="8"/>
      <c r="V67" s="8"/>
      <c r="W67" s="8"/>
      <c r="X67" s="8"/>
      <c r="Y67" s="8"/>
      <c r="Z67" s="94"/>
      <c r="AA67" s="94"/>
      <c r="AB67" s="8"/>
      <c r="AC67" s="8"/>
      <c r="AD67" s="8"/>
      <c r="AE67" s="8"/>
      <c r="AF67" s="8"/>
      <c r="AG67" s="94"/>
      <c r="AH67" s="94"/>
      <c r="AI67" s="8"/>
      <c r="AJ67" s="8"/>
      <c r="AK67" s="8"/>
      <c r="AL67" s="8"/>
      <c r="AM67" s="8"/>
      <c r="AN67" s="94"/>
      <c r="AO67" s="94"/>
      <c r="AP67" s="8"/>
      <c r="AQ67" s="8"/>
      <c r="AR67" s="8"/>
      <c r="AS67" s="8"/>
      <c r="AT67" s="35"/>
    </row>
    <row r="68" spans="1:58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90"/>
      <c r="Q68" s="8"/>
      <c r="R68" s="8"/>
      <c r="S68" s="94"/>
      <c r="T68" s="94"/>
      <c r="U68" s="8"/>
      <c r="V68" s="8"/>
      <c r="W68" s="8"/>
      <c r="X68" s="8"/>
      <c r="Y68" s="8"/>
      <c r="Z68" s="94"/>
      <c r="AA68" s="94"/>
      <c r="AB68" s="8"/>
      <c r="AC68" s="8"/>
      <c r="AD68" s="8"/>
      <c r="AE68" s="8"/>
      <c r="AF68" s="8"/>
      <c r="AG68" s="94"/>
      <c r="AH68" s="94"/>
      <c r="AI68" s="8"/>
      <c r="AJ68" s="8"/>
      <c r="AK68" s="8"/>
      <c r="AL68" s="8"/>
      <c r="AM68" s="8"/>
      <c r="AN68" s="94"/>
      <c r="AO68" s="94"/>
      <c r="AP68" s="8"/>
      <c r="AQ68" s="8"/>
      <c r="AR68" s="8"/>
      <c r="AS68" s="8"/>
      <c r="AT68" s="35"/>
    </row>
    <row r="69" spans="1:58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8">
        <f t="shared" si="51"/>
        <v>0</v>
      </c>
      <c r="E69" s="89">
        <f t="shared" si="52"/>
        <v>0</v>
      </c>
      <c r="F69" s="89">
        <f t="shared" si="53"/>
        <v>0</v>
      </c>
      <c r="G69" s="89">
        <f t="shared" si="54"/>
        <v>0</v>
      </c>
      <c r="H69" s="89">
        <f t="shared" si="55"/>
        <v>0</v>
      </c>
      <c r="I69" s="89">
        <f t="shared" si="56"/>
        <v>0</v>
      </c>
      <c r="J69" s="89">
        <f t="shared" si="57"/>
        <v>0</v>
      </c>
      <c r="K69" s="89">
        <f t="shared" si="58"/>
        <v>0</v>
      </c>
      <c r="L69" s="89">
        <f t="shared" si="59"/>
        <v>0</v>
      </c>
      <c r="M69" s="89">
        <f t="shared" si="60"/>
        <v>0</v>
      </c>
      <c r="N69" s="89">
        <f t="shared" si="61"/>
        <v>0</v>
      </c>
      <c r="O69" s="93">
        <f t="shared" si="62"/>
        <v>0</v>
      </c>
      <c r="P69" s="91"/>
      <c r="Q69" s="21"/>
      <c r="R69" s="21"/>
      <c r="S69" s="95"/>
      <c r="T69" s="95"/>
      <c r="U69" s="21"/>
      <c r="V69" s="21"/>
      <c r="W69" s="21"/>
      <c r="X69" s="21"/>
      <c r="Y69" s="21"/>
      <c r="Z69" s="95"/>
      <c r="AA69" s="95"/>
      <c r="AB69" s="21"/>
      <c r="AC69" s="21"/>
      <c r="AD69" s="21"/>
      <c r="AE69" s="21"/>
      <c r="AF69" s="21"/>
      <c r="AG69" s="95"/>
      <c r="AH69" s="95"/>
      <c r="AI69" s="21"/>
      <c r="AJ69" s="21"/>
      <c r="AK69" s="21"/>
      <c r="AL69" s="21"/>
      <c r="AM69" s="21"/>
      <c r="AN69" s="95"/>
      <c r="AO69" s="95"/>
      <c r="AP69" s="21"/>
      <c r="AQ69" s="21"/>
      <c r="AR69" s="21"/>
      <c r="AS69" s="21"/>
      <c r="AT69" s="36"/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103" priority="565" operator="equal">
      <formula>"repos"</formula>
    </cfRule>
    <cfRule type="cellIs" dxfId="1102" priority="566" operator="equal">
      <formula>"permanence"</formula>
    </cfRule>
    <cfRule type="cellIs" dxfId="1101" priority="567" operator="equal">
      <formula>"dimanche"</formula>
    </cfRule>
    <cfRule type="cellIs" dxfId="1100" priority="568" operator="equal">
      <formula>"formation"</formula>
    </cfRule>
    <cfRule type="cellIs" dxfId="1099" priority="569" operator="equal">
      <formula>"conges exc"</formula>
    </cfRule>
    <cfRule type="cellIs" dxfId="1098" priority="570" operator="equal">
      <formula>"conges"</formula>
    </cfRule>
    <cfRule type="cellIs" dxfId="1097" priority="571" operator="equal">
      <formula>"asa"</formula>
    </cfRule>
    <cfRule type="cellIs" dxfId="1096" priority="572" operator="equal">
      <formula>"maladie / at"</formula>
    </cfRule>
    <cfRule type="cellIs" dxfId="1095" priority="573" operator="equal">
      <formula>"presence"</formula>
    </cfRule>
  </conditionalFormatting>
  <conditionalFormatting sqref="D11:O20 D23:O24 D26:O29 D31:O36 D39:O49 D51:O62 D64:O69">
    <cfRule type="cellIs" dxfId="1094" priority="574" operator="equal">
      <formula>0</formula>
    </cfRule>
  </conditionalFormatting>
  <conditionalFormatting sqref="P9:AT9">
    <cfRule type="expression" dxfId="1093" priority="576">
      <formula>OR(P$9=1, P$9=7)</formula>
    </cfRule>
  </conditionalFormatting>
  <conditionalFormatting sqref="P9:AT10">
    <cfRule type="expression" dxfId="1092" priority="575">
      <formula>OR(P$9=1,P$9=7)</formula>
    </cfRule>
  </conditionalFormatting>
  <conditionalFormatting sqref="P26:AT29 P31:AT36">
    <cfRule type="containsText" dxfId="1091" priority="1" operator="containsText" text="TP">
      <formula>NOT(ISERROR(SEARCH("TP",P26)))</formula>
    </cfRule>
    <cfRule type="containsText" priority="2" operator="containsText" text="TAD">
      <formula>NOT(ISERROR(SEARCH("TAD",P26)))</formula>
    </cfRule>
    <cfRule type="containsText" dxfId="1090" priority="3" operator="containsText" text="AT">
      <formula>NOT(ISERROR(SEARCH("AT",P26)))</formula>
    </cfRule>
    <cfRule type="containsText" dxfId="1089" priority="4" operator="containsText" text="MA">
      <formula>NOT(ISERROR(SEARCH("MA",P26)))</formula>
    </cfRule>
    <cfRule type="containsText" dxfId="1088" priority="5" operator="containsText" text="RES">
      <formula>NOT(ISERROR(SEARCH("RES",P26)))</formula>
    </cfRule>
    <cfRule type="containsText" dxfId="1087" priority="6" operator="containsText" text="CEX">
      <formula>NOT(ISERROR(SEARCH("CEX",P26)))</formula>
    </cfRule>
    <cfRule type="containsText" dxfId="1086" priority="7" operator="containsText" text="RTT">
      <formula>NOT(ISERROR(SEARCH("RTT",P26)))</formula>
    </cfRule>
    <cfRule type="beginsWith" dxfId="1085" priority="8" operator="beginsWith" text="CA">
      <formula>LEFT(P26,LEN("CA"))="CA"</formula>
    </cfRule>
    <cfRule type="containsText" dxfId="1084" priority="9" operator="containsText" text="AST">
      <formula>NOT(ISERROR(SEARCH("AST",P26)))</formula>
    </cfRule>
    <cfRule type="containsText" dxfId="1083" priority="10" operator="containsText" text="F">
      <formula>NOT(ISERROR(SEARCH("F",P26)))</formula>
    </cfRule>
    <cfRule type="containsText" dxfId="1082" priority="11" operator="containsText" text="PC">
      <formula>NOT(ISERROR(SEARCH("PC",P26)))</formula>
    </cfRule>
    <cfRule type="containsText" dxfId="1081" priority="12" operator="containsText" text="P">
      <formula>NOT(ISERROR(SEARCH("P",P26)))</formula>
    </cfRule>
  </conditionalFormatting>
  <conditionalFormatting sqref="P51:AT62">
    <cfRule type="containsText" dxfId="1080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1079" priority="15" operator="containsText" text="AT">
      <formula>NOT(ISERROR(SEARCH("AT",P51)))</formula>
    </cfRule>
    <cfRule type="containsText" dxfId="1078" priority="16" operator="containsText" text="MA">
      <formula>NOT(ISERROR(SEARCH("MA",P51)))</formula>
    </cfRule>
    <cfRule type="containsText" dxfId="1077" priority="17" operator="containsText" text="RES">
      <formula>NOT(ISERROR(SEARCH("RES",P51)))</formula>
    </cfRule>
    <cfRule type="containsText" dxfId="1076" priority="18" operator="containsText" text="CEX">
      <formula>NOT(ISERROR(SEARCH("CEX",P51)))</formula>
    </cfRule>
    <cfRule type="containsText" dxfId="1075" priority="19" operator="containsText" text="RTT">
      <formula>NOT(ISERROR(SEARCH("RTT",P51)))</formula>
    </cfRule>
    <cfRule type="beginsWith" dxfId="1074" priority="20" operator="beginsWith" text="CA">
      <formula>LEFT(P51,LEN("CA"))="CA"</formula>
    </cfRule>
    <cfRule type="containsText" dxfId="1073" priority="21" operator="containsText" text="AST">
      <formula>NOT(ISERROR(SEARCH("AST",P51)))</formula>
    </cfRule>
    <cfRule type="containsText" dxfId="1072" priority="22" operator="containsText" text="F">
      <formula>NOT(ISERROR(SEARCH("F",P51)))</formula>
    </cfRule>
    <cfRule type="containsText" dxfId="1071" priority="23" operator="containsText" text="PC">
      <formula>NOT(ISERROR(SEARCH("PC",P51)))</formula>
    </cfRule>
    <cfRule type="containsText" dxfId="1070" priority="24" operator="containsText" text="P">
      <formula>NOT(ISERROR(SEARCH("P",P51)))</formula>
    </cfRule>
  </conditionalFormatting>
  <conditionalFormatting sqref="P64:AT69">
    <cfRule type="containsText" dxfId="1069" priority="37" operator="containsText" text="TP">
      <formula>NOT(ISERROR(SEARCH("TP",P64)))</formula>
    </cfRule>
    <cfRule type="containsText" priority="38" operator="containsText" text="TAD">
      <formula>NOT(ISERROR(SEARCH("TAD",P64)))</formula>
    </cfRule>
    <cfRule type="containsText" dxfId="1068" priority="39" operator="containsText" text="AT">
      <formula>NOT(ISERROR(SEARCH("AT",P64)))</formula>
    </cfRule>
    <cfRule type="containsText" dxfId="1067" priority="40" operator="containsText" text="MA">
      <formula>NOT(ISERROR(SEARCH("MA",P64)))</formula>
    </cfRule>
    <cfRule type="containsText" dxfId="1066" priority="41" operator="containsText" text="RES">
      <formula>NOT(ISERROR(SEARCH("RES",P64)))</formula>
    </cfRule>
    <cfRule type="containsText" dxfId="1065" priority="42" operator="containsText" text="CEX">
      <formula>NOT(ISERROR(SEARCH("CEX",P64)))</formula>
    </cfRule>
    <cfRule type="containsText" dxfId="1064" priority="43" operator="containsText" text="RTT">
      <formula>NOT(ISERROR(SEARCH("RTT",P64)))</formula>
    </cfRule>
    <cfRule type="beginsWith" dxfId="1063" priority="44" operator="beginsWith" text="CA">
      <formula>LEFT(P64,LEN("CA"))="CA"</formula>
    </cfRule>
    <cfRule type="containsText" dxfId="1062" priority="45" operator="containsText" text="AST">
      <formula>NOT(ISERROR(SEARCH("AST",P64)))</formula>
    </cfRule>
    <cfRule type="containsText" dxfId="1061" priority="46" operator="containsText" text="F">
      <formula>NOT(ISERROR(SEARCH("F",P64)))</formula>
    </cfRule>
    <cfRule type="containsText" dxfId="1060" priority="47" operator="containsText" text="PC">
      <formula>NOT(ISERROR(SEARCH("PC",P64)))</formula>
    </cfRule>
    <cfRule type="containsText" dxfId="1059" priority="48" operator="containsText" text="P">
      <formula>NOT(ISERROR(SEARCH("P",P64)))</formula>
    </cfRule>
  </conditionalFormatting>
  <conditionalFormatting sqref="P11:AU20 P23:AT24 P39:AT49">
    <cfRule type="containsText" dxfId="1058" priority="229" operator="containsText" text="TP">
      <formula>NOT(ISERROR(SEARCH("TP",P11)))</formula>
    </cfRule>
    <cfRule type="containsText" priority="230" operator="containsText" text="TAD">
      <formula>NOT(ISERROR(SEARCH("TAD",P11)))</formula>
    </cfRule>
    <cfRule type="containsText" dxfId="1057" priority="231" operator="containsText" text="AT">
      <formula>NOT(ISERROR(SEARCH("AT",P11)))</formula>
    </cfRule>
    <cfRule type="containsText" dxfId="1056" priority="232" operator="containsText" text="MA">
      <formula>NOT(ISERROR(SEARCH("MA",P11)))</formula>
    </cfRule>
    <cfRule type="containsText" dxfId="1055" priority="233" operator="containsText" text="RES">
      <formula>NOT(ISERROR(SEARCH("RES",P11)))</formula>
    </cfRule>
    <cfRule type="containsText" dxfId="1054" priority="234" operator="containsText" text="CEX">
      <formula>NOT(ISERROR(SEARCH("CEX",P11)))</formula>
    </cfRule>
    <cfRule type="containsText" dxfId="1053" priority="235" operator="containsText" text="RTT">
      <formula>NOT(ISERROR(SEARCH("RTT",P11)))</formula>
    </cfRule>
    <cfRule type="beginsWith" dxfId="1052" priority="236" operator="beginsWith" text="CA">
      <formula>LEFT(P11,LEN("CA"))="CA"</formula>
    </cfRule>
    <cfRule type="containsText" dxfId="1051" priority="237" operator="containsText" text="AST">
      <formula>NOT(ISERROR(SEARCH("AST",P11)))</formula>
    </cfRule>
    <cfRule type="containsText" dxfId="1050" priority="238" operator="containsText" text="F">
      <formula>NOT(ISERROR(SEARCH("F",P11)))</formula>
    </cfRule>
    <cfRule type="containsText" dxfId="1049" priority="239" operator="containsText" text="PC">
      <formula>NOT(ISERROR(SEARCH("PC",P11)))</formula>
    </cfRule>
    <cfRule type="containsText" dxfId="1048" priority="240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400-000000000000}">
      <formula1>"P,M,A,C,CEX,F,R,T,8H"</formula1>
    </dataValidation>
    <dataValidation type="list" allowBlank="1" showInputMessage="1" showErrorMessage="1" sqref="T78" xr:uid="{00000000-0002-0000-0400-000001000000}">
      <formula1>$D$9:$O$9</formula1>
    </dataValidation>
    <dataValidation type="list" allowBlank="1" showInputMessage="1" showErrorMessage="1" sqref="P11:AU20 P23:AT24 P26:AT29 P31:AT36 P39:AT49 P51:AT62 P64:AT69" xr:uid="{00000000-0002-0000-04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F78"/>
  <sheetViews>
    <sheetView zoomScale="85" zoomScaleNormal="85" workbookViewId="0">
      <pane ySplit="10" topLeftCell="A31" activePane="bottomLeft" state="frozen"/>
      <selection pane="bottomLeft" activeCell="P39" sqref="P39:AT49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6" width="4.2851562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config!B9</f>
        <v>46143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config!C9</f>
        <v>46173</v>
      </c>
    </row>
    <row r="3" spans="1:58" ht="15" customHeight="1" x14ac:dyDescent="0.25">
      <c r="A3" s="27"/>
    </row>
    <row r="4" spans="1:58" ht="56.25" customHeight="1" x14ac:dyDescent="0.25">
      <c r="A4" s="27"/>
      <c r="P4" s="28">
        <f>A1</f>
        <v>46143</v>
      </c>
      <c r="Q4" s="28">
        <f t="shared" ref="Q4:AT4" si="0">P4+1</f>
        <v>46144</v>
      </c>
      <c r="R4" s="28">
        <f t="shared" si="0"/>
        <v>46145</v>
      </c>
      <c r="S4" s="28">
        <f t="shared" si="0"/>
        <v>46146</v>
      </c>
      <c r="T4" s="28">
        <f t="shared" si="0"/>
        <v>46147</v>
      </c>
      <c r="U4" s="28">
        <f t="shared" si="0"/>
        <v>46148</v>
      </c>
      <c r="V4" s="28">
        <f t="shared" si="0"/>
        <v>46149</v>
      </c>
      <c r="W4" s="28">
        <f t="shared" si="0"/>
        <v>46150</v>
      </c>
      <c r="X4" s="28">
        <f t="shared" si="0"/>
        <v>46151</v>
      </c>
      <c r="Y4" s="28">
        <f t="shared" si="0"/>
        <v>46152</v>
      </c>
      <c r="Z4" s="28">
        <f t="shared" si="0"/>
        <v>46153</v>
      </c>
      <c r="AA4" s="28">
        <f t="shared" si="0"/>
        <v>46154</v>
      </c>
      <c r="AB4" s="28">
        <f t="shared" si="0"/>
        <v>46155</v>
      </c>
      <c r="AC4" s="28">
        <f t="shared" si="0"/>
        <v>46156</v>
      </c>
      <c r="AD4" s="28">
        <f t="shared" si="0"/>
        <v>46157</v>
      </c>
      <c r="AE4" s="28">
        <f t="shared" si="0"/>
        <v>46158</v>
      </c>
      <c r="AF4" s="28">
        <f t="shared" si="0"/>
        <v>46159</v>
      </c>
      <c r="AG4" s="28">
        <f t="shared" si="0"/>
        <v>46160</v>
      </c>
      <c r="AH4" s="28">
        <f t="shared" si="0"/>
        <v>46161</v>
      </c>
      <c r="AI4" s="28">
        <f t="shared" si="0"/>
        <v>46162</v>
      </c>
      <c r="AJ4" s="28">
        <f t="shared" si="0"/>
        <v>46163</v>
      </c>
      <c r="AK4" s="28">
        <f t="shared" si="0"/>
        <v>46164</v>
      </c>
      <c r="AL4" s="28">
        <f t="shared" si="0"/>
        <v>46165</v>
      </c>
      <c r="AM4" s="28">
        <f t="shared" si="0"/>
        <v>46166</v>
      </c>
      <c r="AN4" s="28">
        <f t="shared" si="0"/>
        <v>46167</v>
      </c>
      <c r="AO4" s="28">
        <f t="shared" si="0"/>
        <v>46168</v>
      </c>
      <c r="AP4" s="28">
        <f t="shared" si="0"/>
        <v>46169</v>
      </c>
      <c r="AQ4" s="28">
        <f t="shared" si="0"/>
        <v>46170</v>
      </c>
      <c r="AR4" s="28">
        <f t="shared" si="0"/>
        <v>46171</v>
      </c>
      <c r="AS4" s="28">
        <f t="shared" si="0"/>
        <v>46172</v>
      </c>
      <c r="AT4" s="28">
        <f t="shared" si="0"/>
        <v>46173</v>
      </c>
      <c r="AU4" s="28"/>
      <c r="AV4" s="27"/>
      <c r="AW4" s="27"/>
      <c r="AX4" s="27"/>
      <c r="AY4" s="27"/>
      <c r="AZ4" s="27"/>
      <c r="BA4" s="27"/>
      <c r="BB4" s="27"/>
    </row>
    <row r="5" spans="1:58" ht="15.75" customHeight="1" x14ac:dyDescent="0.25">
      <c r="A5" s="295" t="str">
        <f>TEXT(A1,"mmmmmmmmmmmm")</f>
        <v>mai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3"/>
    </row>
    <row r="6" spans="1:58" ht="24.95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3"/>
    </row>
    <row r="7" spans="1:58" ht="15" hidden="1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3"/>
    </row>
    <row r="8" spans="1:58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08" t="s">
        <v>192</v>
      </c>
      <c r="Q8" s="18"/>
      <c r="R8" s="18"/>
      <c r="S8" s="18"/>
      <c r="T8" s="18"/>
      <c r="U8" s="18"/>
      <c r="V8" s="18"/>
      <c r="W8" s="108" t="s">
        <v>192</v>
      </c>
      <c r="X8" s="18"/>
      <c r="Y8" s="18"/>
      <c r="Z8" s="18"/>
      <c r="AA8" s="18"/>
      <c r="AB8" s="18"/>
      <c r="AC8" s="108" t="s">
        <v>192</v>
      </c>
      <c r="AD8" s="18"/>
      <c r="AE8" s="18"/>
      <c r="AF8" s="18"/>
      <c r="AG8" s="18"/>
      <c r="AH8" s="18"/>
      <c r="AI8" s="121"/>
      <c r="AJ8" s="164"/>
      <c r="AK8" s="121"/>
      <c r="AL8" s="121"/>
      <c r="AM8" s="121"/>
      <c r="AN8" s="108" t="s">
        <v>192</v>
      </c>
      <c r="AO8" s="121"/>
      <c r="AP8" s="121"/>
      <c r="AQ8" s="121"/>
      <c r="AR8" s="164"/>
      <c r="AS8" s="121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109">
        <f t="shared" ref="P9:AT9" si="1">IFERROR(WEEKDAY(P4),"")</f>
        <v>6</v>
      </c>
      <c r="Q9" s="44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09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09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28">
        <f t="shared" si="1"/>
        <v>1</v>
      </c>
      <c r="AN9" s="109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24">
        <f t="shared" si="1"/>
        <v>7</v>
      </c>
      <c r="AT9" s="24">
        <f t="shared" si="1"/>
        <v>1</v>
      </c>
      <c r="AU9" s="26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110">
        <f t="shared" ref="P10:AT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10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10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10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5">
        <f t="shared" si="2"/>
        <v>31</v>
      </c>
      <c r="AU10" s="26"/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117"/>
      <c r="Q11" s="86"/>
      <c r="R11" s="86"/>
      <c r="S11" s="20"/>
      <c r="T11" s="20"/>
      <c r="U11" s="20"/>
      <c r="V11" s="20"/>
      <c r="W11" s="111"/>
      <c r="X11" s="86"/>
      <c r="Y11" s="86"/>
      <c r="Z11" s="20"/>
      <c r="AA11" s="20"/>
      <c r="AB11" s="20"/>
      <c r="AC11" s="111"/>
      <c r="AD11" s="20"/>
      <c r="AE11" s="86"/>
      <c r="AF11" s="86"/>
      <c r="AG11" s="20"/>
      <c r="AH11" s="20"/>
      <c r="AI11" s="20"/>
      <c r="AJ11" s="20"/>
      <c r="AK11" s="20"/>
      <c r="AL11" s="86"/>
      <c r="AM11" s="86"/>
      <c r="AN11" s="111"/>
      <c r="AO11" s="20"/>
      <c r="AP11" s="20"/>
      <c r="AQ11" s="20"/>
      <c r="AR11" s="20"/>
      <c r="AS11" s="86"/>
      <c r="AT11" s="124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1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118"/>
      <c r="Q12" s="94"/>
      <c r="R12" s="94"/>
      <c r="S12" s="8"/>
      <c r="T12" s="8"/>
      <c r="U12" s="8"/>
      <c r="V12" s="8"/>
      <c r="W12" s="112"/>
      <c r="X12" s="94"/>
      <c r="Y12" s="94"/>
      <c r="Z12" s="8"/>
      <c r="AA12" s="8"/>
      <c r="AB12" s="8"/>
      <c r="AC12" s="112"/>
      <c r="AD12" s="8" t="s">
        <v>195</v>
      </c>
      <c r="AE12" s="94"/>
      <c r="AF12" s="94"/>
      <c r="AG12" s="8"/>
      <c r="AH12" s="8"/>
      <c r="AI12" s="8"/>
      <c r="AJ12" s="8"/>
      <c r="AK12" s="8"/>
      <c r="AL12" s="94"/>
      <c r="AM12" s="94"/>
      <c r="AN12" s="112"/>
      <c r="AO12" s="8"/>
      <c r="AP12" s="8"/>
      <c r="AQ12" s="8"/>
      <c r="AR12" s="8"/>
      <c r="AS12" s="94"/>
      <c r="AT12" s="125"/>
      <c r="AV12" s="15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118"/>
      <c r="Q13" s="94"/>
      <c r="R13" s="94"/>
      <c r="S13" s="8"/>
      <c r="T13" s="8"/>
      <c r="U13" s="8"/>
      <c r="V13" s="8"/>
      <c r="W13" s="112"/>
      <c r="X13" s="94"/>
      <c r="Y13" s="94"/>
      <c r="Z13" s="8"/>
      <c r="AA13" s="8"/>
      <c r="AB13" s="8"/>
      <c r="AC13" s="112"/>
      <c r="AD13" s="8"/>
      <c r="AE13" s="94"/>
      <c r="AF13" s="94"/>
      <c r="AG13" s="8"/>
      <c r="AH13" s="8"/>
      <c r="AI13" s="8"/>
      <c r="AJ13" s="8"/>
      <c r="AK13" s="8"/>
      <c r="AL13" s="94"/>
      <c r="AM13" s="94"/>
      <c r="AN13" s="112"/>
      <c r="AO13" s="8"/>
      <c r="AP13" s="8"/>
      <c r="AQ13" s="8"/>
      <c r="AR13" s="8"/>
      <c r="AS13" s="94"/>
      <c r="AT13" s="125"/>
      <c r="AV13" s="19">
        <f>COUNTIF(P11:AS29,"p")</f>
        <v>0</v>
      </c>
      <c r="AW13" s="19">
        <f>COUNTIF(P11:AS29,"PC")</f>
        <v>1</v>
      </c>
      <c r="AX13" s="19">
        <f>COUNTIF(P11:AS29,"f")</f>
        <v>0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118"/>
      <c r="Q14" s="94"/>
      <c r="R14" s="94"/>
      <c r="S14" s="8"/>
      <c r="T14" s="8"/>
      <c r="U14" s="8"/>
      <c r="V14" s="8"/>
      <c r="W14" s="112"/>
      <c r="X14" s="94"/>
      <c r="Y14" s="94"/>
      <c r="Z14" s="8"/>
      <c r="AA14" s="8"/>
      <c r="AB14" s="8"/>
      <c r="AC14" s="112"/>
      <c r="AD14" s="8"/>
      <c r="AE14" s="94"/>
      <c r="AF14" s="94"/>
      <c r="AG14" s="8"/>
      <c r="AH14" s="8"/>
      <c r="AI14" s="8"/>
      <c r="AJ14" s="8"/>
      <c r="AK14" s="8"/>
      <c r="AL14" s="94"/>
      <c r="AM14" s="94"/>
      <c r="AN14" s="112"/>
      <c r="AO14" s="8"/>
      <c r="AP14" s="8"/>
      <c r="AQ14" s="8"/>
      <c r="AR14" s="8"/>
      <c r="AS14" s="94"/>
      <c r="AT14" s="125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118"/>
      <c r="Q15" s="94"/>
      <c r="R15" s="94"/>
      <c r="S15" s="8"/>
      <c r="T15" s="8"/>
      <c r="U15" s="8"/>
      <c r="V15" s="8"/>
      <c r="W15" s="112"/>
      <c r="X15" s="94"/>
      <c r="Y15" s="94"/>
      <c r="Z15" s="8"/>
      <c r="AA15" s="8"/>
      <c r="AB15" s="8"/>
      <c r="AC15" s="112"/>
      <c r="AD15" s="8"/>
      <c r="AE15" s="94"/>
      <c r="AF15" s="94"/>
      <c r="AG15" s="8"/>
      <c r="AH15" s="8"/>
      <c r="AI15" s="8"/>
      <c r="AJ15" s="8"/>
      <c r="AK15" s="8"/>
      <c r="AL15" s="94"/>
      <c r="AM15" s="94"/>
      <c r="AN15" s="112"/>
      <c r="AO15" s="8"/>
      <c r="AP15" s="8"/>
      <c r="AQ15" s="8"/>
      <c r="AR15" s="8"/>
      <c r="AS15" s="94"/>
      <c r="AT15" s="125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118"/>
      <c r="Q16" s="94"/>
      <c r="R16" s="94"/>
      <c r="S16" s="8"/>
      <c r="T16" s="8"/>
      <c r="U16" s="8"/>
      <c r="V16" s="8"/>
      <c r="W16" s="112"/>
      <c r="X16" s="94"/>
      <c r="Y16" s="94"/>
      <c r="Z16" s="8"/>
      <c r="AA16" s="8"/>
      <c r="AB16" s="8"/>
      <c r="AC16" s="112"/>
      <c r="AD16" s="8"/>
      <c r="AE16" s="94"/>
      <c r="AF16" s="94"/>
      <c r="AG16" s="8"/>
      <c r="AH16" s="8"/>
      <c r="AI16" s="8"/>
      <c r="AJ16" s="8"/>
      <c r="AK16" s="8"/>
      <c r="AL16" s="94"/>
      <c r="AM16" s="94"/>
      <c r="AN16" s="112"/>
      <c r="AO16" s="8"/>
      <c r="AP16" s="8"/>
      <c r="AQ16" s="8"/>
      <c r="AR16" s="8"/>
      <c r="AS16" s="94"/>
      <c r="AT16" s="125"/>
    </row>
    <row r="17" spans="1:46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118"/>
      <c r="Q17" s="94"/>
      <c r="R17" s="94"/>
      <c r="S17" s="8"/>
      <c r="T17" s="8"/>
      <c r="U17" s="8"/>
      <c r="V17" s="8"/>
      <c r="W17" s="112"/>
      <c r="X17" s="94"/>
      <c r="Y17" s="94"/>
      <c r="Z17" s="8"/>
      <c r="AA17" s="8"/>
      <c r="AB17" s="8"/>
      <c r="AC17" s="112"/>
      <c r="AD17" s="8"/>
      <c r="AE17" s="94"/>
      <c r="AF17" s="94"/>
      <c r="AG17" s="8"/>
      <c r="AH17" s="8"/>
      <c r="AI17" s="8"/>
      <c r="AJ17" s="8"/>
      <c r="AK17" s="8"/>
      <c r="AL17" s="94"/>
      <c r="AM17" s="94"/>
      <c r="AN17" s="112"/>
      <c r="AO17" s="8"/>
      <c r="AP17" s="8"/>
      <c r="AQ17" s="8"/>
      <c r="AR17" s="8"/>
      <c r="AS17" s="94"/>
      <c r="AT17" s="125"/>
    </row>
    <row r="18" spans="1:46" ht="20.100000000000001" customHeight="1" thickBot="1" x14ac:dyDescent="0.3">
      <c r="A18" s="200"/>
      <c r="B18" s="201"/>
      <c r="C18" s="202"/>
      <c r="D18" s="213">
        <f t="shared" si="3"/>
        <v>0</v>
      </c>
      <c r="E18" s="214">
        <f t="shared" si="4"/>
        <v>0</v>
      </c>
      <c r="F18" s="214">
        <f t="shared" si="5"/>
        <v>0</v>
      </c>
      <c r="G18" s="214">
        <f t="shared" si="6"/>
        <v>0</v>
      </c>
      <c r="H18" s="214">
        <f t="shared" si="7"/>
        <v>0</v>
      </c>
      <c r="I18" s="214">
        <f t="shared" si="8"/>
        <v>0</v>
      </c>
      <c r="J18" s="214">
        <f t="shared" si="9"/>
        <v>0</v>
      </c>
      <c r="K18" s="214">
        <f t="shared" si="10"/>
        <v>0</v>
      </c>
      <c r="L18" s="214">
        <f t="shared" si="11"/>
        <v>0</v>
      </c>
      <c r="M18" s="214">
        <f t="shared" si="12"/>
        <v>0</v>
      </c>
      <c r="N18" s="214">
        <f t="shared" si="13"/>
        <v>0</v>
      </c>
      <c r="O18" s="215">
        <f t="shared" si="14"/>
        <v>0</v>
      </c>
      <c r="P18" s="216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8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9"/>
    </row>
    <row r="19" spans="1:46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118"/>
      <c r="Q19" s="94"/>
      <c r="R19" s="94"/>
      <c r="S19" s="8"/>
      <c r="T19" s="8"/>
      <c r="U19" s="8"/>
      <c r="V19" s="8"/>
      <c r="W19" s="112"/>
      <c r="X19" s="94"/>
      <c r="Y19" s="94"/>
      <c r="Z19" s="8"/>
      <c r="AA19" s="8"/>
      <c r="AB19" s="8"/>
      <c r="AC19" s="112"/>
      <c r="AD19" s="8"/>
      <c r="AE19" s="94"/>
      <c r="AF19" s="94"/>
      <c r="AG19" s="8"/>
      <c r="AH19" s="8"/>
      <c r="AI19" s="8"/>
      <c r="AJ19" s="8"/>
      <c r="AK19" s="8"/>
      <c r="AL19" s="94"/>
      <c r="AM19" s="94"/>
      <c r="AN19" s="112"/>
      <c r="AO19" s="8"/>
      <c r="AP19" s="8"/>
      <c r="AQ19" s="8"/>
      <c r="AR19" s="8"/>
      <c r="AS19" s="94"/>
      <c r="AT19" s="125"/>
    </row>
    <row r="20" spans="1:46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119"/>
      <c r="Q20" s="95"/>
      <c r="R20" s="95"/>
      <c r="S20" s="21"/>
      <c r="T20" s="21"/>
      <c r="U20" s="21"/>
      <c r="V20" s="21"/>
      <c r="W20" s="113"/>
      <c r="X20" s="95"/>
      <c r="Y20" s="95"/>
      <c r="Z20" s="21"/>
      <c r="AA20" s="21"/>
      <c r="AB20" s="21"/>
      <c r="AC20" s="113"/>
      <c r="AD20" s="21"/>
      <c r="AE20" s="95"/>
      <c r="AF20" s="95"/>
      <c r="AG20" s="21"/>
      <c r="AH20" s="21"/>
      <c r="AI20" s="21"/>
      <c r="AJ20" s="21"/>
      <c r="AK20" s="21"/>
      <c r="AL20" s="95"/>
      <c r="AM20" s="95"/>
      <c r="AN20" s="113"/>
      <c r="AO20" s="21"/>
      <c r="AP20" s="21"/>
      <c r="AQ20" s="21"/>
      <c r="AR20" s="21"/>
      <c r="AS20" s="95"/>
      <c r="AT20" s="126"/>
    </row>
    <row r="21" spans="1:46" ht="20.100000000000001" customHeight="1" thickBot="1" x14ac:dyDescent="0.3">
      <c r="A21" s="54" t="str">
        <f>IFERROR(IF(config!E13="","",config!E13),"")</f>
        <v>MAINTENANCE</v>
      </c>
      <c r="B21" s="55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100"/>
      <c r="AR21" s="100"/>
      <c r="AS21" s="100"/>
      <c r="AT21" s="100"/>
    </row>
    <row r="22" spans="1:46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  <c r="AT22" s="97"/>
    </row>
    <row r="23" spans="1:46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92">
        <f>COUNTIF(P23:AS23,"TP")</f>
        <v>0</v>
      </c>
      <c r="P23" s="118"/>
      <c r="Q23" s="94"/>
      <c r="R23" s="94"/>
      <c r="S23" s="8"/>
      <c r="T23" s="8"/>
      <c r="U23" s="8"/>
      <c r="V23" s="8"/>
      <c r="W23" s="112"/>
      <c r="X23" s="94"/>
      <c r="Y23" s="94"/>
      <c r="Z23" s="8"/>
      <c r="AA23" s="8"/>
      <c r="AB23" s="8"/>
      <c r="AC23" s="112"/>
      <c r="AD23" s="8"/>
      <c r="AE23" s="94"/>
      <c r="AF23" s="94"/>
      <c r="AG23" s="8"/>
      <c r="AH23" s="8"/>
      <c r="AI23" s="8"/>
      <c r="AJ23" s="8"/>
      <c r="AK23" s="8"/>
      <c r="AL23" s="94"/>
      <c r="AM23" s="94"/>
      <c r="AN23" s="112"/>
      <c r="AO23" s="8"/>
      <c r="AP23" s="8"/>
      <c r="AQ23" s="8"/>
      <c r="AR23" s="8"/>
      <c r="AS23" s="94"/>
      <c r="AT23" s="125"/>
    </row>
    <row r="24" spans="1:46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7">
        <f>COUNTIF(P24:AS24,"p")</f>
        <v>0</v>
      </c>
      <c r="E24" s="20">
        <f>COUNTIF(P24:AS24,"PC")</f>
        <v>0</v>
      </c>
      <c r="F24" s="20">
        <f>COUNTIF(P24:AS24,"f")</f>
        <v>0</v>
      </c>
      <c r="G24" s="20">
        <f>COUNTIF(P24:AS24,"ast")</f>
        <v>0</v>
      </c>
      <c r="H24" s="20">
        <f>COUNTIF(P24:AS24,"cA")</f>
        <v>0</v>
      </c>
      <c r="I24" s="20">
        <f>COUNTIF(P24:AS24,"rtt")</f>
        <v>0</v>
      </c>
      <c r="J24" s="20">
        <f>COUNTIF(P24:AS24,"cex")</f>
        <v>0</v>
      </c>
      <c r="K24" s="20">
        <f>COUNTIF(P24:AS24,"res")</f>
        <v>0</v>
      </c>
      <c r="L24" s="20">
        <f>COUNTIF(P24:AS24,"mA")</f>
        <v>0</v>
      </c>
      <c r="M24" s="20">
        <f>COUNTIF(P24:AS24,"at")</f>
        <v>0</v>
      </c>
      <c r="N24" s="20">
        <f>COUNTIF(P24:AS24,"TAD")</f>
        <v>0</v>
      </c>
      <c r="O24" s="92">
        <f>COUNTIF(P24:AS24,"TP")</f>
        <v>0</v>
      </c>
      <c r="P24" s="118"/>
      <c r="Q24" s="94"/>
      <c r="R24" s="94"/>
      <c r="S24" s="8"/>
      <c r="T24" s="8"/>
      <c r="U24" s="8"/>
      <c r="V24" s="8"/>
      <c r="W24" s="112"/>
      <c r="X24" s="94"/>
      <c r="Y24" s="94"/>
      <c r="Z24" s="8"/>
      <c r="AA24" s="8"/>
      <c r="AB24" s="8"/>
      <c r="AC24" s="112"/>
      <c r="AD24" s="8"/>
      <c r="AE24" s="94"/>
      <c r="AF24" s="94"/>
      <c r="AG24" s="8"/>
      <c r="AH24" s="8"/>
      <c r="AI24" s="8"/>
      <c r="AJ24" s="8"/>
      <c r="AK24" s="8"/>
      <c r="AL24" s="94"/>
      <c r="AM24" s="94"/>
      <c r="AN24" s="112"/>
      <c r="AO24" s="8"/>
      <c r="AP24" s="8"/>
      <c r="AQ24" s="8"/>
      <c r="AR24" s="8"/>
      <c r="AS24" s="94"/>
      <c r="AT24" s="125"/>
    </row>
    <row r="25" spans="1:46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</row>
    <row r="26" spans="1:46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20">
        <f>COUNTIF(P26:AS26,"TP")</f>
        <v>0</v>
      </c>
      <c r="P26" s="118"/>
      <c r="Q26" s="94"/>
      <c r="R26" s="94"/>
      <c r="S26" s="8"/>
      <c r="T26" s="8"/>
      <c r="U26" s="8"/>
      <c r="V26" s="8"/>
      <c r="W26" s="112"/>
      <c r="X26" s="94"/>
      <c r="Y26" s="94"/>
      <c r="Z26" s="8"/>
      <c r="AA26" s="8"/>
      <c r="AB26" s="8"/>
      <c r="AC26" s="112"/>
      <c r="AD26" s="8"/>
      <c r="AE26" s="94"/>
      <c r="AF26" s="94"/>
      <c r="AG26" s="8"/>
      <c r="AH26" s="8"/>
      <c r="AI26" s="8"/>
      <c r="AJ26" s="8"/>
      <c r="AK26" s="8"/>
      <c r="AL26" s="94"/>
      <c r="AM26" s="94"/>
      <c r="AN26" s="112"/>
      <c r="AO26" s="8"/>
      <c r="AP26" s="8"/>
      <c r="AQ26" s="8"/>
      <c r="AR26" s="8"/>
      <c r="AS26" s="94"/>
      <c r="AT26" s="125"/>
    </row>
    <row r="27" spans="1:46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118"/>
      <c r="Q27" s="94"/>
      <c r="R27" s="94"/>
      <c r="S27" s="8"/>
      <c r="T27" s="8"/>
      <c r="U27" s="8"/>
      <c r="V27" s="8"/>
      <c r="W27" s="112"/>
      <c r="X27" s="94"/>
      <c r="Y27" s="94"/>
      <c r="Z27" s="8"/>
      <c r="AA27" s="8"/>
      <c r="AB27" s="8"/>
      <c r="AC27" s="112"/>
      <c r="AD27" s="8"/>
      <c r="AE27" s="94"/>
      <c r="AF27" s="94"/>
      <c r="AG27" s="8"/>
      <c r="AH27" s="8"/>
      <c r="AI27" s="8"/>
      <c r="AJ27" s="8"/>
      <c r="AK27" s="8"/>
      <c r="AL27" s="94"/>
      <c r="AM27" s="94"/>
      <c r="AN27" s="112"/>
      <c r="AO27" s="8"/>
      <c r="AP27" s="8"/>
      <c r="AQ27" s="8"/>
      <c r="AR27" s="8"/>
      <c r="AS27" s="94"/>
      <c r="AT27" s="125"/>
    </row>
    <row r="28" spans="1:46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118"/>
      <c r="Q28" s="94"/>
      <c r="R28" s="94"/>
      <c r="S28" s="8"/>
      <c r="T28" s="8"/>
      <c r="U28" s="8"/>
      <c r="V28" s="8"/>
      <c r="W28" s="112"/>
      <c r="X28" s="94"/>
      <c r="Y28" s="94"/>
      <c r="Z28" s="8"/>
      <c r="AA28" s="8"/>
      <c r="AB28" s="8"/>
      <c r="AC28" s="112"/>
      <c r="AD28" s="8"/>
      <c r="AE28" s="94"/>
      <c r="AF28" s="94"/>
      <c r="AG28" s="8"/>
      <c r="AH28" s="8"/>
      <c r="AI28" s="8"/>
      <c r="AJ28" s="8"/>
      <c r="AK28" s="8"/>
      <c r="AL28" s="94"/>
      <c r="AM28" s="94"/>
      <c r="AN28" s="112"/>
      <c r="AO28" s="8"/>
      <c r="AP28" s="8"/>
      <c r="AQ28" s="8"/>
      <c r="AR28" s="8"/>
      <c r="AS28" s="94"/>
      <c r="AT28" s="125"/>
    </row>
    <row r="29" spans="1:46" ht="20.100000000000001" customHeight="1" thickBot="1" x14ac:dyDescent="0.3">
      <c r="A29" s="236" t="str">
        <f>IFERROR(IF(config!E21="","",config!E21),"")</f>
        <v>C005216</v>
      </c>
      <c r="B29" s="237" t="str">
        <f>IFERROR(IF(config!F21="","",config!F21),"")</f>
        <v>PIEL</v>
      </c>
      <c r="C29" s="238" t="str">
        <f>IFERROR(IF(config!G21="","",config!G21),"")</f>
        <v>Frédy</v>
      </c>
      <c r="D29" s="87">
        <f>COUNTIF(P29:AS29,"p")</f>
        <v>0</v>
      </c>
      <c r="E29" s="20">
        <f>COUNTIF(P29:AS29,"PC")</f>
        <v>0</v>
      </c>
      <c r="F29" s="20">
        <f>COUNTIF(P29:AS29,"f")</f>
        <v>0</v>
      </c>
      <c r="G29" s="20">
        <f>COUNTIF(P29:AS29,"ast")</f>
        <v>0</v>
      </c>
      <c r="H29" s="20">
        <f>COUNTIF(P29:AS29,"cA")</f>
        <v>0</v>
      </c>
      <c r="I29" s="20">
        <f>COUNTIF(P29:AS29,"rtt")</f>
        <v>0</v>
      </c>
      <c r="J29" s="20">
        <f>COUNTIF(P29:AS29,"cex")</f>
        <v>0</v>
      </c>
      <c r="K29" s="20">
        <f>COUNTIF(P29:AS29,"res")</f>
        <v>0</v>
      </c>
      <c r="L29" s="20">
        <f>COUNTIF(P29:AS29,"mA")</f>
        <v>0</v>
      </c>
      <c r="M29" s="20">
        <f>COUNTIF(P29:AS29,"at")</f>
        <v>0</v>
      </c>
      <c r="N29" s="20">
        <f>COUNTIF(P29:AS29,"TAD")</f>
        <v>0</v>
      </c>
      <c r="O29" s="20">
        <f>COUNTIF(P29:AS29,"TP")</f>
        <v>0</v>
      </c>
      <c r="P29" s="122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125"/>
    </row>
    <row r="30" spans="1:46" ht="20.100000000000001" customHeight="1" thickBot="1" x14ac:dyDescent="0.3">
      <c r="A30" s="220" t="str">
        <f>IFERROR(IF(config!E22="","",config!E22),"")</f>
        <v>PROPRETE</v>
      </c>
      <c r="B30" s="221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40"/>
      <c r="AR30" s="240"/>
      <c r="AS30" s="240"/>
      <c r="AT30" s="240"/>
    </row>
    <row r="31" spans="1:46" ht="20.100000000000001" customHeight="1" thickBot="1" x14ac:dyDescent="0.3">
      <c r="A31" s="30" t="str">
        <f>IFERROR(IF(config!E23="","",config!E23),"")</f>
        <v>JN020502</v>
      </c>
      <c r="B31" s="41" t="str">
        <f>IFERROR(IF(config!F23="","",config!F23),"")</f>
        <v>GOURVIAT</v>
      </c>
      <c r="C31" s="68" t="str">
        <f>IFERROR(IF(config!G23="","",config!G23),"")</f>
        <v>Annabelle</v>
      </c>
      <c r="D31" s="87">
        <f t="shared" ref="D31:D36" si="15">COUNTIF(P31:AS31,"p")</f>
        <v>0</v>
      </c>
      <c r="E31" s="20">
        <f t="shared" ref="E31:E36" si="16">COUNTIF(P31:AS31,"PC")</f>
        <v>0</v>
      </c>
      <c r="F31" s="20">
        <f t="shared" ref="F31:F36" si="17">COUNTIF(P31:AS31,"f")</f>
        <v>0</v>
      </c>
      <c r="G31" s="20">
        <f t="shared" ref="G31:G36" si="18">COUNTIF(P31:AS31,"ast")</f>
        <v>0</v>
      </c>
      <c r="H31" s="20">
        <f t="shared" ref="H31:H36" si="19">COUNTIF(P31:AS31,"cA")</f>
        <v>0</v>
      </c>
      <c r="I31" s="20">
        <f t="shared" ref="I31:I36" si="20">COUNTIF(P31:AS31,"rtt")</f>
        <v>0</v>
      </c>
      <c r="J31" s="20">
        <f t="shared" ref="J31:J36" si="21">COUNTIF(P31:AS31,"cex")</f>
        <v>0</v>
      </c>
      <c r="K31" s="20">
        <f t="shared" ref="K31:K36" si="22">COUNTIF(P31:AS31,"res")</f>
        <v>0</v>
      </c>
      <c r="L31" s="20">
        <f t="shared" ref="L31:L36" si="23">COUNTIF(P31:AS31,"mA")</f>
        <v>0</v>
      </c>
      <c r="M31" s="20">
        <f t="shared" ref="M31:M36" si="24">COUNTIF(P31:AS31,"at")</f>
        <v>0</v>
      </c>
      <c r="N31" s="20">
        <f t="shared" ref="N31:N36" si="25">COUNTIF(P31:AS31,"TAD")</f>
        <v>0</v>
      </c>
      <c r="O31" s="20">
        <f t="shared" ref="O31:O36" si="26">COUNTIF(P31:AS31,"TP")</f>
        <v>0</v>
      </c>
      <c r="P31" s="118"/>
      <c r="Q31" s="94"/>
      <c r="R31" s="94"/>
      <c r="S31" s="8"/>
      <c r="T31" s="8"/>
      <c r="U31" s="8"/>
      <c r="V31" s="8"/>
      <c r="W31" s="112"/>
      <c r="X31" s="94"/>
      <c r="Y31" s="94"/>
      <c r="Z31" s="8"/>
      <c r="AA31" s="8"/>
      <c r="AB31" s="8"/>
      <c r="AC31" s="112"/>
      <c r="AD31" s="8"/>
      <c r="AE31" s="94"/>
      <c r="AF31" s="94"/>
      <c r="AG31" s="8"/>
      <c r="AH31" s="8"/>
      <c r="AI31" s="8"/>
      <c r="AJ31" s="8"/>
      <c r="AK31" s="8"/>
      <c r="AL31" s="94"/>
      <c r="AM31" s="94"/>
      <c r="AN31" s="112"/>
      <c r="AO31" s="8"/>
      <c r="AP31" s="8"/>
      <c r="AQ31" s="8"/>
      <c r="AR31" s="8"/>
      <c r="AS31" s="94"/>
      <c r="AT31" s="125"/>
    </row>
    <row r="32" spans="1:46" ht="20.100000000000001" customHeight="1" thickBot="1" x14ac:dyDescent="0.3">
      <c r="A32" s="30" t="str">
        <f>IFERROR(IF(config!E24="","",config!E24),"")</f>
        <v>JT032516</v>
      </c>
      <c r="B32" s="41" t="str">
        <f>IFERROR(IF(config!F24="","",config!F24),"")</f>
        <v>LARTIGUE</v>
      </c>
      <c r="C32" s="68" t="str">
        <f>IFERROR(IF(config!G24="","",config!G24),"")</f>
        <v>Laura</v>
      </c>
      <c r="D32" s="87">
        <f t="shared" si="15"/>
        <v>0</v>
      </c>
      <c r="E32" s="20">
        <f t="shared" si="16"/>
        <v>0</v>
      </c>
      <c r="F32" s="20">
        <f t="shared" si="17"/>
        <v>0</v>
      </c>
      <c r="G32" s="20">
        <f t="shared" si="18"/>
        <v>0</v>
      </c>
      <c r="H32" s="20">
        <f t="shared" si="19"/>
        <v>0</v>
      </c>
      <c r="I32" s="20">
        <f t="shared" si="20"/>
        <v>0</v>
      </c>
      <c r="J32" s="20">
        <f t="shared" si="21"/>
        <v>0</v>
      </c>
      <c r="K32" s="20">
        <f t="shared" si="22"/>
        <v>0</v>
      </c>
      <c r="L32" s="20">
        <f t="shared" si="23"/>
        <v>0</v>
      </c>
      <c r="M32" s="20">
        <f t="shared" si="24"/>
        <v>0</v>
      </c>
      <c r="N32" s="20">
        <f t="shared" si="25"/>
        <v>0</v>
      </c>
      <c r="O32" s="20">
        <f t="shared" si="26"/>
        <v>0</v>
      </c>
      <c r="P32" s="118"/>
      <c r="Q32" s="94"/>
      <c r="R32" s="94"/>
      <c r="S32" s="8"/>
      <c r="T32" s="8"/>
      <c r="U32" s="8"/>
      <c r="V32" s="8"/>
      <c r="W32" s="112"/>
      <c r="X32" s="94"/>
      <c r="Y32" s="94"/>
      <c r="Z32" s="8"/>
      <c r="AA32" s="8"/>
      <c r="AB32" s="8"/>
      <c r="AC32" s="112"/>
      <c r="AD32" s="8"/>
      <c r="AE32" s="94"/>
      <c r="AF32" s="94"/>
      <c r="AG32" s="8"/>
      <c r="AH32" s="8"/>
      <c r="AI32" s="8"/>
      <c r="AJ32" s="8"/>
      <c r="AK32" s="8"/>
      <c r="AL32" s="94"/>
      <c r="AM32" s="94"/>
      <c r="AN32" s="112"/>
      <c r="AO32" s="8"/>
      <c r="AP32" s="8"/>
      <c r="AQ32" s="8"/>
      <c r="AR32" s="8"/>
      <c r="AS32" s="94"/>
      <c r="AT32" s="125"/>
    </row>
    <row r="33" spans="1:58" ht="20.100000000000001" customHeight="1" thickBot="1" x14ac:dyDescent="0.3">
      <c r="A33" s="30" t="str">
        <f>IFERROR(IF(config!E25="","",config!E25),"")</f>
        <v>JN010897</v>
      </c>
      <c r="B33" s="41" t="str">
        <f>IFERROR(IF(config!F25="","",config!F25),"")</f>
        <v>TRIQUENEAUX</v>
      </c>
      <c r="C33" s="68" t="str">
        <f>IFERROR(IF(config!G25="","",config!G25),"")</f>
        <v>Benoit</v>
      </c>
      <c r="D33" s="87">
        <f t="shared" si="15"/>
        <v>0</v>
      </c>
      <c r="E33" s="20">
        <f t="shared" si="16"/>
        <v>0</v>
      </c>
      <c r="F33" s="20">
        <f t="shared" si="17"/>
        <v>0</v>
      </c>
      <c r="G33" s="20">
        <f t="shared" si="18"/>
        <v>0</v>
      </c>
      <c r="H33" s="20">
        <f t="shared" si="19"/>
        <v>0</v>
      </c>
      <c r="I33" s="20">
        <f t="shared" si="20"/>
        <v>0</v>
      </c>
      <c r="J33" s="20">
        <f t="shared" si="21"/>
        <v>0</v>
      </c>
      <c r="K33" s="20">
        <f t="shared" si="22"/>
        <v>0</v>
      </c>
      <c r="L33" s="20">
        <f t="shared" si="23"/>
        <v>0</v>
      </c>
      <c r="M33" s="20">
        <f t="shared" si="24"/>
        <v>0</v>
      </c>
      <c r="N33" s="20">
        <f t="shared" si="25"/>
        <v>0</v>
      </c>
      <c r="O33" s="20">
        <f t="shared" si="26"/>
        <v>0</v>
      </c>
      <c r="P33" s="118"/>
      <c r="Q33" s="94"/>
      <c r="R33" s="94"/>
      <c r="S33" s="8"/>
      <c r="T33" s="8"/>
      <c r="U33" s="8"/>
      <c r="V33" s="8"/>
      <c r="W33" s="112"/>
      <c r="X33" s="94"/>
      <c r="Y33" s="94"/>
      <c r="Z33" s="8"/>
      <c r="AA33" s="8"/>
      <c r="AB33" s="8"/>
      <c r="AC33" s="112"/>
      <c r="AD33" s="8"/>
      <c r="AE33" s="94"/>
      <c r="AF33" s="94"/>
      <c r="AG33" s="8"/>
      <c r="AH33" s="8"/>
      <c r="AI33" s="8"/>
      <c r="AJ33" s="8"/>
      <c r="AK33" s="8"/>
      <c r="AL33" s="94"/>
      <c r="AM33" s="94"/>
      <c r="AN33" s="112"/>
      <c r="AO33" s="8"/>
      <c r="AP33" s="8"/>
      <c r="AQ33" s="8"/>
      <c r="AR33" s="8"/>
      <c r="AS33" s="94"/>
      <c r="AT33" s="125"/>
    </row>
    <row r="34" spans="1:58" ht="20.100000000000001" customHeight="1" thickBot="1" x14ac:dyDescent="0.3">
      <c r="A34" s="30" t="str">
        <f>IFERROR(IF(config!E26="","",config!E26),"")</f>
        <v>JN010381</v>
      </c>
      <c r="B34" s="41" t="str">
        <f>IFERROR(IF(config!F26="","",config!F26),"")</f>
        <v>ESPERON</v>
      </c>
      <c r="C34" s="68" t="str">
        <f>IFERROR(IF(config!G26="","",config!G26),"")</f>
        <v>Alain</v>
      </c>
      <c r="D34" s="87">
        <f t="shared" si="15"/>
        <v>0</v>
      </c>
      <c r="E34" s="20">
        <f t="shared" si="16"/>
        <v>0</v>
      </c>
      <c r="F34" s="20">
        <f t="shared" si="17"/>
        <v>0</v>
      </c>
      <c r="G34" s="20">
        <f t="shared" si="18"/>
        <v>0</v>
      </c>
      <c r="H34" s="20">
        <f t="shared" si="19"/>
        <v>0</v>
      </c>
      <c r="I34" s="20">
        <f t="shared" si="20"/>
        <v>0</v>
      </c>
      <c r="J34" s="20">
        <f t="shared" si="21"/>
        <v>0</v>
      </c>
      <c r="K34" s="20">
        <f t="shared" si="22"/>
        <v>0</v>
      </c>
      <c r="L34" s="20">
        <f t="shared" si="23"/>
        <v>0</v>
      </c>
      <c r="M34" s="20">
        <f t="shared" si="24"/>
        <v>0</v>
      </c>
      <c r="N34" s="20">
        <f t="shared" si="25"/>
        <v>0</v>
      </c>
      <c r="O34" s="20">
        <f t="shared" si="26"/>
        <v>0</v>
      </c>
      <c r="P34" s="118"/>
      <c r="Q34" s="94"/>
      <c r="R34" s="94"/>
      <c r="S34" s="8"/>
      <c r="T34" s="8"/>
      <c r="U34" s="8"/>
      <c r="V34" s="8"/>
      <c r="W34" s="112"/>
      <c r="X34" s="94"/>
      <c r="Y34" s="94"/>
      <c r="Z34" s="8"/>
      <c r="AA34" s="8"/>
      <c r="AB34" s="8"/>
      <c r="AC34" s="112"/>
      <c r="AD34" s="8"/>
      <c r="AE34" s="94"/>
      <c r="AF34" s="94"/>
      <c r="AG34" s="8"/>
      <c r="AH34" s="8"/>
      <c r="AI34" s="8"/>
      <c r="AJ34" s="8"/>
      <c r="AK34" s="8"/>
      <c r="AL34" s="94"/>
      <c r="AM34" s="94"/>
      <c r="AN34" s="112"/>
      <c r="AO34" s="8"/>
      <c r="AP34" s="8"/>
      <c r="AQ34" s="8"/>
      <c r="AR34" s="8"/>
      <c r="AS34" s="94"/>
      <c r="AT34" s="125"/>
    </row>
    <row r="35" spans="1:58" ht="20.100000000000001" customHeight="1" thickBot="1" x14ac:dyDescent="0.3">
      <c r="A35" s="30" t="str">
        <f>IFERROR(IF(config!E27="","",config!E27),"")</f>
        <v>JN010750</v>
      </c>
      <c r="B35" s="41" t="str">
        <f>IFERROR(IF(config!F27="","",config!F27),"")</f>
        <v>ROUGLAN</v>
      </c>
      <c r="C35" s="68" t="str">
        <f>IFERROR(IF(config!G27="","",config!G27),"")</f>
        <v>William</v>
      </c>
      <c r="D35" s="87">
        <f t="shared" si="15"/>
        <v>0</v>
      </c>
      <c r="E35" s="20">
        <f t="shared" si="16"/>
        <v>0</v>
      </c>
      <c r="F35" s="20">
        <f t="shared" si="17"/>
        <v>0</v>
      </c>
      <c r="G35" s="20">
        <f t="shared" si="18"/>
        <v>0</v>
      </c>
      <c r="H35" s="20">
        <f t="shared" si="19"/>
        <v>0</v>
      </c>
      <c r="I35" s="20">
        <f t="shared" si="20"/>
        <v>0</v>
      </c>
      <c r="J35" s="20">
        <f t="shared" si="21"/>
        <v>0</v>
      </c>
      <c r="K35" s="20">
        <f t="shared" si="22"/>
        <v>0</v>
      </c>
      <c r="L35" s="20">
        <f t="shared" si="23"/>
        <v>0</v>
      </c>
      <c r="M35" s="20">
        <f t="shared" si="24"/>
        <v>0</v>
      </c>
      <c r="N35" s="20">
        <f t="shared" si="25"/>
        <v>0</v>
      </c>
      <c r="O35" s="20">
        <f t="shared" si="26"/>
        <v>0</v>
      </c>
      <c r="P35" s="118"/>
      <c r="Q35" s="94"/>
      <c r="R35" s="94"/>
      <c r="S35" s="8"/>
      <c r="T35" s="8"/>
      <c r="U35" s="8"/>
      <c r="V35" s="8"/>
      <c r="W35" s="112"/>
      <c r="X35" s="94"/>
      <c r="Y35" s="94"/>
      <c r="Z35" s="8"/>
      <c r="AA35" s="8"/>
      <c r="AB35" s="8"/>
      <c r="AC35" s="112"/>
      <c r="AD35" s="8"/>
      <c r="AE35" s="94"/>
      <c r="AF35" s="94"/>
      <c r="AG35" s="8"/>
      <c r="AH35" s="8"/>
      <c r="AI35" s="8"/>
      <c r="AJ35" s="8"/>
      <c r="AK35" s="8"/>
      <c r="AL35" s="94"/>
      <c r="AM35" s="94"/>
      <c r="AN35" s="112"/>
      <c r="AO35" s="8"/>
      <c r="AP35" s="8"/>
      <c r="AQ35" s="8"/>
      <c r="AR35" s="8"/>
      <c r="AS35" s="94"/>
      <c r="AT35" s="125"/>
    </row>
    <row r="36" spans="1:58" ht="20.100000000000001" customHeight="1" thickBot="1" x14ac:dyDescent="0.3">
      <c r="A36" s="30" t="str">
        <f>IFERROR(IF(config!E28="","",config!E28),"")</f>
        <v>JN010461</v>
      </c>
      <c r="B36" s="41" t="str">
        <f>IFERROR(IF(config!F28="","",config!F28),"")</f>
        <v>NOURRI</v>
      </c>
      <c r="C36" s="68" t="str">
        <f>IFERROR(IF(config!G28="","",config!G28),"")</f>
        <v>Danny</v>
      </c>
      <c r="D36" s="87">
        <f t="shared" si="15"/>
        <v>0</v>
      </c>
      <c r="E36" s="20">
        <f t="shared" si="16"/>
        <v>0</v>
      </c>
      <c r="F36" s="20">
        <f t="shared" si="17"/>
        <v>0</v>
      </c>
      <c r="G36" s="20">
        <f t="shared" si="18"/>
        <v>0</v>
      </c>
      <c r="H36" s="20">
        <f t="shared" si="19"/>
        <v>0</v>
      </c>
      <c r="I36" s="20">
        <f t="shared" si="20"/>
        <v>0</v>
      </c>
      <c r="J36" s="20">
        <f t="shared" si="21"/>
        <v>0</v>
      </c>
      <c r="K36" s="20">
        <f t="shared" si="22"/>
        <v>0</v>
      </c>
      <c r="L36" s="20">
        <f t="shared" si="23"/>
        <v>0</v>
      </c>
      <c r="M36" s="20">
        <f t="shared" si="24"/>
        <v>0</v>
      </c>
      <c r="N36" s="20">
        <f t="shared" si="25"/>
        <v>0</v>
      </c>
      <c r="O36" s="20">
        <f t="shared" si="26"/>
        <v>0</v>
      </c>
      <c r="P36" s="118"/>
      <c r="Q36" s="94"/>
      <c r="R36" s="94"/>
      <c r="S36" s="8"/>
      <c r="T36" s="8"/>
      <c r="U36" s="8"/>
      <c r="V36" s="8"/>
      <c r="W36" s="112"/>
      <c r="X36" s="94"/>
      <c r="Y36" s="94"/>
      <c r="Z36" s="8"/>
      <c r="AA36" s="8"/>
      <c r="AB36" s="8"/>
      <c r="AC36" s="112"/>
      <c r="AD36" s="8"/>
      <c r="AE36" s="94"/>
      <c r="AF36" s="94"/>
      <c r="AG36" s="8"/>
      <c r="AH36" s="8"/>
      <c r="AI36" s="8"/>
      <c r="AJ36" s="8"/>
      <c r="AK36" s="8"/>
      <c r="AL36" s="94"/>
      <c r="AM36" s="94"/>
      <c r="AN36" s="112"/>
      <c r="AO36" s="8"/>
      <c r="AP36" s="8"/>
      <c r="AQ36" s="8"/>
      <c r="AR36" s="8"/>
      <c r="AS36" s="94"/>
      <c r="AT36" s="125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83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148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124"/>
      <c r="AV39" s="15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118"/>
      <c r="Q40" s="94"/>
      <c r="R40" s="94"/>
      <c r="S40" s="8"/>
      <c r="T40" s="8"/>
      <c r="U40" s="8"/>
      <c r="V40" s="8"/>
      <c r="W40" s="112"/>
      <c r="X40" s="94"/>
      <c r="Y40" s="94"/>
      <c r="Z40" s="8"/>
      <c r="AA40" s="8"/>
      <c r="AB40" s="8"/>
      <c r="AC40" s="112"/>
      <c r="AD40" s="8"/>
      <c r="AE40" s="94"/>
      <c r="AF40" s="94"/>
      <c r="AG40" s="8"/>
      <c r="AH40" s="8"/>
      <c r="AI40" s="8"/>
      <c r="AJ40" s="8"/>
      <c r="AK40" s="8"/>
      <c r="AL40" s="94"/>
      <c r="AM40" s="94"/>
      <c r="AN40" s="112"/>
      <c r="AO40" s="8"/>
      <c r="AP40" s="8"/>
      <c r="AQ40" s="8"/>
      <c r="AR40" s="8"/>
      <c r="AS40" s="94"/>
      <c r="AT40" s="125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30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118"/>
      <c r="Q41" s="94"/>
      <c r="R41" s="94"/>
      <c r="S41" s="8"/>
      <c r="T41" s="8"/>
      <c r="U41" s="8"/>
      <c r="V41" s="8"/>
      <c r="W41" s="112"/>
      <c r="X41" s="94"/>
      <c r="Y41" s="94"/>
      <c r="Z41" s="8"/>
      <c r="AA41" s="8"/>
      <c r="AB41" s="8"/>
      <c r="AC41" s="112"/>
      <c r="AD41" s="8"/>
      <c r="AE41" s="94"/>
      <c r="AF41" s="94"/>
      <c r="AG41" s="8"/>
      <c r="AH41" s="8"/>
      <c r="AI41" s="8"/>
      <c r="AJ41" s="8"/>
      <c r="AK41" s="8"/>
      <c r="AL41" s="94"/>
      <c r="AM41" s="94"/>
      <c r="AN41" s="112"/>
      <c r="AO41" s="8"/>
      <c r="AP41" s="8"/>
      <c r="AQ41" s="8"/>
      <c r="AR41" s="8"/>
      <c r="AS41" s="94"/>
      <c r="AT41" s="125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118"/>
      <c r="Q42" s="94"/>
      <c r="R42" s="94"/>
      <c r="S42" s="8"/>
      <c r="T42" s="8"/>
      <c r="U42" s="8"/>
      <c r="V42" s="8"/>
      <c r="W42" s="112"/>
      <c r="X42" s="94"/>
      <c r="Y42" s="94"/>
      <c r="Z42" s="8"/>
      <c r="AA42" s="8"/>
      <c r="AB42" s="8"/>
      <c r="AC42" s="112"/>
      <c r="AD42" s="8"/>
      <c r="AE42" s="94"/>
      <c r="AF42" s="94"/>
      <c r="AG42" s="8"/>
      <c r="AH42" s="8"/>
      <c r="AI42" s="8"/>
      <c r="AJ42" s="8"/>
      <c r="AK42" s="8"/>
      <c r="AL42" s="94"/>
      <c r="AM42" s="94"/>
      <c r="AN42" s="112"/>
      <c r="AO42" s="8"/>
      <c r="AP42" s="8"/>
      <c r="AQ42" s="8"/>
      <c r="AR42" s="8"/>
      <c r="AS42" s="94"/>
      <c r="AT42" s="125"/>
    </row>
    <row r="43" spans="1:58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118"/>
      <c r="Q43" s="94"/>
      <c r="R43" s="94"/>
      <c r="S43" s="8"/>
      <c r="T43" s="8"/>
      <c r="U43" s="8"/>
      <c r="V43" s="8"/>
      <c r="W43" s="112"/>
      <c r="X43" s="94"/>
      <c r="Y43" s="94"/>
      <c r="Z43" s="8"/>
      <c r="AA43" s="8"/>
      <c r="AB43" s="8"/>
      <c r="AC43" s="112"/>
      <c r="AD43" s="8"/>
      <c r="AE43" s="94"/>
      <c r="AF43" s="94"/>
      <c r="AG43" s="8"/>
      <c r="AH43" s="8"/>
      <c r="AI43" s="8"/>
      <c r="AJ43" s="8"/>
      <c r="AK43" s="8"/>
      <c r="AL43" s="94"/>
      <c r="AM43" s="94"/>
      <c r="AN43" s="112"/>
      <c r="AO43" s="8"/>
      <c r="AP43" s="8"/>
      <c r="AQ43" s="8"/>
      <c r="AR43" s="8"/>
      <c r="AS43" s="94"/>
      <c r="AT43" s="125"/>
    </row>
    <row r="44" spans="1:58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118"/>
      <c r="Q44" s="94"/>
      <c r="R44" s="94"/>
      <c r="S44" s="8"/>
      <c r="T44" s="8"/>
      <c r="U44" s="8"/>
      <c r="V44" s="8"/>
      <c r="W44" s="112"/>
      <c r="X44" s="94"/>
      <c r="Y44" s="94"/>
      <c r="Z44" s="8"/>
      <c r="AA44" s="8"/>
      <c r="AB44" s="8"/>
      <c r="AC44" s="112"/>
      <c r="AD44" s="8"/>
      <c r="AE44" s="94"/>
      <c r="AF44" s="94"/>
      <c r="AG44" s="8"/>
      <c r="AH44" s="8"/>
      <c r="AI44" s="8"/>
      <c r="AJ44" s="8"/>
      <c r="AK44" s="8"/>
      <c r="AL44" s="94"/>
      <c r="AM44" s="94"/>
      <c r="AN44" s="112"/>
      <c r="AO44" s="8"/>
      <c r="AP44" s="8"/>
      <c r="AQ44" s="8"/>
      <c r="AR44" s="8"/>
      <c r="AS44" s="94"/>
      <c r="AT44" s="125"/>
    </row>
    <row r="45" spans="1:58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30</v>
      </c>
      <c r="N45" s="20">
        <f t="shared" si="37"/>
        <v>0</v>
      </c>
      <c r="O45" s="92">
        <f t="shared" si="38"/>
        <v>0</v>
      </c>
      <c r="P45" s="118" t="s">
        <v>203</v>
      </c>
      <c r="Q45" s="112" t="s">
        <v>203</v>
      </c>
      <c r="R45" s="112" t="s">
        <v>203</v>
      </c>
      <c r="S45" s="112" t="s">
        <v>203</v>
      </c>
      <c r="T45" s="112" t="s">
        <v>203</v>
      </c>
      <c r="U45" s="112" t="s">
        <v>203</v>
      </c>
      <c r="V45" s="112" t="s">
        <v>203</v>
      </c>
      <c r="W45" s="112" t="s">
        <v>203</v>
      </c>
      <c r="X45" s="112" t="s">
        <v>203</v>
      </c>
      <c r="Y45" s="112" t="s">
        <v>203</v>
      </c>
      <c r="Z45" s="112" t="s">
        <v>203</v>
      </c>
      <c r="AA45" s="112" t="s">
        <v>203</v>
      </c>
      <c r="AB45" s="112" t="s">
        <v>203</v>
      </c>
      <c r="AC45" s="112" t="s">
        <v>203</v>
      </c>
      <c r="AD45" s="112" t="s">
        <v>203</v>
      </c>
      <c r="AE45" s="112" t="s">
        <v>203</v>
      </c>
      <c r="AF45" s="112" t="s">
        <v>203</v>
      </c>
      <c r="AG45" s="112" t="s">
        <v>203</v>
      </c>
      <c r="AH45" s="112" t="s">
        <v>203</v>
      </c>
      <c r="AI45" s="112" t="s">
        <v>203</v>
      </c>
      <c r="AJ45" s="112" t="s">
        <v>203</v>
      </c>
      <c r="AK45" s="112" t="s">
        <v>203</v>
      </c>
      <c r="AL45" s="112" t="s">
        <v>203</v>
      </c>
      <c r="AM45" s="112" t="s">
        <v>203</v>
      </c>
      <c r="AN45" s="112" t="s">
        <v>203</v>
      </c>
      <c r="AO45" s="112" t="s">
        <v>203</v>
      </c>
      <c r="AP45" s="112" t="s">
        <v>203</v>
      </c>
      <c r="AQ45" s="112" t="s">
        <v>203</v>
      </c>
      <c r="AR45" s="112" t="s">
        <v>203</v>
      </c>
      <c r="AS45" s="112" t="s">
        <v>203</v>
      </c>
      <c r="AT45" s="280" t="s">
        <v>203</v>
      </c>
    </row>
    <row r="46" spans="1:58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118"/>
      <c r="Q46" s="94"/>
      <c r="R46" s="94"/>
      <c r="S46" s="8"/>
      <c r="T46" s="8"/>
      <c r="U46" s="8"/>
      <c r="V46" s="8"/>
      <c r="W46" s="112"/>
      <c r="X46" s="94"/>
      <c r="Y46" s="94"/>
      <c r="Z46" s="8"/>
      <c r="AA46" s="8"/>
      <c r="AB46" s="8"/>
      <c r="AC46" s="112"/>
      <c r="AD46" s="8"/>
      <c r="AE46" s="94"/>
      <c r="AF46" s="94"/>
      <c r="AG46" s="8"/>
      <c r="AH46" s="8"/>
      <c r="AI46" s="8"/>
      <c r="AJ46" s="8"/>
      <c r="AK46" s="8"/>
      <c r="AL46" s="94"/>
      <c r="AM46" s="94"/>
      <c r="AN46" s="112"/>
      <c r="AO46" s="8"/>
      <c r="AP46" s="8"/>
      <c r="AQ46" s="8"/>
      <c r="AR46" s="8"/>
      <c r="AS46" s="94"/>
      <c r="AT46" s="125"/>
    </row>
    <row r="47" spans="1:58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118"/>
      <c r="Q47" s="94"/>
      <c r="R47" s="94"/>
      <c r="S47" s="8"/>
      <c r="T47" s="8"/>
      <c r="U47" s="8"/>
      <c r="V47" s="8"/>
      <c r="W47" s="112"/>
      <c r="X47" s="94"/>
      <c r="Y47" s="94"/>
      <c r="Z47" s="8"/>
      <c r="AA47" s="8"/>
      <c r="AB47" s="8"/>
      <c r="AC47" s="112"/>
      <c r="AD47" s="8"/>
      <c r="AE47" s="94"/>
      <c r="AF47" s="94"/>
      <c r="AG47" s="8"/>
      <c r="AH47" s="8"/>
      <c r="AI47" s="8"/>
      <c r="AJ47" s="8"/>
      <c r="AK47" s="8"/>
      <c r="AL47" s="94"/>
      <c r="AM47" s="94"/>
      <c r="AN47" s="112"/>
      <c r="AO47" s="8"/>
      <c r="AP47" s="8"/>
      <c r="AQ47" s="8"/>
      <c r="AR47" s="8"/>
      <c r="AS47" s="94"/>
      <c r="AT47" s="125"/>
    </row>
    <row r="48" spans="1:58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118"/>
      <c r="Q48" s="94"/>
      <c r="R48" s="94"/>
      <c r="S48" s="8"/>
      <c r="T48" s="8"/>
      <c r="U48" s="8"/>
      <c r="V48" s="8"/>
      <c r="W48" s="112"/>
      <c r="X48" s="94"/>
      <c r="Y48" s="94"/>
      <c r="Z48" s="8"/>
      <c r="AA48" s="8"/>
      <c r="AB48" s="8"/>
      <c r="AC48" s="112"/>
      <c r="AD48" s="8"/>
      <c r="AE48" s="94"/>
      <c r="AF48" s="94"/>
      <c r="AG48" s="8"/>
      <c r="AH48" s="8"/>
      <c r="AI48" s="8"/>
      <c r="AJ48" s="8"/>
      <c r="AK48" s="8"/>
      <c r="AL48" s="94"/>
      <c r="AM48" s="94"/>
      <c r="AN48" s="112"/>
      <c r="AO48" s="8"/>
      <c r="AP48" s="8"/>
      <c r="AQ48" s="8"/>
      <c r="AR48" s="8"/>
      <c r="AS48" s="94"/>
      <c r="AT48" s="125"/>
    </row>
    <row r="49" spans="1:58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119"/>
      <c r="Q49" s="95"/>
      <c r="R49" s="95"/>
      <c r="S49" s="21"/>
      <c r="T49" s="21"/>
      <c r="U49" s="21"/>
      <c r="V49" s="21"/>
      <c r="W49" s="113"/>
      <c r="X49" s="95"/>
      <c r="Y49" s="95"/>
      <c r="Z49" s="21"/>
      <c r="AA49" s="21"/>
      <c r="AB49" s="21"/>
      <c r="AC49" s="113"/>
      <c r="AD49" s="21"/>
      <c r="AE49" s="95"/>
      <c r="AF49" s="95"/>
      <c r="AG49" s="21"/>
      <c r="AH49" s="21"/>
      <c r="AI49" s="21"/>
      <c r="AJ49" s="21"/>
      <c r="AK49" s="21"/>
      <c r="AL49" s="95"/>
      <c r="AM49" s="95"/>
      <c r="AN49" s="113"/>
      <c r="AO49" s="21"/>
      <c r="AP49" s="21"/>
      <c r="AQ49" s="21"/>
      <c r="AR49" s="21"/>
      <c r="AS49" s="95"/>
      <c r="AT49" s="126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T50" s="143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87">
        <f t="shared" ref="D51:D62" si="39">COUNTIF(P51:AS51,"p")</f>
        <v>0</v>
      </c>
      <c r="E51" s="20">
        <f t="shared" ref="E51:E62" si="40">COUNTIF(P51:AS51,"PC")</f>
        <v>0</v>
      </c>
      <c r="F51" s="20">
        <f t="shared" ref="F51:F62" si="41">COUNTIF(P51:AS51,"f")</f>
        <v>0</v>
      </c>
      <c r="G51" s="20">
        <f t="shared" ref="G51:G62" si="42">COUNTIF(P51:AS51,"ast")</f>
        <v>0</v>
      </c>
      <c r="H51" s="20">
        <f t="shared" ref="H51:H62" si="43">COUNTIF(P51:AS51,"cA")</f>
        <v>0</v>
      </c>
      <c r="I51" s="20">
        <f t="shared" ref="I51:I62" si="44">COUNTIF(P51:AS51,"rtt")</f>
        <v>0</v>
      </c>
      <c r="J51" s="20">
        <f t="shared" ref="J51:J62" si="45">COUNTIF(P51:AS51,"cex")</f>
        <v>0</v>
      </c>
      <c r="K51" s="20">
        <f t="shared" ref="K51:K62" si="46">COUNTIF(P51:AS51,"res")</f>
        <v>0</v>
      </c>
      <c r="L51" s="20">
        <f t="shared" ref="L51:L62" si="47">COUNTIF(P51:AS51,"mA")</f>
        <v>0</v>
      </c>
      <c r="M51" s="20">
        <f t="shared" ref="M51:M62" si="48">COUNTIF(P51:AS51,"at")</f>
        <v>0</v>
      </c>
      <c r="N51" s="20">
        <f t="shared" ref="N51:N62" si="49">COUNTIF(P51:AS51,"TAD")</f>
        <v>0</v>
      </c>
      <c r="O51" s="92">
        <f t="shared" ref="O51:O62" si="50">COUNTIF(P51:AS51,"TP")</f>
        <v>0</v>
      </c>
      <c r="P51" s="117"/>
      <c r="Q51" s="86"/>
      <c r="R51" s="86"/>
      <c r="S51" s="20"/>
      <c r="T51" s="20"/>
      <c r="U51" s="20"/>
      <c r="V51" s="20"/>
      <c r="W51" s="111"/>
      <c r="X51" s="198"/>
      <c r="Y51" s="198"/>
      <c r="Z51" s="20"/>
      <c r="AA51" s="20"/>
      <c r="AB51" s="20"/>
      <c r="AC51" s="111"/>
      <c r="AD51" s="123"/>
      <c r="AE51" s="198"/>
      <c r="AF51" s="198"/>
      <c r="AG51" s="20"/>
      <c r="AH51" s="20"/>
      <c r="AI51" s="20"/>
      <c r="AJ51" s="20"/>
      <c r="AK51" s="20"/>
      <c r="AL51" s="86"/>
      <c r="AM51" s="86"/>
      <c r="AN51" s="111"/>
      <c r="AO51" s="20"/>
      <c r="AP51" s="20"/>
      <c r="AQ51" s="20"/>
      <c r="AR51" s="20"/>
      <c r="AS51" s="86"/>
      <c r="AT51" s="124"/>
      <c r="AV51" s="15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118"/>
      <c r="Q52" s="94"/>
      <c r="R52" s="94"/>
      <c r="S52" s="8"/>
      <c r="T52" s="8"/>
      <c r="U52" s="8"/>
      <c r="V52" s="8"/>
      <c r="W52" s="112"/>
      <c r="X52" s="94"/>
      <c r="Y52" s="94"/>
      <c r="Z52" s="8"/>
      <c r="AA52" s="8"/>
      <c r="AB52" s="8"/>
      <c r="AC52" s="112"/>
      <c r="AD52" s="8"/>
      <c r="AE52" s="94"/>
      <c r="AF52" s="94"/>
      <c r="AG52" s="8"/>
      <c r="AH52" s="8"/>
      <c r="AI52" s="8"/>
      <c r="AJ52" s="8"/>
      <c r="AK52" s="8"/>
      <c r="AL52" s="94"/>
      <c r="AM52" s="94"/>
      <c r="AN52" s="112"/>
      <c r="AO52" s="8"/>
      <c r="AP52" s="8"/>
      <c r="AQ52" s="8"/>
      <c r="AR52" s="8"/>
      <c r="AS52" s="94"/>
      <c r="AT52" s="125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0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118"/>
      <c r="Q53" s="94"/>
      <c r="R53" s="94"/>
      <c r="S53" s="8"/>
      <c r="T53" s="8"/>
      <c r="U53" s="8"/>
      <c r="V53" s="8"/>
      <c r="W53" s="112"/>
      <c r="X53" s="94"/>
      <c r="Y53" s="94"/>
      <c r="Z53" s="8"/>
      <c r="AA53" s="8"/>
      <c r="AB53" s="8"/>
      <c r="AC53" s="112"/>
      <c r="AD53" s="8"/>
      <c r="AE53" s="94"/>
      <c r="AF53" s="94"/>
      <c r="AG53" s="8"/>
      <c r="AH53" s="8"/>
      <c r="AI53" s="8"/>
      <c r="AJ53" s="8"/>
      <c r="AK53" s="8"/>
      <c r="AL53" s="94"/>
      <c r="AM53" s="94"/>
      <c r="AN53" s="112"/>
      <c r="AO53" s="8"/>
      <c r="AP53" s="8"/>
      <c r="AQ53" s="8"/>
      <c r="AR53" s="8"/>
      <c r="AS53" s="94"/>
      <c r="AT53" s="125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118"/>
      <c r="Q54" s="94"/>
      <c r="R54" s="94"/>
      <c r="S54" s="8"/>
      <c r="T54" s="8"/>
      <c r="U54" s="8"/>
      <c r="V54" s="8"/>
      <c r="W54" s="112"/>
      <c r="X54" s="94"/>
      <c r="Y54" s="94"/>
      <c r="Z54" s="8"/>
      <c r="AA54" s="8"/>
      <c r="AB54" s="8"/>
      <c r="AC54" s="112"/>
      <c r="AD54" s="8"/>
      <c r="AE54" s="94"/>
      <c r="AF54" s="94"/>
      <c r="AG54" s="8"/>
      <c r="AH54" s="8"/>
      <c r="AI54" s="8"/>
      <c r="AJ54" s="8"/>
      <c r="AK54" s="8"/>
      <c r="AL54" s="94"/>
      <c r="AM54" s="94"/>
      <c r="AN54" s="112"/>
      <c r="AO54" s="8"/>
      <c r="AP54" s="8"/>
      <c r="AQ54" s="8"/>
      <c r="AR54" s="8"/>
      <c r="AS54" s="94"/>
      <c r="AT54" s="125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118"/>
      <c r="Q55" s="94"/>
      <c r="R55" s="94"/>
      <c r="S55" s="8"/>
      <c r="T55" s="8"/>
      <c r="U55" s="8"/>
      <c r="V55" s="8"/>
      <c r="W55" s="112"/>
      <c r="X55" s="94"/>
      <c r="Y55" s="94"/>
      <c r="Z55" s="8"/>
      <c r="AA55" s="8"/>
      <c r="AB55" s="8"/>
      <c r="AC55" s="112"/>
      <c r="AD55" s="8"/>
      <c r="AE55" s="94"/>
      <c r="AF55" s="94"/>
      <c r="AG55" s="8"/>
      <c r="AH55" s="8"/>
      <c r="AI55" s="8"/>
      <c r="AJ55" s="8"/>
      <c r="AK55" s="8"/>
      <c r="AL55" s="94"/>
      <c r="AM55" s="94"/>
      <c r="AN55" s="112"/>
      <c r="AO55" s="8"/>
      <c r="AP55" s="8"/>
      <c r="AQ55" s="8"/>
      <c r="AR55" s="8"/>
      <c r="AS55" s="94"/>
      <c r="AT55" s="125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118"/>
      <c r="Q56" s="94"/>
      <c r="R56" s="94"/>
      <c r="S56" s="8"/>
      <c r="T56" s="8"/>
      <c r="U56" s="8"/>
      <c r="V56" s="8"/>
      <c r="W56" s="112"/>
      <c r="X56" s="94"/>
      <c r="Y56" s="94"/>
      <c r="Z56" s="8"/>
      <c r="AA56" s="8"/>
      <c r="AB56" s="8"/>
      <c r="AC56" s="112"/>
      <c r="AD56" s="8"/>
      <c r="AE56" s="94"/>
      <c r="AF56" s="94"/>
      <c r="AG56" s="8"/>
      <c r="AH56" s="8"/>
      <c r="AI56" s="8"/>
      <c r="AJ56" s="8"/>
      <c r="AK56" s="8"/>
      <c r="AL56" s="94"/>
      <c r="AM56" s="94"/>
      <c r="AN56" s="112"/>
      <c r="AO56" s="8"/>
      <c r="AP56" s="8"/>
      <c r="AQ56" s="8"/>
      <c r="AR56" s="8"/>
      <c r="AS56" s="94"/>
      <c r="AT56" s="125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118"/>
      <c r="Q57" s="94"/>
      <c r="R57" s="94"/>
      <c r="S57" s="8"/>
      <c r="T57" s="8"/>
      <c r="U57" s="8"/>
      <c r="V57" s="8"/>
      <c r="W57" s="112"/>
      <c r="X57" s="94"/>
      <c r="Y57" s="94"/>
      <c r="Z57" s="8"/>
      <c r="AA57" s="8"/>
      <c r="AB57" s="8"/>
      <c r="AC57" s="112"/>
      <c r="AD57" s="8"/>
      <c r="AE57" s="94"/>
      <c r="AF57" s="94"/>
      <c r="AG57" s="8"/>
      <c r="AH57" s="8"/>
      <c r="AI57" s="8"/>
      <c r="AJ57" s="8"/>
      <c r="AK57" s="8"/>
      <c r="AL57" s="94"/>
      <c r="AM57" s="94"/>
      <c r="AN57" s="112"/>
      <c r="AO57" s="8"/>
      <c r="AP57" s="8"/>
      <c r="AQ57" s="8"/>
      <c r="AR57" s="8"/>
      <c r="AS57" s="94"/>
      <c r="AT57" s="125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118"/>
      <c r="Q58" s="94"/>
      <c r="R58" s="94"/>
      <c r="S58" s="8"/>
      <c r="T58" s="8"/>
      <c r="U58" s="8"/>
      <c r="V58" s="8"/>
      <c r="W58" s="112"/>
      <c r="X58" s="94"/>
      <c r="Y58" s="94"/>
      <c r="Z58" s="8"/>
      <c r="AA58" s="8"/>
      <c r="AB58" s="8"/>
      <c r="AC58" s="112"/>
      <c r="AD58" s="8"/>
      <c r="AE58" s="94"/>
      <c r="AF58" s="94"/>
      <c r="AG58" s="8"/>
      <c r="AH58" s="8"/>
      <c r="AI58" s="8"/>
      <c r="AJ58" s="8"/>
      <c r="AK58" s="8"/>
      <c r="AL58" s="94"/>
      <c r="AM58" s="94"/>
      <c r="AN58" s="112"/>
      <c r="AO58" s="8"/>
      <c r="AP58" s="8"/>
      <c r="AQ58" s="8"/>
      <c r="AR58" s="8"/>
      <c r="AS58" s="94"/>
      <c r="AT58" s="125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118"/>
      <c r="Q59" s="94"/>
      <c r="R59" s="94"/>
      <c r="S59" s="8"/>
      <c r="T59" s="8"/>
      <c r="U59" s="8"/>
      <c r="V59" s="8"/>
      <c r="W59" s="112"/>
      <c r="X59" s="94"/>
      <c r="Y59" s="94"/>
      <c r="Z59" s="8"/>
      <c r="AA59" s="8"/>
      <c r="AB59" s="8"/>
      <c r="AC59" s="112"/>
      <c r="AD59" s="8"/>
      <c r="AE59" s="94"/>
      <c r="AF59" s="94"/>
      <c r="AG59" s="8"/>
      <c r="AH59" s="8"/>
      <c r="AI59" s="8"/>
      <c r="AJ59" s="8"/>
      <c r="AK59" s="8"/>
      <c r="AL59" s="94"/>
      <c r="AM59" s="94"/>
      <c r="AN59" s="112"/>
      <c r="AO59" s="8"/>
      <c r="AP59" s="8"/>
      <c r="AQ59" s="8"/>
      <c r="AR59" s="8"/>
      <c r="AS59" s="94"/>
      <c r="AT59" s="125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118"/>
      <c r="Q60" s="94"/>
      <c r="R60" s="94"/>
      <c r="S60" s="8"/>
      <c r="T60" s="8"/>
      <c r="U60" s="8"/>
      <c r="V60" s="8"/>
      <c r="W60" s="112"/>
      <c r="X60" s="94"/>
      <c r="Y60" s="94"/>
      <c r="Z60" s="8"/>
      <c r="AA60" s="8"/>
      <c r="AB60" s="8"/>
      <c r="AC60" s="112"/>
      <c r="AD60" s="8"/>
      <c r="AE60" s="94"/>
      <c r="AF60" s="94"/>
      <c r="AG60" s="8"/>
      <c r="AH60" s="8"/>
      <c r="AI60" s="8"/>
      <c r="AJ60" s="8"/>
      <c r="AK60" s="8"/>
      <c r="AL60" s="94"/>
      <c r="AM60" s="94"/>
      <c r="AN60" s="112"/>
      <c r="AO60" s="8"/>
      <c r="AP60" s="8"/>
      <c r="AQ60" s="8"/>
      <c r="AR60" s="8"/>
      <c r="AS60" s="94"/>
      <c r="AT60" s="125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118"/>
      <c r="Q61" s="94"/>
      <c r="R61" s="94"/>
      <c r="S61" s="8"/>
      <c r="T61" s="8"/>
      <c r="U61" s="8"/>
      <c r="V61" s="8"/>
      <c r="W61" s="112"/>
      <c r="X61" s="94"/>
      <c r="Y61" s="94"/>
      <c r="Z61" s="8"/>
      <c r="AA61" s="8"/>
      <c r="AB61" s="8"/>
      <c r="AC61" s="112"/>
      <c r="AD61" s="8"/>
      <c r="AE61" s="94"/>
      <c r="AF61" s="94"/>
      <c r="AG61" s="8"/>
      <c r="AH61" s="8"/>
      <c r="AI61" s="8"/>
      <c r="AJ61" s="8"/>
      <c r="AK61" s="8"/>
      <c r="AL61" s="94"/>
      <c r="AM61" s="94"/>
      <c r="AN61" s="112"/>
      <c r="AO61" s="8"/>
      <c r="AP61" s="8"/>
      <c r="AQ61" s="8"/>
      <c r="AR61" s="8"/>
      <c r="AS61" s="94"/>
      <c r="AT61" s="125"/>
    </row>
    <row r="62" spans="1:58" ht="20.100000000000001" customHeight="1" thickBot="1" x14ac:dyDescent="0.3">
      <c r="A62" s="139" t="str">
        <f>IFERROR(IF(config!E54="","",config!E54),"")</f>
        <v>N019975</v>
      </c>
      <c r="B62" s="139" t="str">
        <f>IFERROR(IF(config!F54="","",config!F54),"")</f>
        <v>VILLENEUVE</v>
      </c>
      <c r="C62" s="102" t="str">
        <f>IFERROR(IF(config!G54="","",config!G54),"")</f>
        <v>Fabrice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92">
        <f t="shared" si="50"/>
        <v>0</v>
      </c>
      <c r="P62" s="119"/>
      <c r="Q62" s="95"/>
      <c r="R62" s="95"/>
      <c r="S62" s="21"/>
      <c r="T62" s="21"/>
      <c r="U62" s="21"/>
      <c r="V62" s="21"/>
      <c r="W62" s="113"/>
      <c r="X62" s="95"/>
      <c r="Y62" s="95"/>
      <c r="Z62" s="21"/>
      <c r="AA62" s="21"/>
      <c r="AB62" s="21"/>
      <c r="AC62" s="113"/>
      <c r="AD62" s="21"/>
      <c r="AE62" s="95"/>
      <c r="AF62" s="95"/>
      <c r="AG62" s="21"/>
      <c r="AH62" s="21"/>
      <c r="AI62" s="21"/>
      <c r="AJ62" s="21"/>
      <c r="AK62" s="21"/>
      <c r="AL62" s="95"/>
      <c r="AM62" s="95"/>
      <c r="AN62" s="113"/>
      <c r="AO62" s="21"/>
      <c r="AP62" s="21"/>
      <c r="AQ62" s="21"/>
      <c r="AR62" s="21"/>
      <c r="AS62" s="95"/>
      <c r="AT62" s="126"/>
    </row>
    <row r="63" spans="1:58" ht="20.100000000000001" customHeight="1" thickBot="1" x14ac:dyDescent="0.3">
      <c r="A63" s="302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8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36" t="str">
        <f>IFERROR(IF(config!E56="","",config!E56),"")</f>
        <v>COMMUN - MAGASINIER ET AGENTS ENTRETIEN</v>
      </c>
      <c r="B64" s="137" t="str">
        <f>IFERROR(IF(config!F56="","",config!F56),"")</f>
        <v/>
      </c>
      <c r="C64" s="138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117"/>
      <c r="Q64" s="86"/>
      <c r="R64" s="86"/>
      <c r="S64" s="20"/>
      <c r="T64" s="20"/>
      <c r="U64" s="20"/>
      <c r="V64" s="20"/>
      <c r="W64" s="111"/>
      <c r="X64" s="86"/>
      <c r="Y64" s="86"/>
      <c r="Z64" s="20"/>
      <c r="AA64" s="20"/>
      <c r="AB64" s="20"/>
      <c r="AC64" s="111"/>
      <c r="AD64" s="20"/>
      <c r="AE64" s="86"/>
      <c r="AF64" s="86"/>
      <c r="AG64" s="20"/>
      <c r="AH64" s="20"/>
      <c r="AI64" s="20"/>
      <c r="AJ64" s="20"/>
      <c r="AK64" s="20"/>
      <c r="AL64" s="86"/>
      <c r="AM64" s="86"/>
      <c r="AN64" s="111"/>
      <c r="AO64" s="20"/>
      <c r="AP64" s="20"/>
      <c r="AQ64" s="20"/>
      <c r="AR64" s="20"/>
      <c r="AS64" s="86"/>
      <c r="AT64" s="124"/>
      <c r="AV64" s="15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118"/>
      <c r="Q65" s="94"/>
      <c r="R65" s="94"/>
      <c r="S65" s="8"/>
      <c r="T65" s="8"/>
      <c r="U65" s="8"/>
      <c r="V65" s="8"/>
      <c r="W65" s="112"/>
      <c r="X65" s="94"/>
      <c r="Y65" s="94"/>
      <c r="Z65" s="8"/>
      <c r="AA65" s="8"/>
      <c r="AB65" s="8"/>
      <c r="AC65" s="112"/>
      <c r="AD65" s="8"/>
      <c r="AE65" s="94"/>
      <c r="AF65" s="94"/>
      <c r="AG65" s="8"/>
      <c r="AH65" s="8"/>
      <c r="AI65" s="8"/>
      <c r="AJ65" s="8"/>
      <c r="AK65" s="8"/>
      <c r="AL65" s="94"/>
      <c r="AM65" s="94"/>
      <c r="AN65" s="112"/>
      <c r="AO65" s="8"/>
      <c r="AP65" s="8"/>
      <c r="AQ65" s="8"/>
      <c r="AR65" s="8"/>
      <c r="AS65" s="94"/>
      <c r="AT65" s="125"/>
      <c r="AV65" s="19">
        <f>COUNTIF(P64:AS75,"P")</f>
        <v>0</v>
      </c>
      <c r="AW65" s="19">
        <f>COUNTIF(P64:AS75,"PC")</f>
        <v>0</v>
      </c>
      <c r="AX65" s="19">
        <f>COUNTIF(P64:AS75,"F")</f>
        <v>0</v>
      </c>
      <c r="AY65" s="19">
        <f>COUNTIF(P64:AS75,"AST")</f>
        <v>0</v>
      </c>
      <c r="AZ65" s="19">
        <f>COUNTIF(P64:AS75,"Ca")</f>
        <v>0</v>
      </c>
      <c r="BA65" s="19">
        <f>COUNTIF(P64:AS75,"RTT")</f>
        <v>0</v>
      </c>
      <c r="BB65" s="19">
        <f>COUNTIF(P64:AS75,"CEX")</f>
        <v>0</v>
      </c>
      <c r="BC65" s="19">
        <f>COUNTIF(P64:AS75,"RES")</f>
        <v>0</v>
      </c>
      <c r="BD65" s="19">
        <f>COUNTIF(P64:AS75,"MA")</f>
        <v>0</v>
      </c>
      <c r="BE65" s="19">
        <f>COUNTIF(P64:AS75,"AT")</f>
        <v>0</v>
      </c>
      <c r="BF65" s="19">
        <f>COUNTIF(P64:AS75,"TP")</f>
        <v>0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112"/>
      <c r="Q66" s="94"/>
      <c r="R66" s="94"/>
      <c r="S66" s="8"/>
      <c r="T66" s="8"/>
      <c r="U66" s="8"/>
      <c r="V66" s="8"/>
      <c r="W66" s="112"/>
      <c r="X66" s="94"/>
      <c r="Y66" s="94"/>
      <c r="Z66" s="8"/>
      <c r="AA66" s="8"/>
      <c r="AB66" s="8"/>
      <c r="AC66" s="112"/>
      <c r="AD66" s="8"/>
      <c r="AE66" s="94"/>
      <c r="AF66" s="94"/>
      <c r="AG66" s="8"/>
      <c r="AH66" s="8"/>
      <c r="AI66" s="8"/>
      <c r="AJ66" s="8"/>
      <c r="AK66" s="8"/>
      <c r="AL66" s="94"/>
      <c r="AM66" s="94"/>
      <c r="AN66" s="112"/>
      <c r="AO66" s="8"/>
      <c r="AP66" s="8"/>
      <c r="AQ66" s="8"/>
      <c r="AR66" s="8"/>
      <c r="AS66" s="94"/>
      <c r="AT66" s="125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118"/>
      <c r="Q67" s="94"/>
      <c r="R67" s="94"/>
      <c r="S67" s="8"/>
      <c r="T67" s="8"/>
      <c r="U67" s="8"/>
      <c r="V67" s="8"/>
      <c r="W67" s="112"/>
      <c r="X67" s="94"/>
      <c r="Y67" s="94"/>
      <c r="Z67" s="8"/>
      <c r="AA67" s="8"/>
      <c r="AB67" s="8"/>
      <c r="AC67" s="112"/>
      <c r="AD67" s="8"/>
      <c r="AE67" s="94"/>
      <c r="AF67" s="94"/>
      <c r="AG67" s="8"/>
      <c r="AH67" s="8"/>
      <c r="AI67" s="8"/>
      <c r="AJ67" s="8"/>
      <c r="AK67" s="8"/>
      <c r="AL67" s="94"/>
      <c r="AM67" s="94"/>
      <c r="AN67" s="112"/>
      <c r="AO67" s="8"/>
      <c r="AP67" s="8"/>
      <c r="AQ67" s="8"/>
      <c r="AR67" s="8"/>
      <c r="AS67" s="94"/>
      <c r="AT67" s="125"/>
    </row>
    <row r="68" spans="1:58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90"/>
      <c r="Q68" s="94"/>
      <c r="R68" s="94"/>
      <c r="S68" s="8"/>
      <c r="T68" s="8"/>
      <c r="U68" s="8"/>
      <c r="V68" s="8"/>
      <c r="W68" s="8"/>
      <c r="X68" s="94"/>
      <c r="Y68" s="94"/>
      <c r="Z68" s="8"/>
      <c r="AA68" s="8"/>
      <c r="AB68" s="8"/>
      <c r="AC68" s="8"/>
      <c r="AD68" s="8"/>
      <c r="AE68" s="94"/>
      <c r="AF68" s="94"/>
      <c r="AG68" s="8"/>
      <c r="AH68" s="8"/>
      <c r="AI68" s="8"/>
      <c r="AJ68" s="8"/>
      <c r="AK68" s="8"/>
      <c r="AL68" s="94"/>
      <c r="AM68" s="94"/>
      <c r="AN68" s="8"/>
      <c r="AO68" s="8"/>
      <c r="AP68" s="8"/>
      <c r="AQ68" s="8"/>
      <c r="AR68" s="8"/>
      <c r="AS68" s="94"/>
      <c r="AT68" s="125"/>
    </row>
    <row r="69" spans="1:58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7">
        <f t="shared" si="51"/>
        <v>0</v>
      </c>
      <c r="E69" s="20">
        <f t="shared" si="52"/>
        <v>0</v>
      </c>
      <c r="F69" s="20">
        <f t="shared" si="53"/>
        <v>0</v>
      </c>
      <c r="G69" s="20">
        <f t="shared" si="54"/>
        <v>0</v>
      </c>
      <c r="H69" s="20">
        <f t="shared" si="55"/>
        <v>0</v>
      </c>
      <c r="I69" s="20">
        <f t="shared" si="56"/>
        <v>0</v>
      </c>
      <c r="J69" s="20">
        <f t="shared" si="57"/>
        <v>0</v>
      </c>
      <c r="K69" s="20">
        <f t="shared" si="58"/>
        <v>0</v>
      </c>
      <c r="L69" s="20">
        <f t="shared" si="59"/>
        <v>0</v>
      </c>
      <c r="M69" s="20">
        <f t="shared" si="60"/>
        <v>0</v>
      </c>
      <c r="N69" s="20">
        <f t="shared" si="61"/>
        <v>0</v>
      </c>
      <c r="O69" s="92">
        <f t="shared" si="62"/>
        <v>0</v>
      </c>
      <c r="P69" s="91"/>
      <c r="Q69" s="95"/>
      <c r="R69" s="95"/>
      <c r="S69" s="21"/>
      <c r="T69" s="21"/>
      <c r="U69" s="21"/>
      <c r="V69" s="21"/>
      <c r="W69" s="21"/>
      <c r="X69" s="95"/>
      <c r="Y69" s="95"/>
      <c r="Z69" s="21"/>
      <c r="AA69" s="21"/>
      <c r="AB69" s="21"/>
      <c r="AC69" s="21"/>
      <c r="AD69" s="21"/>
      <c r="AE69" s="95"/>
      <c r="AF69" s="95"/>
      <c r="AG69" s="21"/>
      <c r="AH69" s="21"/>
      <c r="AI69" s="21"/>
      <c r="AJ69" s="21"/>
      <c r="AK69" s="21"/>
      <c r="AL69" s="95"/>
      <c r="AM69" s="95"/>
      <c r="AN69" s="21"/>
      <c r="AO69" s="21"/>
      <c r="AP69" s="21"/>
      <c r="AQ69" s="21"/>
      <c r="AR69" s="21"/>
      <c r="AS69" s="95"/>
      <c r="AT69" s="126"/>
    </row>
    <row r="78" spans="1:58" x14ac:dyDescent="0.25">
      <c r="T78" s="19" t="s">
        <v>194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047" priority="208" operator="equal">
      <formula>"repos"</formula>
    </cfRule>
    <cfRule type="cellIs" dxfId="1046" priority="209" operator="equal">
      <formula>"permanence"</formula>
    </cfRule>
    <cfRule type="cellIs" dxfId="1045" priority="210" operator="equal">
      <formula>"dimanche"</formula>
    </cfRule>
    <cfRule type="cellIs" dxfId="1044" priority="211" operator="equal">
      <formula>"formation"</formula>
    </cfRule>
    <cfRule type="cellIs" dxfId="1043" priority="212" operator="equal">
      <formula>"conges exc"</formula>
    </cfRule>
    <cfRule type="cellIs" dxfId="1042" priority="213" operator="equal">
      <formula>"conges"</formula>
    </cfRule>
    <cfRule type="cellIs" dxfId="1041" priority="214" operator="equal">
      <formula>"asa"</formula>
    </cfRule>
    <cfRule type="cellIs" dxfId="1040" priority="215" operator="equal">
      <formula>"maladie / at"</formula>
    </cfRule>
    <cfRule type="cellIs" dxfId="1039" priority="216" operator="equal">
      <formula>"presence"</formula>
    </cfRule>
  </conditionalFormatting>
  <conditionalFormatting sqref="D11:O20 D23:O24 D26:O29 D31:O36 D39:O49 D51:O62 D64:O69">
    <cfRule type="cellIs" dxfId="1038" priority="217" operator="equal">
      <formula>0</formula>
    </cfRule>
  </conditionalFormatting>
  <conditionalFormatting sqref="P9:AT9">
    <cfRule type="expression" dxfId="1037" priority="219">
      <formula>OR(P$9=1, P$9=7)</formula>
    </cfRule>
  </conditionalFormatting>
  <conditionalFormatting sqref="P9:AT10">
    <cfRule type="expression" dxfId="1036" priority="218">
      <formula>OR(P$9=1,P$9=7)</formula>
    </cfRule>
  </conditionalFormatting>
  <conditionalFormatting sqref="P11:AT20 P26:AT29 P31:AT36 P51:AT62">
    <cfRule type="containsText" dxfId="1035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1034" priority="63" operator="containsText" text="AT">
      <formula>NOT(ISERROR(SEARCH("AT",P11)))</formula>
    </cfRule>
    <cfRule type="containsText" dxfId="1033" priority="64" operator="containsText" text="MA">
      <formula>NOT(ISERROR(SEARCH("MA",P11)))</formula>
    </cfRule>
    <cfRule type="containsText" dxfId="1032" priority="65" operator="containsText" text="RES">
      <formula>NOT(ISERROR(SEARCH("RES",P11)))</formula>
    </cfRule>
    <cfRule type="containsText" dxfId="1031" priority="66" operator="containsText" text="CEX">
      <formula>NOT(ISERROR(SEARCH("CEX",P11)))</formula>
    </cfRule>
    <cfRule type="containsText" dxfId="1030" priority="67" operator="containsText" text="RTT">
      <formula>NOT(ISERROR(SEARCH("RTT",P11)))</formula>
    </cfRule>
    <cfRule type="beginsWith" dxfId="1029" priority="68" operator="beginsWith" text="CA">
      <formula>LEFT(P11,LEN("CA"))="CA"</formula>
    </cfRule>
    <cfRule type="containsText" dxfId="1028" priority="69" operator="containsText" text="AST">
      <formula>NOT(ISERROR(SEARCH("AST",P11)))</formula>
    </cfRule>
    <cfRule type="containsText" dxfId="1027" priority="70" operator="containsText" text="F">
      <formula>NOT(ISERROR(SEARCH("F",P11)))</formula>
    </cfRule>
    <cfRule type="containsText" dxfId="1026" priority="71" operator="containsText" text="PC">
      <formula>NOT(ISERROR(SEARCH("PC",P11)))</formula>
    </cfRule>
    <cfRule type="containsText" dxfId="1025" priority="72" operator="containsText" text="P">
      <formula>NOT(ISERROR(SEARCH("P",P11)))</formula>
    </cfRule>
  </conditionalFormatting>
  <conditionalFormatting sqref="P23:AT24">
    <cfRule type="containsText" dxfId="102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023" priority="39" operator="containsText" text="AT">
      <formula>NOT(ISERROR(SEARCH("AT",P23)))</formula>
    </cfRule>
    <cfRule type="containsText" dxfId="1022" priority="40" operator="containsText" text="MA">
      <formula>NOT(ISERROR(SEARCH("MA",P23)))</formula>
    </cfRule>
    <cfRule type="containsText" dxfId="1021" priority="41" operator="containsText" text="RES">
      <formula>NOT(ISERROR(SEARCH("RES",P23)))</formula>
    </cfRule>
    <cfRule type="containsText" dxfId="1020" priority="42" operator="containsText" text="CEX">
      <formula>NOT(ISERROR(SEARCH("CEX",P23)))</formula>
    </cfRule>
    <cfRule type="containsText" dxfId="1019" priority="43" operator="containsText" text="RTT">
      <formula>NOT(ISERROR(SEARCH("RTT",P23)))</formula>
    </cfRule>
    <cfRule type="beginsWith" dxfId="1018" priority="44" operator="beginsWith" text="CA">
      <formula>LEFT(P23,LEN("CA"))="CA"</formula>
    </cfRule>
    <cfRule type="containsText" dxfId="1017" priority="45" operator="containsText" text="AST">
      <formula>NOT(ISERROR(SEARCH("AST",P23)))</formula>
    </cfRule>
    <cfRule type="containsText" dxfId="1016" priority="46" operator="containsText" text="F">
      <formula>NOT(ISERROR(SEARCH("F",P23)))</formula>
    </cfRule>
    <cfRule type="containsText" dxfId="1015" priority="47" operator="containsText" text="PC">
      <formula>NOT(ISERROR(SEARCH("PC",P23)))</formula>
    </cfRule>
    <cfRule type="containsText" dxfId="1014" priority="48" operator="containsText" text="P">
      <formula>NOT(ISERROR(SEARCH("P",P23)))</formula>
    </cfRule>
  </conditionalFormatting>
  <conditionalFormatting sqref="P39:AT49">
    <cfRule type="containsText" dxfId="1013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1012" priority="27" operator="containsText" text="AT">
      <formula>NOT(ISERROR(SEARCH("AT",P39)))</formula>
    </cfRule>
    <cfRule type="containsText" dxfId="1011" priority="28" operator="containsText" text="MA">
      <formula>NOT(ISERROR(SEARCH("MA",P39)))</formula>
    </cfRule>
    <cfRule type="containsText" dxfId="1010" priority="29" operator="containsText" text="RES">
      <formula>NOT(ISERROR(SEARCH("RES",P39)))</formula>
    </cfRule>
    <cfRule type="containsText" dxfId="1009" priority="30" operator="containsText" text="CEX">
      <formula>NOT(ISERROR(SEARCH("CEX",P39)))</formula>
    </cfRule>
    <cfRule type="containsText" dxfId="1008" priority="31" operator="containsText" text="RTT">
      <formula>NOT(ISERROR(SEARCH("RTT",P39)))</formula>
    </cfRule>
    <cfRule type="beginsWith" dxfId="1007" priority="32" operator="beginsWith" text="CA">
      <formula>LEFT(P39,LEN("CA"))="CA"</formula>
    </cfRule>
    <cfRule type="containsText" dxfId="1006" priority="33" operator="containsText" text="AST">
      <formula>NOT(ISERROR(SEARCH("AST",P39)))</formula>
    </cfRule>
    <cfRule type="containsText" dxfId="1005" priority="34" operator="containsText" text="F">
      <formula>NOT(ISERROR(SEARCH("F",P39)))</formula>
    </cfRule>
    <cfRule type="containsText" dxfId="1004" priority="35" operator="containsText" text="PC">
      <formula>NOT(ISERROR(SEARCH("PC",P39)))</formula>
    </cfRule>
    <cfRule type="containsText" dxfId="1003" priority="36" operator="containsText" text="P">
      <formula>NOT(ISERROR(SEARCH("P",P39)))</formula>
    </cfRule>
  </conditionalFormatting>
  <conditionalFormatting sqref="P64:AT69">
    <cfRule type="containsText" dxfId="1002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001" priority="3" operator="containsText" text="AT">
      <formula>NOT(ISERROR(SEARCH("AT",P64)))</formula>
    </cfRule>
    <cfRule type="containsText" dxfId="1000" priority="4" operator="containsText" text="MA">
      <formula>NOT(ISERROR(SEARCH("MA",P64)))</formula>
    </cfRule>
    <cfRule type="containsText" dxfId="999" priority="5" operator="containsText" text="RES">
      <formula>NOT(ISERROR(SEARCH("RES",P64)))</formula>
    </cfRule>
    <cfRule type="containsText" dxfId="998" priority="6" operator="containsText" text="CEX">
      <formula>NOT(ISERROR(SEARCH("CEX",P64)))</formula>
    </cfRule>
    <cfRule type="containsText" dxfId="997" priority="7" operator="containsText" text="RTT">
      <formula>NOT(ISERROR(SEARCH("RTT",P64)))</formula>
    </cfRule>
    <cfRule type="beginsWith" dxfId="996" priority="8" operator="beginsWith" text="CA">
      <formula>LEFT(P64,LEN("CA"))="CA"</formula>
    </cfRule>
    <cfRule type="containsText" dxfId="995" priority="9" operator="containsText" text="AST">
      <formula>NOT(ISERROR(SEARCH("AST",P64)))</formula>
    </cfRule>
    <cfRule type="containsText" dxfId="994" priority="10" operator="containsText" text="F">
      <formula>NOT(ISERROR(SEARCH("F",P64)))</formula>
    </cfRule>
    <cfRule type="containsText" dxfId="993" priority="11" operator="containsText" text="PC">
      <formula>NOT(ISERROR(SEARCH("PC",P64)))</formula>
    </cfRule>
    <cfRule type="containsText" dxfId="992" priority="12" operator="containsText" text="P">
      <formula>NOT(ISERROR(SEARCH("P",P64)))</formula>
    </cfRule>
  </conditionalFormatting>
  <dataValidations count="3">
    <dataValidation type="list" allowBlank="1" showInputMessage="1" showErrorMessage="1" sqref="P11:AT20 P23:AT24 P26:AT29 P31:AT36 P39:AT49 P51:AT62 P64:AT69" xr:uid="{00000000-0002-0000-0500-000000000000}">
      <formula1>"P, PC, F, AST, CA, RTT, CEX, RES, MA, AT, TAD, TP"</formula1>
    </dataValidation>
    <dataValidation type="list" allowBlank="1" showInputMessage="1" showErrorMessage="1" sqref="T78" xr:uid="{00000000-0002-0000-0500-000001000000}">
      <formula1>$D$9:$O$9</formula1>
    </dataValidation>
    <dataValidation type="list" allowBlank="1" showInputMessage="1" showErrorMessage="1" sqref="P10:AT10" xr:uid="{00000000-0002-0000-05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39" sqref="P39:AS49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5" width="4.28515625" style="19" customWidth="1"/>
    <col min="46" max="46" width="11.42578125" style="19" customWidth="1"/>
    <col min="47" max="47" width="4.42578125" style="19" bestFit="1" customWidth="1"/>
    <col min="48" max="55" width="3.140625" style="19" bestFit="1" customWidth="1"/>
    <col min="56" max="56" width="3.5703125" style="19" customWidth="1"/>
    <col min="57" max="57" width="3.140625" style="19" customWidth="1"/>
    <col min="58" max="58" width="11.42578125" style="19" customWidth="1"/>
    <col min="59" max="16384" width="11.42578125" style="19"/>
  </cols>
  <sheetData>
    <row r="1" spans="1:57" ht="15" customHeight="1" x14ac:dyDescent="0.25">
      <c r="A1" s="27">
        <f>config!B10</f>
        <v>46174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27">
        <f>config!C10</f>
        <v>46203</v>
      </c>
    </row>
    <row r="3" spans="1:57" ht="15" customHeight="1" x14ac:dyDescent="0.25">
      <c r="A3" s="27"/>
    </row>
    <row r="4" spans="1:57" ht="56.25" customHeight="1" x14ac:dyDescent="0.25">
      <c r="A4" s="27"/>
      <c r="P4" s="28">
        <f>A1</f>
        <v>46174</v>
      </c>
      <c r="Q4" s="28">
        <f t="shared" ref="Q4:AS4" si="0">P4+1</f>
        <v>46175</v>
      </c>
      <c r="R4" s="28">
        <f t="shared" si="0"/>
        <v>46176</v>
      </c>
      <c r="S4" s="28">
        <f t="shared" si="0"/>
        <v>46177</v>
      </c>
      <c r="T4" s="28">
        <f t="shared" si="0"/>
        <v>46178</v>
      </c>
      <c r="U4" s="28">
        <f t="shared" si="0"/>
        <v>46179</v>
      </c>
      <c r="V4" s="28">
        <f t="shared" si="0"/>
        <v>46180</v>
      </c>
      <c r="W4" s="28">
        <f t="shared" si="0"/>
        <v>46181</v>
      </c>
      <c r="X4" s="28">
        <f t="shared" si="0"/>
        <v>46182</v>
      </c>
      <c r="Y4" s="28">
        <f t="shared" si="0"/>
        <v>46183</v>
      </c>
      <c r="Z4" s="28">
        <f t="shared" si="0"/>
        <v>46184</v>
      </c>
      <c r="AA4" s="28">
        <f t="shared" si="0"/>
        <v>46185</v>
      </c>
      <c r="AB4" s="28">
        <f t="shared" si="0"/>
        <v>46186</v>
      </c>
      <c r="AC4" s="28">
        <f t="shared" si="0"/>
        <v>46187</v>
      </c>
      <c r="AD4" s="28">
        <f t="shared" si="0"/>
        <v>46188</v>
      </c>
      <c r="AE4" s="28">
        <f t="shared" si="0"/>
        <v>46189</v>
      </c>
      <c r="AF4" s="28">
        <f t="shared" si="0"/>
        <v>46190</v>
      </c>
      <c r="AG4" s="28">
        <f t="shared" si="0"/>
        <v>46191</v>
      </c>
      <c r="AH4" s="28">
        <f t="shared" si="0"/>
        <v>46192</v>
      </c>
      <c r="AI4" s="28">
        <f t="shared" si="0"/>
        <v>46193</v>
      </c>
      <c r="AJ4" s="28">
        <f t="shared" si="0"/>
        <v>46194</v>
      </c>
      <c r="AK4" s="28">
        <f t="shared" si="0"/>
        <v>46195</v>
      </c>
      <c r="AL4" s="28">
        <f t="shared" si="0"/>
        <v>46196</v>
      </c>
      <c r="AM4" s="28">
        <f t="shared" si="0"/>
        <v>46197</v>
      </c>
      <c r="AN4" s="28">
        <f t="shared" si="0"/>
        <v>46198</v>
      </c>
      <c r="AO4" s="28">
        <f t="shared" si="0"/>
        <v>46199</v>
      </c>
      <c r="AP4" s="28">
        <f t="shared" si="0"/>
        <v>46200</v>
      </c>
      <c r="AQ4" s="28">
        <f t="shared" si="0"/>
        <v>46201</v>
      </c>
      <c r="AR4" s="28">
        <f t="shared" si="0"/>
        <v>46202</v>
      </c>
      <c r="AS4" s="28">
        <f t="shared" si="0"/>
        <v>46203</v>
      </c>
      <c r="AT4" s="28"/>
      <c r="AU4" s="27"/>
      <c r="AV4" s="27"/>
      <c r="AW4" s="27"/>
      <c r="AX4" s="27"/>
      <c r="AY4" s="27"/>
      <c r="AZ4" s="27"/>
      <c r="BA4" s="27"/>
    </row>
    <row r="5" spans="1:57" x14ac:dyDescent="0.25">
      <c r="A5" s="295" t="str">
        <f>TEXT(A1,"mmmmmmmmmmmm")</f>
        <v>juin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</row>
    <row r="6" spans="1:57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</row>
    <row r="7" spans="1:57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</row>
    <row r="8" spans="1:57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64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21"/>
      <c r="AJ8" s="164"/>
      <c r="AK8" s="121"/>
      <c r="AL8" s="121"/>
      <c r="AM8" s="121"/>
      <c r="AN8" s="121"/>
      <c r="AO8" s="121"/>
      <c r="AP8" s="121"/>
      <c r="AQ8" s="121"/>
      <c r="AR8" s="164"/>
      <c r="AS8" s="121"/>
    </row>
    <row r="9" spans="1:57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44">
        <f t="shared" ref="P9:AS9" si="1">IFERROR(WEEKDAY(P4),"")</f>
        <v>2</v>
      </c>
      <c r="Q9" s="44">
        <f t="shared" si="1"/>
        <v>3</v>
      </c>
      <c r="R9" s="14">
        <f t="shared" si="1"/>
        <v>4</v>
      </c>
      <c r="S9" s="14">
        <f t="shared" si="1"/>
        <v>5</v>
      </c>
      <c r="T9" s="14">
        <f t="shared" si="1"/>
        <v>6</v>
      </c>
      <c r="U9" s="14">
        <f t="shared" si="1"/>
        <v>7</v>
      </c>
      <c r="V9" s="14">
        <f t="shared" si="1"/>
        <v>1</v>
      </c>
      <c r="W9" s="14">
        <f t="shared" si="1"/>
        <v>2</v>
      </c>
      <c r="X9" s="14">
        <f t="shared" si="1"/>
        <v>3</v>
      </c>
      <c r="Y9" s="14">
        <f t="shared" si="1"/>
        <v>4</v>
      </c>
      <c r="Z9" s="14">
        <f t="shared" si="1"/>
        <v>5</v>
      </c>
      <c r="AA9" s="14">
        <f t="shared" si="1"/>
        <v>6</v>
      </c>
      <c r="AB9" s="14">
        <f t="shared" si="1"/>
        <v>7</v>
      </c>
      <c r="AC9" s="14">
        <f t="shared" si="1"/>
        <v>1</v>
      </c>
      <c r="AD9" s="14">
        <f t="shared" si="1"/>
        <v>2</v>
      </c>
      <c r="AE9" s="14">
        <f t="shared" si="1"/>
        <v>3</v>
      </c>
      <c r="AF9" s="14">
        <f t="shared" si="1"/>
        <v>4</v>
      </c>
      <c r="AG9" s="14">
        <f t="shared" si="1"/>
        <v>5</v>
      </c>
      <c r="AH9" s="14">
        <f t="shared" si="1"/>
        <v>6</v>
      </c>
      <c r="AI9" s="14">
        <f t="shared" si="1"/>
        <v>7</v>
      </c>
      <c r="AJ9" s="14">
        <f t="shared" si="1"/>
        <v>1</v>
      </c>
      <c r="AK9" s="14">
        <f t="shared" si="1"/>
        <v>2</v>
      </c>
      <c r="AL9" s="14">
        <f t="shared" si="1"/>
        <v>3</v>
      </c>
      <c r="AM9" s="14">
        <f t="shared" si="1"/>
        <v>4</v>
      </c>
      <c r="AN9" s="14">
        <f t="shared" si="1"/>
        <v>5</v>
      </c>
      <c r="AO9" s="14">
        <f t="shared" si="1"/>
        <v>6</v>
      </c>
      <c r="AP9" s="14">
        <f t="shared" si="1"/>
        <v>7</v>
      </c>
      <c r="AQ9" s="14">
        <f t="shared" si="1"/>
        <v>1</v>
      </c>
      <c r="AR9" s="14">
        <f t="shared" si="1"/>
        <v>2</v>
      </c>
      <c r="AS9" s="24">
        <f t="shared" si="1"/>
        <v>3</v>
      </c>
      <c r="AT9" s="26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25">
        <f t="shared" ref="P10:AS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6"/>
    </row>
    <row r="11" spans="1:57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87"/>
      <c r="Q11" s="20"/>
      <c r="R11" s="20"/>
      <c r="S11" s="20"/>
      <c r="T11" s="20"/>
      <c r="U11" s="86"/>
      <c r="V11" s="86"/>
      <c r="W11" s="20"/>
      <c r="X11" s="20"/>
      <c r="Y11" s="20"/>
      <c r="Z11" s="20"/>
      <c r="AA11" s="20"/>
      <c r="AB11" s="86"/>
      <c r="AC11" s="86"/>
      <c r="AD11" s="20"/>
      <c r="AE11" s="20"/>
      <c r="AF11" s="20"/>
      <c r="AG11" s="20"/>
      <c r="AH11" s="20"/>
      <c r="AI11" s="86"/>
      <c r="AJ11" s="86"/>
      <c r="AK11" s="20"/>
      <c r="AL11" s="20"/>
      <c r="AM11" s="20"/>
      <c r="AN11" s="20"/>
      <c r="AO11" s="20"/>
      <c r="AP11" s="86"/>
      <c r="AQ11" s="86"/>
      <c r="AR11" s="20"/>
      <c r="AS11" s="34"/>
      <c r="AU11" s="290" t="s">
        <v>217</v>
      </c>
      <c r="AV11" s="291"/>
      <c r="AW11" s="291"/>
      <c r="AX11" s="291"/>
      <c r="AY11" s="291"/>
      <c r="AZ11" s="291"/>
      <c r="BA11" s="291"/>
      <c r="BB11" s="291"/>
      <c r="BC11" s="291"/>
      <c r="BD11" s="291"/>
      <c r="BE11" s="292"/>
    </row>
    <row r="12" spans="1:57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90"/>
      <c r="Q12" s="8"/>
      <c r="R12" s="8"/>
      <c r="S12" s="8"/>
      <c r="T12" s="8"/>
      <c r="U12" s="94"/>
      <c r="V12" s="94"/>
      <c r="W12" s="8"/>
      <c r="X12" s="8"/>
      <c r="Y12" s="8"/>
      <c r="Z12" s="8"/>
      <c r="AA12" s="8"/>
      <c r="AB12" s="94"/>
      <c r="AC12" s="94"/>
      <c r="AD12" s="8"/>
      <c r="AE12" s="8"/>
      <c r="AF12" s="8"/>
      <c r="AG12" s="8"/>
      <c r="AH12" s="8"/>
      <c r="AI12" s="94"/>
      <c r="AJ12" s="94"/>
      <c r="AK12" s="8"/>
      <c r="AL12" s="8"/>
      <c r="AM12" s="8"/>
      <c r="AN12" s="8"/>
      <c r="AO12" s="8"/>
      <c r="AP12" s="94"/>
      <c r="AQ12" s="94"/>
      <c r="AR12" s="8"/>
      <c r="AS12" s="35"/>
      <c r="AU12" s="15" t="s">
        <v>194</v>
      </c>
      <c r="AV12" s="78" t="s">
        <v>195</v>
      </c>
      <c r="AW12" s="12" t="s">
        <v>196</v>
      </c>
      <c r="AX12" s="79" t="s">
        <v>197</v>
      </c>
      <c r="AY12" s="10" t="s">
        <v>198</v>
      </c>
      <c r="AZ12" s="80" t="s">
        <v>199</v>
      </c>
      <c r="BA12" s="11" t="s">
        <v>200</v>
      </c>
      <c r="BB12" s="81" t="s">
        <v>201</v>
      </c>
      <c r="BC12" s="82" t="s">
        <v>202</v>
      </c>
      <c r="BD12" s="83" t="s">
        <v>203</v>
      </c>
      <c r="BE12" s="16" t="s">
        <v>205</v>
      </c>
    </row>
    <row r="13" spans="1:57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90"/>
      <c r="Q13" s="8"/>
      <c r="R13" s="8"/>
      <c r="S13" s="8"/>
      <c r="T13" s="8"/>
      <c r="U13" s="94"/>
      <c r="V13" s="94"/>
      <c r="W13" s="8"/>
      <c r="X13" s="8"/>
      <c r="Y13" s="8"/>
      <c r="Z13" s="8"/>
      <c r="AA13" s="8"/>
      <c r="AB13" s="94"/>
      <c r="AC13" s="94"/>
      <c r="AD13" s="8"/>
      <c r="AE13" s="8"/>
      <c r="AF13" s="8"/>
      <c r="AG13" s="8"/>
      <c r="AH13" s="8"/>
      <c r="AI13" s="94"/>
      <c r="AJ13" s="94"/>
      <c r="AK13" s="8"/>
      <c r="AL13" s="8"/>
      <c r="AM13" s="8"/>
      <c r="AN13" s="8"/>
      <c r="AO13" s="8"/>
      <c r="AP13" s="94"/>
      <c r="AQ13" s="94"/>
      <c r="AR13" s="8"/>
      <c r="AS13" s="35"/>
      <c r="AU13" s="19">
        <f>COUNTIF(P11:AS29,"p")</f>
        <v>0</v>
      </c>
      <c r="AV13" s="19">
        <f>COUNTIF(P11:AS29,"PC")</f>
        <v>0</v>
      </c>
      <c r="AW13" s="19">
        <f>COUNTIF(P11:AS29,"f")</f>
        <v>0</v>
      </c>
      <c r="AX13" s="19">
        <f>COUNTIF(P11:AS29,"ast")</f>
        <v>0</v>
      </c>
      <c r="AY13" s="19">
        <f>COUNTIF(P11:AS29,"ca")</f>
        <v>0</v>
      </c>
      <c r="AZ13" s="19">
        <f>COUNTIF(P11:AS29,"rtt")</f>
        <v>0</v>
      </c>
      <c r="BA13" s="19">
        <f>COUNTIF(P11:AS29,"CEX")</f>
        <v>0</v>
      </c>
      <c r="BB13" s="19">
        <f>COUNTIF(P11:AS29,"RES")</f>
        <v>0</v>
      </c>
      <c r="BC13" s="19">
        <f>COUNTIF(P11:AS29,"MA")</f>
        <v>0</v>
      </c>
      <c r="BD13" s="19">
        <f>COUNTIF(P11:AS29,"AT")</f>
        <v>0</v>
      </c>
      <c r="BE13" s="19">
        <f>COUNTIF(P11:AS29,"TP")</f>
        <v>0</v>
      </c>
    </row>
    <row r="14" spans="1:57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90"/>
      <c r="Q14" s="8"/>
      <c r="R14" s="8"/>
      <c r="S14" s="8"/>
      <c r="T14" s="8"/>
      <c r="U14" s="94"/>
      <c r="V14" s="94"/>
      <c r="W14" s="8"/>
      <c r="X14" s="8"/>
      <c r="Y14" s="8"/>
      <c r="Z14" s="8"/>
      <c r="AA14" s="8"/>
      <c r="AB14" s="94"/>
      <c r="AC14" s="94"/>
      <c r="AD14" s="8"/>
      <c r="AE14" s="8"/>
      <c r="AF14" s="8"/>
      <c r="AG14" s="8"/>
      <c r="AH14" s="8"/>
      <c r="AI14" s="94"/>
      <c r="AJ14" s="94"/>
      <c r="AK14" s="8"/>
      <c r="AL14" s="8"/>
      <c r="AM14" s="8"/>
      <c r="AN14" s="8"/>
      <c r="AO14" s="8"/>
      <c r="AP14" s="94"/>
      <c r="AQ14" s="94"/>
      <c r="AR14" s="8"/>
      <c r="AS14" s="35"/>
    </row>
    <row r="15" spans="1:57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90"/>
      <c r="Q15" s="8"/>
      <c r="R15" s="8"/>
      <c r="S15" s="8"/>
      <c r="T15" s="8"/>
      <c r="U15" s="94"/>
      <c r="V15" s="94"/>
      <c r="W15" s="8"/>
      <c r="X15" s="8"/>
      <c r="Y15" s="8"/>
      <c r="Z15" s="8"/>
      <c r="AA15" s="8"/>
      <c r="AB15" s="94"/>
      <c r="AC15" s="94"/>
      <c r="AD15" s="8"/>
      <c r="AE15" s="8"/>
      <c r="AF15" s="8"/>
      <c r="AG15" s="8"/>
      <c r="AH15" s="8"/>
      <c r="AI15" s="94"/>
      <c r="AJ15" s="94"/>
      <c r="AK15" s="8"/>
      <c r="AL15" s="8"/>
      <c r="AM15" s="8"/>
      <c r="AN15" s="8"/>
      <c r="AO15" s="8"/>
      <c r="AP15" s="94"/>
      <c r="AQ15" s="94"/>
      <c r="AR15" s="8"/>
      <c r="AS15" s="35"/>
    </row>
    <row r="16" spans="1:57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90"/>
      <c r="Q16" s="8"/>
      <c r="R16" s="8"/>
      <c r="S16" s="8"/>
      <c r="T16" s="8"/>
      <c r="U16" s="94"/>
      <c r="V16" s="94"/>
      <c r="W16" s="8"/>
      <c r="X16" s="8"/>
      <c r="Y16" s="8"/>
      <c r="Z16" s="8"/>
      <c r="AA16" s="8"/>
      <c r="AB16" s="94"/>
      <c r="AC16" s="94"/>
      <c r="AD16" s="8"/>
      <c r="AE16" s="8"/>
      <c r="AF16" s="8"/>
      <c r="AG16" s="8"/>
      <c r="AH16" s="8"/>
      <c r="AI16" s="94"/>
      <c r="AJ16" s="94"/>
      <c r="AK16" s="8"/>
      <c r="AL16" s="8"/>
      <c r="AM16" s="8"/>
      <c r="AN16" s="8"/>
      <c r="AO16" s="8"/>
      <c r="AP16" s="94"/>
      <c r="AQ16" s="94"/>
      <c r="AR16" s="8"/>
      <c r="AS16" s="35"/>
    </row>
    <row r="17" spans="1:45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90"/>
      <c r="Q17" s="8"/>
      <c r="R17" s="8"/>
      <c r="S17" s="8"/>
      <c r="T17" s="8"/>
      <c r="U17" s="94"/>
      <c r="V17" s="94"/>
      <c r="W17" s="8"/>
      <c r="X17" s="8"/>
      <c r="Y17" s="8"/>
      <c r="Z17" s="8"/>
      <c r="AA17" s="8"/>
      <c r="AB17" s="94"/>
      <c r="AC17" s="94"/>
      <c r="AD17" s="8"/>
      <c r="AE17" s="8"/>
      <c r="AF17" s="8"/>
      <c r="AG17" s="8"/>
      <c r="AH17" s="8"/>
      <c r="AI17" s="94"/>
      <c r="AJ17" s="94"/>
      <c r="AK17" s="8"/>
      <c r="AL17" s="8"/>
      <c r="AM17" s="8"/>
      <c r="AN17" s="8"/>
      <c r="AO17" s="8"/>
      <c r="AP17" s="94"/>
      <c r="AQ17" s="94"/>
      <c r="AR17" s="8"/>
      <c r="AS17" s="35"/>
    </row>
    <row r="18" spans="1:45" ht="20.100000000000001" customHeight="1" thickBot="1" x14ac:dyDescent="0.3">
      <c r="A18" s="145"/>
      <c r="B18" s="146"/>
      <c r="C18" s="147"/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0</v>
      </c>
      <c r="I18" s="20">
        <f t="shared" si="8"/>
        <v>0</v>
      </c>
      <c r="J18" s="20">
        <f t="shared" si="9"/>
        <v>0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122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125"/>
    </row>
    <row r="19" spans="1:45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90"/>
      <c r="Q19" s="8"/>
      <c r="R19" s="8"/>
      <c r="S19" s="8"/>
      <c r="T19" s="8"/>
      <c r="U19" s="94"/>
      <c r="V19" s="94"/>
      <c r="W19" s="8"/>
      <c r="X19" s="8"/>
      <c r="Y19" s="8"/>
      <c r="Z19" s="8"/>
      <c r="AA19" s="8"/>
      <c r="AB19" s="94"/>
      <c r="AC19" s="94"/>
      <c r="AD19" s="8"/>
      <c r="AE19" s="8"/>
      <c r="AF19" s="8"/>
      <c r="AG19" s="8"/>
      <c r="AH19" s="8"/>
      <c r="AI19" s="94"/>
      <c r="AJ19" s="94"/>
      <c r="AK19" s="8"/>
      <c r="AL19" s="8"/>
      <c r="AM19" s="8"/>
      <c r="AN19" s="8"/>
      <c r="AO19" s="8"/>
      <c r="AP19" s="94"/>
      <c r="AQ19" s="94"/>
      <c r="AR19" s="8"/>
      <c r="AS19" s="35"/>
    </row>
    <row r="20" spans="1:45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91"/>
      <c r="Q20" s="21"/>
      <c r="R20" s="21"/>
      <c r="S20" s="21"/>
      <c r="T20" s="21"/>
      <c r="U20" s="94"/>
      <c r="V20" s="94"/>
      <c r="W20" s="21"/>
      <c r="X20" s="21"/>
      <c r="Y20" s="21"/>
      <c r="Z20" s="21"/>
      <c r="AA20" s="21"/>
      <c r="AB20" s="95"/>
      <c r="AC20" s="95"/>
      <c r="AD20" s="21"/>
      <c r="AE20" s="21"/>
      <c r="AF20" s="21"/>
      <c r="AG20" s="21"/>
      <c r="AH20" s="21"/>
      <c r="AI20" s="95"/>
      <c r="AJ20" s="95"/>
      <c r="AK20" s="21"/>
      <c r="AL20" s="21"/>
      <c r="AM20" s="21"/>
      <c r="AN20" s="21"/>
      <c r="AO20" s="21"/>
      <c r="AP20" s="95"/>
      <c r="AQ20" s="95"/>
      <c r="AR20" s="21"/>
      <c r="AS20" s="36"/>
    </row>
    <row r="21" spans="1:45" ht="20.100000000000001" customHeight="1" thickBot="1" x14ac:dyDescent="0.3">
      <c r="A21" s="54" t="str">
        <f>IFERROR(IF(config!E13="","",config!E13),"")</f>
        <v>MAINTENANCE</v>
      </c>
      <c r="B21" s="55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100"/>
      <c r="AR21" s="100"/>
      <c r="AS21" s="100"/>
    </row>
    <row r="22" spans="1:45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</row>
    <row r="23" spans="1:45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92">
        <f>COUNTIF(P23:AS23,"TP")</f>
        <v>0</v>
      </c>
      <c r="P23" s="20"/>
      <c r="Q23" s="20"/>
      <c r="R23" s="20"/>
      <c r="S23" s="20"/>
      <c r="T23" s="20"/>
      <c r="U23" s="86"/>
      <c r="V23" s="86"/>
      <c r="W23" s="20"/>
      <c r="X23" s="20"/>
      <c r="Y23" s="20"/>
      <c r="Z23" s="20"/>
      <c r="AA23" s="20"/>
      <c r="AB23" s="86"/>
      <c r="AC23" s="86"/>
      <c r="AD23" s="20"/>
      <c r="AE23" s="20"/>
      <c r="AF23" s="20"/>
      <c r="AG23" s="20"/>
      <c r="AH23" s="20"/>
      <c r="AI23" s="86"/>
      <c r="AJ23" s="86"/>
      <c r="AK23" s="20"/>
      <c r="AL23" s="20"/>
      <c r="AM23" s="20"/>
      <c r="AN23" s="20"/>
      <c r="AO23" s="20"/>
      <c r="AP23" s="86"/>
      <c r="AQ23" s="86"/>
      <c r="AR23" s="20"/>
      <c r="AS23" s="20"/>
    </row>
    <row r="24" spans="1:45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7">
        <f>COUNTIF(P24:AS24,"p")</f>
        <v>0</v>
      </c>
      <c r="E24" s="20">
        <f>COUNTIF(P24:AS24,"PC")</f>
        <v>0</v>
      </c>
      <c r="F24" s="20">
        <f>COUNTIF(P24:AS24,"f")</f>
        <v>0</v>
      </c>
      <c r="G24" s="20">
        <f>COUNTIF(P24:AS24,"ast")</f>
        <v>0</v>
      </c>
      <c r="H24" s="20">
        <f>COUNTIF(P24:AS24,"cA")</f>
        <v>0</v>
      </c>
      <c r="I24" s="20">
        <f>COUNTIF(P24:AS24,"rtt")</f>
        <v>0</v>
      </c>
      <c r="J24" s="20">
        <f>COUNTIF(P24:AS24,"cex")</f>
        <v>0</v>
      </c>
      <c r="K24" s="20">
        <f>COUNTIF(P24:AS24,"res")</f>
        <v>0</v>
      </c>
      <c r="L24" s="20">
        <f>COUNTIF(P24:AS24,"mA")</f>
        <v>0</v>
      </c>
      <c r="M24" s="20">
        <f>COUNTIF(P24:AS24,"at")</f>
        <v>0</v>
      </c>
      <c r="N24" s="20">
        <f>COUNTIF(P24:AS24,"TAD")</f>
        <v>0</v>
      </c>
      <c r="O24" s="92">
        <f>COUNTIF(P24:AS24,"TP")</f>
        <v>0</v>
      </c>
      <c r="P24" s="21"/>
      <c r="Q24" s="21"/>
      <c r="R24" s="21"/>
      <c r="S24" s="21"/>
      <c r="T24" s="21"/>
      <c r="U24" s="95"/>
      <c r="V24" s="95"/>
      <c r="W24" s="21"/>
      <c r="X24" s="21"/>
      <c r="Y24" s="21"/>
      <c r="Z24" s="21"/>
      <c r="AA24" s="21"/>
      <c r="AB24" s="95"/>
      <c r="AC24" s="95"/>
      <c r="AD24" s="21"/>
      <c r="AE24" s="21"/>
      <c r="AF24" s="21"/>
      <c r="AG24" s="21"/>
      <c r="AH24" s="21"/>
      <c r="AI24" s="95"/>
      <c r="AJ24" s="95"/>
      <c r="AK24" s="21"/>
      <c r="AL24" s="21"/>
      <c r="AM24" s="21"/>
      <c r="AN24" s="21"/>
      <c r="AO24" s="21"/>
      <c r="AP24" s="95"/>
      <c r="AQ24" s="95"/>
      <c r="AR24" s="21"/>
      <c r="AS24" s="21"/>
    </row>
    <row r="25" spans="1:45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178"/>
    </row>
    <row r="26" spans="1:45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92">
        <f>COUNTIF(P26:AS26,"TP")</f>
        <v>0</v>
      </c>
      <c r="P26" s="87"/>
      <c r="Q26" s="20"/>
      <c r="R26" s="20"/>
      <c r="S26" s="20"/>
      <c r="T26" s="20"/>
      <c r="U26" s="86"/>
      <c r="V26" s="86"/>
      <c r="W26" s="20"/>
      <c r="X26" s="20"/>
      <c r="Y26" s="20"/>
      <c r="Z26" s="20"/>
      <c r="AA26" s="20"/>
      <c r="AB26" s="86"/>
      <c r="AC26" s="86"/>
      <c r="AD26" s="20"/>
      <c r="AE26" s="20"/>
      <c r="AF26" s="20"/>
      <c r="AG26" s="20"/>
      <c r="AH26" s="20"/>
      <c r="AI26" s="86"/>
      <c r="AJ26" s="86"/>
      <c r="AK26" s="20"/>
      <c r="AL26" s="20"/>
      <c r="AM26" s="20"/>
      <c r="AN26" s="20"/>
      <c r="AO26" s="20"/>
      <c r="AP26" s="86"/>
      <c r="AQ26" s="86"/>
      <c r="AR26" s="20"/>
      <c r="AS26" s="34"/>
    </row>
    <row r="27" spans="1:45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92">
        <f>COUNTIF(P27:AS27,"TP")</f>
        <v>0</v>
      </c>
      <c r="P27" s="90"/>
      <c r="Q27" s="8"/>
      <c r="R27" s="8"/>
      <c r="S27" s="8"/>
      <c r="T27" s="8"/>
      <c r="U27" s="94"/>
      <c r="V27" s="94"/>
      <c r="W27" s="8"/>
      <c r="X27" s="8"/>
      <c r="Y27" s="8"/>
      <c r="Z27" s="8"/>
      <c r="AA27" s="8"/>
      <c r="AB27" s="94"/>
      <c r="AC27" s="94"/>
      <c r="AD27" s="8"/>
      <c r="AE27" s="8"/>
      <c r="AF27" s="8"/>
      <c r="AG27" s="8"/>
      <c r="AH27" s="8"/>
      <c r="AI27" s="94"/>
      <c r="AJ27" s="94"/>
      <c r="AK27" s="8"/>
      <c r="AL27" s="8"/>
      <c r="AM27" s="8"/>
      <c r="AN27" s="8"/>
      <c r="AO27" s="8"/>
      <c r="AP27" s="94"/>
      <c r="AQ27" s="94"/>
      <c r="AR27" s="8"/>
      <c r="AS27" s="35"/>
    </row>
    <row r="28" spans="1:45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92">
        <f>COUNTIF(P28:AS28,"TP")</f>
        <v>0</v>
      </c>
      <c r="P28" s="90"/>
      <c r="Q28" s="8"/>
      <c r="R28" s="8"/>
      <c r="S28" s="8"/>
      <c r="T28" s="8"/>
      <c r="U28" s="94"/>
      <c r="V28" s="94"/>
      <c r="W28" s="8"/>
      <c r="X28" s="8"/>
      <c r="Y28" s="8"/>
      <c r="Z28" s="8"/>
      <c r="AA28" s="8"/>
      <c r="AB28" s="94"/>
      <c r="AC28" s="94"/>
      <c r="AD28" s="8"/>
      <c r="AE28" s="8"/>
      <c r="AF28" s="8"/>
      <c r="AG28" s="8"/>
      <c r="AH28" s="8"/>
      <c r="AI28" s="94"/>
      <c r="AJ28" s="94"/>
      <c r="AK28" s="8"/>
      <c r="AL28" s="8"/>
      <c r="AM28" s="8"/>
      <c r="AN28" s="8"/>
      <c r="AO28" s="8"/>
      <c r="AP28" s="94"/>
      <c r="AQ28" s="94"/>
      <c r="AR28" s="8"/>
      <c r="AS28" s="35"/>
    </row>
    <row r="29" spans="1:45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40">
        <f>COUNTIF(P29:AS29,"TP")</f>
        <v>0</v>
      </c>
      <c r="P29" s="165"/>
      <c r="Q29" s="166"/>
      <c r="R29" s="166"/>
      <c r="S29" s="166"/>
      <c r="T29" s="166"/>
      <c r="U29" s="141"/>
      <c r="V29" s="141"/>
      <c r="W29" s="166"/>
      <c r="X29" s="166"/>
      <c r="Y29" s="166"/>
      <c r="Z29" s="166"/>
      <c r="AA29" s="166"/>
      <c r="AB29" s="141"/>
      <c r="AC29" s="141"/>
      <c r="AD29" s="166"/>
      <c r="AE29" s="166"/>
      <c r="AF29" s="166"/>
      <c r="AG29" s="166"/>
      <c r="AH29" s="166"/>
      <c r="AI29" s="141"/>
      <c r="AJ29" s="141"/>
      <c r="AK29" s="166"/>
      <c r="AL29" s="166"/>
      <c r="AM29" s="166"/>
      <c r="AN29" s="166"/>
      <c r="AO29" s="166"/>
      <c r="AP29" s="141"/>
      <c r="AQ29" s="141"/>
      <c r="AR29" s="166"/>
      <c r="AS29" s="176"/>
    </row>
    <row r="30" spans="1:45" ht="20.100000000000001" customHeight="1" thickBot="1" x14ac:dyDescent="0.3">
      <c r="A30" s="220" t="str">
        <f>IFERROR(IF(config!E22="","",config!E22),"")</f>
        <v>PROPRETE</v>
      </c>
      <c r="B30" s="221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</row>
    <row r="31" spans="1:45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40">
        <f t="shared" ref="O31:O36" si="26">COUNTIF(P31:AS31,"TP")</f>
        <v>0</v>
      </c>
      <c r="P31" s="90"/>
      <c r="Q31" s="8"/>
      <c r="R31" s="8"/>
      <c r="S31" s="8"/>
      <c r="T31" s="8"/>
      <c r="U31" s="94"/>
      <c r="V31" s="94"/>
      <c r="W31" s="8"/>
      <c r="X31" s="8"/>
      <c r="Y31" s="8"/>
      <c r="Z31" s="8"/>
      <c r="AA31" s="8"/>
      <c r="AB31" s="94"/>
      <c r="AC31" s="94"/>
      <c r="AD31" s="8"/>
      <c r="AE31" s="8"/>
      <c r="AF31" s="8"/>
      <c r="AG31" s="8"/>
      <c r="AH31" s="8"/>
      <c r="AI31" s="94"/>
      <c r="AJ31" s="94"/>
      <c r="AK31" s="8"/>
      <c r="AL31" s="8"/>
      <c r="AM31" s="8"/>
      <c r="AN31" s="8"/>
      <c r="AO31" s="8"/>
      <c r="AP31" s="94"/>
      <c r="AQ31" s="94"/>
      <c r="AR31" s="8"/>
      <c r="AS31" s="35"/>
    </row>
    <row r="32" spans="1:45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40">
        <f t="shared" si="26"/>
        <v>0</v>
      </c>
      <c r="P32" s="90"/>
      <c r="Q32" s="8"/>
      <c r="R32" s="8"/>
      <c r="S32" s="8"/>
      <c r="T32" s="8"/>
      <c r="U32" s="94"/>
      <c r="V32" s="94"/>
      <c r="W32" s="8"/>
      <c r="X32" s="8"/>
      <c r="Y32" s="8"/>
      <c r="Z32" s="8"/>
      <c r="AA32" s="8"/>
      <c r="AB32" s="94"/>
      <c r="AC32" s="94"/>
      <c r="AD32" s="8"/>
      <c r="AE32" s="8"/>
      <c r="AF32" s="8"/>
      <c r="AG32" s="8"/>
      <c r="AH32" s="8"/>
      <c r="AI32" s="94"/>
      <c r="AJ32" s="94"/>
      <c r="AK32" s="8"/>
      <c r="AL32" s="8"/>
      <c r="AM32" s="8"/>
      <c r="AN32" s="8"/>
      <c r="AO32" s="8"/>
      <c r="AP32" s="94"/>
      <c r="AQ32" s="94"/>
      <c r="AR32" s="8"/>
      <c r="AS32" s="35"/>
    </row>
    <row r="33" spans="1:57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40">
        <f t="shared" si="26"/>
        <v>0</v>
      </c>
      <c r="P33" s="90"/>
      <c r="Q33" s="8"/>
      <c r="R33" s="8"/>
      <c r="S33" s="8"/>
      <c r="T33" s="8"/>
      <c r="U33" s="94"/>
      <c r="V33" s="94"/>
      <c r="W33" s="8"/>
      <c r="X33" s="8"/>
      <c r="Y33" s="8"/>
      <c r="Z33" s="8"/>
      <c r="AA33" s="8"/>
      <c r="AB33" s="94"/>
      <c r="AC33" s="94"/>
      <c r="AD33" s="8"/>
      <c r="AE33" s="8"/>
      <c r="AF33" s="8"/>
      <c r="AG33" s="8"/>
      <c r="AH33" s="8"/>
      <c r="AI33" s="94"/>
      <c r="AJ33" s="94"/>
      <c r="AK33" s="8"/>
      <c r="AL33" s="8"/>
      <c r="AM33" s="8"/>
      <c r="AN33" s="8"/>
      <c r="AO33" s="8"/>
      <c r="AP33" s="94"/>
      <c r="AQ33" s="94"/>
      <c r="AR33" s="8"/>
      <c r="AS33" s="35"/>
    </row>
    <row r="34" spans="1:57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40">
        <f t="shared" si="26"/>
        <v>0</v>
      </c>
      <c r="P34" s="90"/>
      <c r="Q34" s="8"/>
      <c r="R34" s="8"/>
      <c r="S34" s="8"/>
      <c r="T34" s="8"/>
      <c r="U34" s="94"/>
      <c r="V34" s="94"/>
      <c r="W34" s="8"/>
      <c r="X34" s="8"/>
      <c r="Y34" s="8"/>
      <c r="Z34" s="8"/>
      <c r="AA34" s="8"/>
      <c r="AB34" s="94"/>
      <c r="AC34" s="94"/>
      <c r="AD34" s="8"/>
      <c r="AE34" s="8"/>
      <c r="AF34" s="8"/>
      <c r="AG34" s="8"/>
      <c r="AH34" s="8"/>
      <c r="AI34" s="94"/>
      <c r="AJ34" s="94"/>
      <c r="AK34" s="8"/>
      <c r="AL34" s="8"/>
      <c r="AM34" s="8"/>
      <c r="AN34" s="8"/>
      <c r="AO34" s="8"/>
      <c r="AP34" s="94"/>
      <c r="AQ34" s="94"/>
      <c r="AR34" s="8"/>
      <c r="AS34" s="35"/>
    </row>
    <row r="35" spans="1:57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40">
        <f t="shared" si="26"/>
        <v>0</v>
      </c>
      <c r="P35" s="90"/>
      <c r="Q35" s="8"/>
      <c r="R35" s="8"/>
      <c r="S35" s="8"/>
      <c r="T35" s="8"/>
      <c r="U35" s="94"/>
      <c r="V35" s="94"/>
      <c r="W35" s="8"/>
      <c r="X35" s="8"/>
      <c r="Y35" s="8"/>
      <c r="Z35" s="8"/>
      <c r="AA35" s="8"/>
      <c r="AB35" s="94"/>
      <c r="AC35" s="94"/>
      <c r="AD35" s="8"/>
      <c r="AE35" s="8"/>
      <c r="AF35" s="8"/>
      <c r="AG35" s="8"/>
      <c r="AH35" s="8"/>
      <c r="AI35" s="94"/>
      <c r="AJ35" s="94"/>
      <c r="AK35" s="8"/>
      <c r="AL35" s="8"/>
      <c r="AM35" s="8"/>
      <c r="AN35" s="8"/>
      <c r="AO35" s="8"/>
      <c r="AP35" s="94"/>
      <c r="AQ35" s="94"/>
      <c r="AR35" s="8"/>
      <c r="AS35" s="35"/>
    </row>
    <row r="36" spans="1:57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40">
        <f t="shared" si="26"/>
        <v>0</v>
      </c>
      <c r="P36" s="91"/>
      <c r="Q36" s="21"/>
      <c r="R36" s="21"/>
      <c r="S36" s="21"/>
      <c r="T36" s="21"/>
      <c r="U36" s="95"/>
      <c r="V36" s="95"/>
      <c r="W36" s="21"/>
      <c r="X36" s="21"/>
      <c r="Y36" s="21"/>
      <c r="Z36" s="21"/>
      <c r="AA36" s="21"/>
      <c r="AB36" s="95"/>
      <c r="AC36" s="95"/>
      <c r="AD36" s="21"/>
      <c r="AE36" s="21"/>
      <c r="AF36" s="21"/>
      <c r="AG36" s="21"/>
      <c r="AH36" s="21"/>
      <c r="AI36" s="95"/>
      <c r="AJ36" s="95"/>
      <c r="AK36" s="21"/>
      <c r="AL36" s="21"/>
      <c r="AM36" s="21"/>
      <c r="AN36" s="21"/>
      <c r="AO36" s="21"/>
      <c r="AP36" s="95"/>
      <c r="AQ36" s="95"/>
      <c r="AR36" s="21"/>
      <c r="AS36" s="36"/>
    </row>
    <row r="37" spans="1:57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</row>
    <row r="38" spans="1:57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U38" s="290" t="s">
        <v>218</v>
      </c>
      <c r="AV38" s="291"/>
      <c r="AW38" s="291"/>
      <c r="AX38" s="291"/>
      <c r="AY38" s="291"/>
      <c r="AZ38" s="291"/>
      <c r="BA38" s="291"/>
      <c r="BB38" s="291"/>
      <c r="BC38" s="291"/>
      <c r="BD38" s="291"/>
      <c r="BE38" s="292"/>
    </row>
    <row r="39" spans="1:57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148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124"/>
      <c r="AU39" s="15" t="s">
        <v>194</v>
      </c>
      <c r="AV39" s="78" t="s">
        <v>195</v>
      </c>
      <c r="AW39" s="12" t="s">
        <v>196</v>
      </c>
      <c r="AX39" s="79" t="s">
        <v>197</v>
      </c>
      <c r="AY39" s="10" t="s">
        <v>198</v>
      </c>
      <c r="AZ39" s="80" t="s">
        <v>199</v>
      </c>
      <c r="BA39" s="11" t="s">
        <v>200</v>
      </c>
      <c r="BB39" s="81" t="s">
        <v>201</v>
      </c>
      <c r="BC39" s="82" t="s">
        <v>202</v>
      </c>
      <c r="BD39" s="83" t="s">
        <v>203</v>
      </c>
      <c r="BE39" s="16" t="s">
        <v>205</v>
      </c>
    </row>
    <row r="40" spans="1:57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90"/>
      <c r="Q40" s="8"/>
      <c r="R40" s="8"/>
      <c r="S40" s="8"/>
      <c r="T40" s="8"/>
      <c r="U40" s="94"/>
      <c r="V40" s="94"/>
      <c r="W40" s="8"/>
      <c r="X40" s="8"/>
      <c r="Y40" s="8"/>
      <c r="Z40" s="8"/>
      <c r="AA40" s="8"/>
      <c r="AB40" s="94"/>
      <c r="AC40" s="94"/>
      <c r="AD40" s="8"/>
      <c r="AE40" s="8"/>
      <c r="AF40" s="8"/>
      <c r="AG40" s="8"/>
      <c r="AH40" s="8"/>
      <c r="AI40" s="94"/>
      <c r="AJ40" s="94"/>
      <c r="AK40" s="8"/>
      <c r="AL40" s="8"/>
      <c r="AM40" s="8"/>
      <c r="AN40" s="8"/>
      <c r="AO40" s="8"/>
      <c r="AP40" s="94"/>
      <c r="AQ40" s="94"/>
      <c r="AR40" s="8"/>
      <c r="AS40" s="35"/>
      <c r="AU40" s="19">
        <f>COUNTIF(P39:AS49,"p")</f>
        <v>0</v>
      </c>
      <c r="AV40" s="19">
        <f>COUNTIF(P39:AS49,"pc")</f>
        <v>0</v>
      </c>
      <c r="AW40" s="19">
        <f>COUNTIF(P39:AS49,"f")</f>
        <v>0</v>
      </c>
      <c r="AX40" s="19">
        <f>COUNTIF(P39:AS49,"ast")</f>
        <v>0</v>
      </c>
      <c r="AY40" s="19">
        <f>COUNTIF(P39:AS49,"cA")</f>
        <v>0</v>
      </c>
      <c r="AZ40" s="19">
        <f>COUNTIF(P39:AS49,"rtt")</f>
        <v>0</v>
      </c>
      <c r="BA40" s="19">
        <f>COUNTIF(P39:AS49,"cex")</f>
        <v>0</v>
      </c>
      <c r="BB40" s="19">
        <f>COUNTIF(P39:AS49,"RES")</f>
        <v>0</v>
      </c>
      <c r="BC40" s="19">
        <f>COUNTIF(P39:AS49,"MA")</f>
        <v>0</v>
      </c>
      <c r="BD40" s="19">
        <f>COUNTIF(P39:AS49,"at")</f>
        <v>30</v>
      </c>
      <c r="BE40" s="19">
        <f>COUNTIF(P39:AS49,"TP")</f>
        <v>0</v>
      </c>
    </row>
    <row r="41" spans="1:57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90"/>
      <c r="Q41" s="8"/>
      <c r="R41" s="8"/>
      <c r="S41" s="8"/>
      <c r="T41" s="8"/>
      <c r="U41" s="94"/>
      <c r="V41" s="94"/>
      <c r="W41" s="8"/>
      <c r="X41" s="8"/>
      <c r="Y41" s="8"/>
      <c r="Z41" s="8"/>
      <c r="AA41" s="8"/>
      <c r="AB41" s="94"/>
      <c r="AC41" s="94"/>
      <c r="AD41" s="8"/>
      <c r="AE41" s="8"/>
      <c r="AF41" s="8"/>
      <c r="AG41" s="8"/>
      <c r="AH41" s="8"/>
      <c r="AI41" s="94"/>
      <c r="AJ41" s="94"/>
      <c r="AK41" s="8"/>
      <c r="AL41" s="8"/>
      <c r="AM41" s="8"/>
      <c r="AN41" s="8"/>
      <c r="AO41" s="8"/>
      <c r="AP41" s="94"/>
      <c r="AQ41" s="94"/>
      <c r="AR41" s="8"/>
      <c r="AS41" s="35"/>
    </row>
    <row r="42" spans="1:57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90"/>
      <c r="Q42" s="8"/>
      <c r="R42" s="8"/>
      <c r="S42" s="8"/>
      <c r="T42" s="8"/>
      <c r="U42" s="94"/>
      <c r="V42" s="94"/>
      <c r="W42" s="8"/>
      <c r="X42" s="8"/>
      <c r="Y42" s="8"/>
      <c r="Z42" s="8"/>
      <c r="AA42" s="8"/>
      <c r="AB42" s="94"/>
      <c r="AC42" s="94"/>
      <c r="AD42" s="8"/>
      <c r="AE42" s="8"/>
      <c r="AF42" s="8"/>
      <c r="AG42" s="8"/>
      <c r="AH42" s="8"/>
      <c r="AI42" s="94"/>
      <c r="AJ42" s="94"/>
      <c r="AK42" s="8"/>
      <c r="AL42" s="8"/>
      <c r="AM42" s="8"/>
      <c r="AN42" s="8"/>
      <c r="AO42" s="8"/>
      <c r="AP42" s="94"/>
      <c r="AQ42" s="94"/>
      <c r="AR42" s="8"/>
      <c r="AS42" s="35"/>
    </row>
    <row r="43" spans="1:57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90"/>
      <c r="Q43" s="8"/>
      <c r="R43" s="8"/>
      <c r="S43" s="8"/>
      <c r="T43" s="8"/>
      <c r="U43" s="94"/>
      <c r="V43" s="94"/>
      <c r="W43" s="8"/>
      <c r="X43" s="8"/>
      <c r="Y43" s="8"/>
      <c r="Z43" s="8"/>
      <c r="AA43" s="8"/>
      <c r="AB43" s="94"/>
      <c r="AC43" s="94"/>
      <c r="AD43" s="8"/>
      <c r="AE43" s="8"/>
      <c r="AF43" s="8"/>
      <c r="AG43" s="8"/>
      <c r="AH43" s="8"/>
      <c r="AI43" s="94"/>
      <c r="AJ43" s="94"/>
      <c r="AK43" s="8"/>
      <c r="AL43" s="8"/>
      <c r="AM43" s="8"/>
      <c r="AN43" s="8"/>
      <c r="AO43" s="8"/>
      <c r="AP43" s="94"/>
      <c r="AQ43" s="94"/>
      <c r="AR43" s="8"/>
      <c r="AS43" s="35"/>
    </row>
    <row r="44" spans="1:57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90"/>
      <c r="Q44" s="8"/>
      <c r="R44" s="8"/>
      <c r="S44" s="8"/>
      <c r="T44" s="8"/>
      <c r="U44" s="94"/>
      <c r="V44" s="94"/>
      <c r="W44" s="8"/>
      <c r="X44" s="8"/>
      <c r="Y44" s="8"/>
      <c r="Z44" s="8"/>
      <c r="AA44" s="8"/>
      <c r="AB44" s="94"/>
      <c r="AC44" s="94"/>
      <c r="AD44" s="8"/>
      <c r="AE44" s="8"/>
      <c r="AF44" s="8"/>
      <c r="AG44" s="8"/>
      <c r="AH44" s="8"/>
      <c r="AI44" s="94"/>
      <c r="AJ44" s="94"/>
      <c r="AK44" s="8"/>
      <c r="AL44" s="8"/>
      <c r="AM44" s="8"/>
      <c r="AN44" s="8"/>
      <c r="AO44" s="8"/>
      <c r="AP44" s="94"/>
      <c r="AQ44" s="94"/>
      <c r="AR44" s="8"/>
      <c r="AS44" s="35"/>
    </row>
    <row r="45" spans="1:57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30</v>
      </c>
      <c r="N45" s="20">
        <f t="shared" si="37"/>
        <v>0</v>
      </c>
      <c r="O45" s="92">
        <f t="shared" si="38"/>
        <v>0</v>
      </c>
      <c r="P45" s="90" t="s">
        <v>203</v>
      </c>
      <c r="Q45" s="8" t="s">
        <v>203</v>
      </c>
      <c r="R45" s="8" t="s">
        <v>203</v>
      </c>
      <c r="S45" s="8" t="s">
        <v>203</v>
      </c>
      <c r="T45" s="8" t="s">
        <v>203</v>
      </c>
      <c r="U45" s="8" t="s">
        <v>203</v>
      </c>
      <c r="V45" s="8" t="s">
        <v>203</v>
      </c>
      <c r="W45" s="8" t="s">
        <v>203</v>
      </c>
      <c r="X45" s="8" t="s">
        <v>203</v>
      </c>
      <c r="Y45" s="8" t="s">
        <v>203</v>
      </c>
      <c r="Z45" s="8" t="s">
        <v>203</v>
      </c>
      <c r="AA45" s="8" t="s">
        <v>203</v>
      </c>
      <c r="AB45" s="8" t="s">
        <v>203</v>
      </c>
      <c r="AC45" s="8" t="s">
        <v>203</v>
      </c>
      <c r="AD45" s="8" t="s">
        <v>203</v>
      </c>
      <c r="AE45" s="8" t="s">
        <v>203</v>
      </c>
      <c r="AF45" s="8" t="s">
        <v>203</v>
      </c>
      <c r="AG45" s="8" t="s">
        <v>203</v>
      </c>
      <c r="AH45" s="8" t="s">
        <v>203</v>
      </c>
      <c r="AI45" s="8" t="s">
        <v>203</v>
      </c>
      <c r="AJ45" s="8" t="s">
        <v>203</v>
      </c>
      <c r="AK45" s="8" t="s">
        <v>203</v>
      </c>
      <c r="AL45" s="8" t="s">
        <v>203</v>
      </c>
      <c r="AM45" s="8" t="s">
        <v>203</v>
      </c>
      <c r="AN45" s="8" t="s">
        <v>203</v>
      </c>
      <c r="AO45" s="8" t="s">
        <v>203</v>
      </c>
      <c r="AP45" s="8" t="s">
        <v>203</v>
      </c>
      <c r="AQ45" s="8" t="s">
        <v>203</v>
      </c>
      <c r="AR45" s="8" t="s">
        <v>203</v>
      </c>
      <c r="AS45" s="35" t="s">
        <v>203</v>
      </c>
    </row>
    <row r="46" spans="1:57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90"/>
      <c r="Q46" s="8"/>
      <c r="R46" s="8"/>
      <c r="S46" s="8"/>
      <c r="T46" s="8"/>
      <c r="U46" s="94"/>
      <c r="V46" s="94"/>
      <c r="W46" s="8"/>
      <c r="X46" s="8"/>
      <c r="Y46" s="8"/>
      <c r="Z46" s="8"/>
      <c r="AA46" s="8"/>
      <c r="AB46" s="94"/>
      <c r="AC46" s="94"/>
      <c r="AD46" s="8"/>
      <c r="AE46" s="8"/>
      <c r="AF46" s="8"/>
      <c r="AG46" s="8"/>
      <c r="AH46" s="8"/>
      <c r="AI46" s="94"/>
      <c r="AJ46" s="94"/>
      <c r="AK46" s="8"/>
      <c r="AL46" s="8"/>
      <c r="AM46" s="8"/>
      <c r="AN46" s="8"/>
      <c r="AO46" s="8"/>
      <c r="AP46" s="94"/>
      <c r="AQ46" s="94"/>
      <c r="AR46" s="8"/>
      <c r="AS46" s="35"/>
    </row>
    <row r="47" spans="1:57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90"/>
      <c r="Q47" s="8"/>
      <c r="R47" s="8"/>
      <c r="S47" s="8"/>
      <c r="T47" s="8"/>
      <c r="U47" s="94"/>
      <c r="V47" s="94"/>
      <c r="W47" s="8"/>
      <c r="X47" s="8"/>
      <c r="Y47" s="8"/>
      <c r="Z47" s="8"/>
      <c r="AA47" s="8"/>
      <c r="AB47" s="94"/>
      <c r="AC47" s="94"/>
      <c r="AD47" s="8"/>
      <c r="AE47" s="8"/>
      <c r="AF47" s="8"/>
      <c r="AG47" s="8"/>
      <c r="AH47" s="8"/>
      <c r="AI47" s="94"/>
      <c r="AJ47" s="94"/>
      <c r="AK47" s="8"/>
      <c r="AL47" s="8"/>
      <c r="AM47" s="8"/>
      <c r="AN47" s="8"/>
      <c r="AO47" s="8"/>
      <c r="AP47" s="94"/>
      <c r="AQ47" s="94"/>
      <c r="AR47" s="8"/>
      <c r="AS47" s="35"/>
    </row>
    <row r="48" spans="1:57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90"/>
      <c r="Q48" s="8"/>
      <c r="R48" s="8"/>
      <c r="S48" s="8"/>
      <c r="T48" s="8"/>
      <c r="U48" s="94"/>
      <c r="V48" s="94"/>
      <c r="W48" s="8"/>
      <c r="X48" s="8"/>
      <c r="Y48" s="8"/>
      <c r="Z48" s="8"/>
      <c r="AA48" s="8"/>
      <c r="AB48" s="94"/>
      <c r="AC48" s="94"/>
      <c r="AD48" s="8"/>
      <c r="AE48" s="8"/>
      <c r="AF48" s="8"/>
      <c r="AG48" s="8"/>
      <c r="AH48" s="8"/>
      <c r="AI48" s="94"/>
      <c r="AJ48" s="94"/>
      <c r="AK48" s="8"/>
      <c r="AL48" s="8"/>
      <c r="AM48" s="8"/>
      <c r="AN48" s="8"/>
      <c r="AO48" s="8"/>
      <c r="AP48" s="94"/>
      <c r="AQ48" s="94"/>
      <c r="AR48" s="8"/>
      <c r="AS48" s="35"/>
    </row>
    <row r="49" spans="1:57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91"/>
      <c r="Q49" s="21"/>
      <c r="R49" s="21"/>
      <c r="S49" s="21"/>
      <c r="T49" s="21"/>
      <c r="U49" s="95"/>
      <c r="V49" s="95"/>
      <c r="W49" s="21"/>
      <c r="X49" s="21"/>
      <c r="Y49" s="21"/>
      <c r="Z49" s="21"/>
      <c r="AA49" s="21"/>
      <c r="AB49" s="95"/>
      <c r="AC49" s="95"/>
      <c r="AD49" s="21"/>
      <c r="AE49" s="21"/>
      <c r="AF49" s="21"/>
      <c r="AG49" s="21"/>
      <c r="AH49" s="21"/>
      <c r="AI49" s="95"/>
      <c r="AJ49" s="95"/>
      <c r="AK49" s="21"/>
      <c r="AL49" s="21"/>
      <c r="AM49" s="21"/>
      <c r="AN49" s="21"/>
      <c r="AO49" s="21"/>
      <c r="AP49" s="95"/>
      <c r="AQ49" s="95"/>
      <c r="AR49" s="21"/>
      <c r="AS49" s="36"/>
    </row>
    <row r="50" spans="1:57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U50" s="290" t="s">
        <v>219</v>
      </c>
      <c r="AV50" s="291"/>
      <c r="AW50" s="291"/>
      <c r="AX50" s="291"/>
      <c r="AY50" s="291"/>
      <c r="AZ50" s="291"/>
      <c r="BA50" s="291"/>
      <c r="BB50" s="291"/>
      <c r="BC50" s="291"/>
      <c r="BD50" s="291"/>
      <c r="BE50" s="292"/>
    </row>
    <row r="51" spans="1:57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87">
        <f t="shared" ref="D51:D62" si="39">COUNTIF(P51:AS51,"p")</f>
        <v>0</v>
      </c>
      <c r="E51" s="20">
        <f t="shared" ref="E51:E62" si="40">COUNTIF(P51:AS51,"PC")</f>
        <v>0</v>
      </c>
      <c r="F51" s="20">
        <f t="shared" ref="F51:F62" si="41">COUNTIF(P51:AS51,"f")</f>
        <v>0</v>
      </c>
      <c r="G51" s="20">
        <f t="shared" ref="G51:G62" si="42">COUNTIF(P51:AS51,"ast")</f>
        <v>0</v>
      </c>
      <c r="H51" s="20">
        <f t="shared" ref="H51:H62" si="43">COUNTIF(P51:AS51,"cA")</f>
        <v>0</v>
      </c>
      <c r="I51" s="20">
        <f t="shared" ref="I51:I62" si="44">COUNTIF(P51:AS51,"rtt")</f>
        <v>0</v>
      </c>
      <c r="J51" s="20">
        <f t="shared" ref="J51:J62" si="45">COUNTIF(P51:AS51,"cex")</f>
        <v>0</v>
      </c>
      <c r="K51" s="20">
        <f t="shared" ref="K51:K62" si="46">COUNTIF(P51:AS51,"res")</f>
        <v>0</v>
      </c>
      <c r="L51" s="20">
        <f t="shared" ref="L51:L62" si="47">COUNTIF(P51:AS51,"mA")</f>
        <v>0</v>
      </c>
      <c r="M51" s="20">
        <f t="shared" ref="M51:M62" si="48">COUNTIF(P51:AS51,"at")</f>
        <v>0</v>
      </c>
      <c r="N51" s="20">
        <f t="shared" ref="N51:N62" si="49">COUNTIF(P51:AS51,"TAD")</f>
        <v>0</v>
      </c>
      <c r="O51" s="92">
        <f t="shared" ref="O51:O62" si="50">COUNTIF(P51:AS51,"TP")</f>
        <v>0</v>
      </c>
      <c r="P51" s="87"/>
      <c r="Q51" s="20"/>
      <c r="R51" s="20"/>
      <c r="S51" s="20"/>
      <c r="T51" s="20"/>
      <c r="U51" s="94"/>
      <c r="V51" s="94"/>
      <c r="W51" s="20"/>
      <c r="X51" s="20"/>
      <c r="Y51" s="20"/>
      <c r="Z51" s="20"/>
      <c r="AA51" s="20"/>
      <c r="AB51" s="86"/>
      <c r="AC51" s="86"/>
      <c r="AD51" s="20"/>
      <c r="AE51" s="20"/>
      <c r="AF51" s="20"/>
      <c r="AG51" s="20"/>
      <c r="AH51" s="20"/>
      <c r="AI51" s="198"/>
      <c r="AJ51" s="198"/>
      <c r="AK51" s="123"/>
      <c r="AL51" s="20"/>
      <c r="AM51" s="20"/>
      <c r="AN51" s="20"/>
      <c r="AO51" s="20"/>
      <c r="AP51" s="86"/>
      <c r="AQ51" s="86"/>
      <c r="AR51" s="20"/>
      <c r="AS51" s="34"/>
      <c r="AU51" s="15" t="s">
        <v>194</v>
      </c>
      <c r="AV51" s="78" t="s">
        <v>195</v>
      </c>
      <c r="AW51" s="12" t="s">
        <v>196</v>
      </c>
      <c r="AX51" s="79" t="s">
        <v>197</v>
      </c>
      <c r="AY51" s="10" t="s">
        <v>198</v>
      </c>
      <c r="AZ51" s="80" t="s">
        <v>199</v>
      </c>
      <c r="BA51" s="11" t="s">
        <v>200</v>
      </c>
      <c r="BB51" s="81" t="s">
        <v>201</v>
      </c>
      <c r="BC51" s="82" t="s">
        <v>202</v>
      </c>
      <c r="BD51" s="83" t="s">
        <v>203</v>
      </c>
      <c r="BE51" s="16" t="s">
        <v>205</v>
      </c>
    </row>
    <row r="52" spans="1:57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90"/>
      <c r="Q52" s="8"/>
      <c r="R52" s="8"/>
      <c r="S52" s="8"/>
      <c r="T52" s="8"/>
      <c r="U52" s="94"/>
      <c r="V52" s="94"/>
      <c r="W52" s="8"/>
      <c r="X52" s="8"/>
      <c r="Y52" s="8"/>
      <c r="Z52" s="8"/>
      <c r="AA52" s="8"/>
      <c r="AB52" s="94"/>
      <c r="AC52" s="94"/>
      <c r="AD52" s="8"/>
      <c r="AE52" s="8"/>
      <c r="AF52" s="8"/>
      <c r="AG52" s="8"/>
      <c r="AH52" s="8"/>
      <c r="AI52" s="94"/>
      <c r="AJ52" s="94"/>
      <c r="AK52" s="8"/>
      <c r="AL52" s="8"/>
      <c r="AM52" s="8"/>
      <c r="AN52" s="8"/>
      <c r="AO52" s="8"/>
      <c r="AP52" s="94"/>
      <c r="AQ52" s="94"/>
      <c r="AR52" s="8"/>
      <c r="AS52" s="35"/>
      <c r="AU52" s="19">
        <f>COUNTIF(P51:AS62,"P")</f>
        <v>0</v>
      </c>
      <c r="AV52" s="19">
        <f>COUNTIF(P51:AS62,"PC")</f>
        <v>0</v>
      </c>
      <c r="AW52" s="19">
        <f>COUNTIF(P51:AS62,"F")</f>
        <v>0</v>
      </c>
      <c r="AX52" s="19">
        <f>COUNTIF(P51:AS62,"AST")</f>
        <v>0</v>
      </c>
      <c r="AY52" s="19">
        <f>COUNTIF(P51:AS62,"CA")</f>
        <v>0</v>
      </c>
      <c r="AZ52" s="19">
        <f>COUNTIF(P51:AS62,"RTT")</f>
        <v>0</v>
      </c>
      <c r="BA52" s="19">
        <f>COUNTIF(P51:AS62,"CEX")</f>
        <v>0</v>
      </c>
      <c r="BB52" s="19">
        <f>COUNTIF(P51:AS62,"RES")</f>
        <v>0</v>
      </c>
      <c r="BC52" s="19">
        <f>COUNTIF(P51:AS62,"MA")</f>
        <v>0</v>
      </c>
      <c r="BD52" s="19">
        <f>COUNTIF(P51:AS62,"AT")</f>
        <v>0</v>
      </c>
      <c r="BE52" s="19">
        <f>COUNTIF(P51:AS62,"TP")</f>
        <v>0</v>
      </c>
    </row>
    <row r="53" spans="1:57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90"/>
      <c r="Q53" s="8"/>
      <c r="R53" s="8"/>
      <c r="S53" s="8"/>
      <c r="T53" s="8"/>
      <c r="U53" s="94"/>
      <c r="V53" s="94"/>
      <c r="W53" s="8"/>
      <c r="X53" s="8"/>
      <c r="Y53" s="8"/>
      <c r="Z53" s="8"/>
      <c r="AA53" s="8"/>
      <c r="AB53" s="94"/>
      <c r="AC53" s="94"/>
      <c r="AD53" s="8"/>
      <c r="AE53" s="8"/>
      <c r="AF53" s="8"/>
      <c r="AG53" s="8"/>
      <c r="AH53" s="8"/>
      <c r="AI53" s="94"/>
      <c r="AJ53" s="94"/>
      <c r="AK53" s="8"/>
      <c r="AL53" s="8"/>
      <c r="AM53" s="8"/>
      <c r="AN53" s="8"/>
      <c r="AO53" s="8"/>
      <c r="AP53" s="94"/>
      <c r="AQ53" s="94"/>
      <c r="AR53" s="8"/>
      <c r="AS53" s="35"/>
    </row>
    <row r="54" spans="1:57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90"/>
      <c r="Q54" s="8"/>
      <c r="R54" s="8"/>
      <c r="S54" s="8"/>
      <c r="T54" s="8"/>
      <c r="U54" s="94"/>
      <c r="V54" s="94"/>
      <c r="W54" s="8"/>
      <c r="X54" s="8"/>
      <c r="Y54" s="8"/>
      <c r="Z54" s="8"/>
      <c r="AA54" s="8"/>
      <c r="AB54" s="94"/>
      <c r="AC54" s="94"/>
      <c r="AD54" s="8"/>
      <c r="AE54" s="8"/>
      <c r="AF54" s="8"/>
      <c r="AG54" s="8"/>
      <c r="AH54" s="8"/>
      <c r="AI54" s="94"/>
      <c r="AJ54" s="94"/>
      <c r="AK54" s="8"/>
      <c r="AL54" s="8"/>
      <c r="AM54" s="8"/>
      <c r="AN54" s="8"/>
      <c r="AO54" s="8"/>
      <c r="AP54" s="94"/>
      <c r="AQ54" s="94"/>
      <c r="AR54" s="8"/>
      <c r="AS54" s="35"/>
    </row>
    <row r="55" spans="1:57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90"/>
      <c r="Q55" s="8"/>
      <c r="R55" s="8"/>
      <c r="S55" s="8"/>
      <c r="T55" s="8"/>
      <c r="U55" s="94"/>
      <c r="V55" s="94"/>
      <c r="W55" s="8"/>
      <c r="X55" s="8"/>
      <c r="Y55" s="8"/>
      <c r="Z55" s="8"/>
      <c r="AA55" s="8"/>
      <c r="AB55" s="94"/>
      <c r="AC55" s="94"/>
      <c r="AD55" s="8"/>
      <c r="AE55" s="8"/>
      <c r="AF55" s="8"/>
      <c r="AG55" s="8"/>
      <c r="AH55" s="8"/>
      <c r="AI55" s="94"/>
      <c r="AJ55" s="94"/>
      <c r="AK55" s="8"/>
      <c r="AL55" s="8"/>
      <c r="AM55" s="8"/>
      <c r="AN55" s="8"/>
      <c r="AO55" s="8"/>
      <c r="AP55" s="94"/>
      <c r="AQ55" s="94"/>
      <c r="AR55" s="8"/>
      <c r="AS55" s="35"/>
    </row>
    <row r="56" spans="1:57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90"/>
      <c r="Q56" s="8"/>
      <c r="R56" s="8"/>
      <c r="S56" s="8"/>
      <c r="T56" s="8"/>
      <c r="U56" s="94"/>
      <c r="V56" s="94"/>
      <c r="W56" s="8"/>
      <c r="X56" s="8"/>
      <c r="Y56" s="8"/>
      <c r="Z56" s="8"/>
      <c r="AA56" s="8"/>
      <c r="AB56" s="94"/>
      <c r="AC56" s="94"/>
      <c r="AD56" s="8"/>
      <c r="AE56" s="8"/>
      <c r="AF56" s="8"/>
      <c r="AG56" s="8"/>
      <c r="AH56" s="8"/>
      <c r="AI56" s="94"/>
      <c r="AJ56" s="94"/>
      <c r="AK56" s="8"/>
      <c r="AL56" s="8"/>
      <c r="AM56" s="8"/>
      <c r="AN56" s="8"/>
      <c r="AO56" s="8"/>
      <c r="AP56" s="94"/>
      <c r="AQ56" s="94"/>
      <c r="AR56" s="8"/>
      <c r="AS56" s="35"/>
    </row>
    <row r="57" spans="1:57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90"/>
      <c r="Q57" s="8"/>
      <c r="R57" s="8"/>
      <c r="S57" s="8"/>
      <c r="T57" s="8"/>
      <c r="U57" s="94"/>
      <c r="V57" s="94"/>
      <c r="W57" s="8"/>
      <c r="X57" s="8"/>
      <c r="Y57" s="8"/>
      <c r="Z57" s="8"/>
      <c r="AA57" s="8"/>
      <c r="AB57" s="94"/>
      <c r="AC57" s="94"/>
      <c r="AD57" s="8"/>
      <c r="AE57" s="8"/>
      <c r="AF57" s="8"/>
      <c r="AG57" s="8"/>
      <c r="AH57" s="8"/>
      <c r="AI57" s="94"/>
      <c r="AJ57" s="94"/>
      <c r="AK57" s="8"/>
      <c r="AL57" s="8"/>
      <c r="AM57" s="8"/>
      <c r="AN57" s="8"/>
      <c r="AO57" s="8"/>
      <c r="AP57" s="94"/>
      <c r="AQ57" s="94"/>
      <c r="AR57" s="8"/>
      <c r="AS57" s="35"/>
    </row>
    <row r="58" spans="1:57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90"/>
      <c r="Q58" s="8"/>
      <c r="R58" s="8"/>
      <c r="S58" s="8"/>
      <c r="T58" s="8"/>
      <c r="U58" s="94"/>
      <c r="V58" s="94"/>
      <c r="W58" s="8"/>
      <c r="X58" s="8"/>
      <c r="Y58" s="8"/>
      <c r="Z58" s="8"/>
      <c r="AA58" s="8"/>
      <c r="AB58" s="94"/>
      <c r="AC58" s="94"/>
      <c r="AD58" s="8"/>
      <c r="AE58" s="8"/>
      <c r="AF58" s="8"/>
      <c r="AG58" s="8"/>
      <c r="AH58" s="8"/>
      <c r="AI58" s="94"/>
      <c r="AJ58" s="94"/>
      <c r="AK58" s="8"/>
      <c r="AL58" s="8"/>
      <c r="AM58" s="8"/>
      <c r="AN58" s="8"/>
      <c r="AO58" s="8"/>
      <c r="AP58" s="94"/>
      <c r="AQ58" s="94"/>
      <c r="AR58" s="8"/>
      <c r="AS58" s="35"/>
    </row>
    <row r="59" spans="1:57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90"/>
      <c r="Q59" s="8"/>
      <c r="R59" s="8"/>
      <c r="S59" s="8"/>
      <c r="T59" s="8"/>
      <c r="U59" s="94"/>
      <c r="V59" s="94"/>
      <c r="W59" s="8"/>
      <c r="X59" s="8"/>
      <c r="Y59" s="8"/>
      <c r="Z59" s="8"/>
      <c r="AA59" s="8"/>
      <c r="AB59" s="94"/>
      <c r="AC59" s="94"/>
      <c r="AD59" s="8"/>
      <c r="AE59" s="8"/>
      <c r="AF59" s="8"/>
      <c r="AG59" s="8"/>
      <c r="AH59" s="8"/>
      <c r="AI59" s="94"/>
      <c r="AJ59" s="94"/>
      <c r="AK59" s="8"/>
      <c r="AL59" s="8"/>
      <c r="AM59" s="8"/>
      <c r="AN59" s="8"/>
      <c r="AO59" s="8"/>
      <c r="AP59" s="94"/>
      <c r="AQ59" s="94"/>
      <c r="AR59" s="8"/>
      <c r="AS59" s="35"/>
    </row>
    <row r="60" spans="1:57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90"/>
      <c r="Q60" s="8"/>
      <c r="R60" s="8"/>
      <c r="S60" s="8"/>
      <c r="T60" s="8"/>
      <c r="U60" s="94"/>
      <c r="V60" s="94"/>
      <c r="W60" s="8"/>
      <c r="X60" s="8"/>
      <c r="Y60" s="8"/>
      <c r="Z60" s="8"/>
      <c r="AA60" s="8"/>
      <c r="AB60" s="94"/>
      <c r="AC60" s="94"/>
      <c r="AD60" s="8"/>
      <c r="AE60" s="8"/>
      <c r="AF60" s="8"/>
      <c r="AG60" s="8"/>
      <c r="AH60" s="8"/>
      <c r="AI60" s="94"/>
      <c r="AJ60" s="94"/>
      <c r="AK60" s="8"/>
      <c r="AL60" s="8"/>
      <c r="AM60" s="8"/>
      <c r="AN60" s="8"/>
      <c r="AO60" s="8"/>
      <c r="AP60" s="94"/>
      <c r="AQ60" s="94"/>
      <c r="AR60" s="8"/>
      <c r="AS60" s="35"/>
    </row>
    <row r="61" spans="1:57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90"/>
      <c r="Q61" s="8"/>
      <c r="R61" s="8"/>
      <c r="S61" s="8"/>
      <c r="T61" s="8"/>
      <c r="U61" s="94"/>
      <c r="V61" s="94"/>
      <c r="W61" s="8"/>
      <c r="X61" s="8"/>
      <c r="Y61" s="8"/>
      <c r="Z61" s="8"/>
      <c r="AA61" s="8"/>
      <c r="AB61" s="94"/>
      <c r="AC61" s="94"/>
      <c r="AD61" s="8"/>
      <c r="AE61" s="8"/>
      <c r="AF61" s="8"/>
      <c r="AG61" s="8"/>
      <c r="AH61" s="8"/>
      <c r="AI61" s="94"/>
      <c r="AJ61" s="94"/>
      <c r="AK61" s="8"/>
      <c r="AL61" s="8"/>
      <c r="AM61" s="8"/>
      <c r="AN61" s="8"/>
      <c r="AO61" s="8"/>
      <c r="AP61" s="94"/>
      <c r="AQ61" s="94"/>
      <c r="AR61" s="8"/>
      <c r="AS61" s="35"/>
    </row>
    <row r="62" spans="1:57" ht="20.100000000000001" customHeight="1" thickBot="1" x14ac:dyDescent="0.3">
      <c r="A62" s="139" t="str">
        <f>IFERROR(IF(config!E54="","",config!E54),"")</f>
        <v>N019975</v>
      </c>
      <c r="B62" s="139" t="str">
        <f>IFERROR(IF(config!F54="","",config!F54),"")</f>
        <v>VILLENEUVE</v>
      </c>
      <c r="C62" s="102" t="str">
        <f>IFERROR(IF(config!G54="","",config!G54),"")</f>
        <v>Fabrice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92">
        <f t="shared" si="50"/>
        <v>0</v>
      </c>
      <c r="P62" s="91"/>
      <c r="Q62" s="21"/>
      <c r="R62" s="21"/>
      <c r="S62" s="21"/>
      <c r="T62" s="21"/>
      <c r="U62" s="95"/>
      <c r="V62" s="95"/>
      <c r="W62" s="21"/>
      <c r="X62" s="21"/>
      <c r="Y62" s="21"/>
      <c r="Z62" s="21"/>
      <c r="AA62" s="21"/>
      <c r="AB62" s="95"/>
      <c r="AC62" s="95"/>
      <c r="AD62" s="21"/>
      <c r="AE62" s="21"/>
      <c r="AF62" s="21"/>
      <c r="AG62" s="21"/>
      <c r="AH62" s="21"/>
      <c r="AI62" s="95"/>
      <c r="AJ62" s="95"/>
      <c r="AK62" s="21"/>
      <c r="AL62" s="21"/>
      <c r="AM62" s="21"/>
      <c r="AN62" s="21"/>
      <c r="AO62" s="21"/>
      <c r="AP62" s="95"/>
      <c r="AQ62" s="95"/>
      <c r="AR62" s="21"/>
      <c r="AS62" s="36"/>
    </row>
    <row r="63" spans="1:57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9"/>
      <c r="AU63" s="290" t="s">
        <v>221</v>
      </c>
      <c r="AV63" s="291"/>
      <c r="AW63" s="291"/>
      <c r="AX63" s="291"/>
      <c r="AY63" s="291"/>
      <c r="AZ63" s="291"/>
      <c r="BA63" s="291"/>
      <c r="BB63" s="291"/>
      <c r="BC63" s="291"/>
      <c r="BD63" s="291"/>
      <c r="BE63" s="292"/>
    </row>
    <row r="64" spans="1:57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>COUNTIF(P64:AS64,"p")</f>
        <v>0</v>
      </c>
      <c r="E64" s="20">
        <f>COUNTIF(P64:AS64,"PC")</f>
        <v>0</v>
      </c>
      <c r="F64" s="20">
        <f>COUNTIF(P64:AS64,"f")</f>
        <v>0</v>
      </c>
      <c r="G64" s="20">
        <f>COUNTIF(P64:AS64,"ast")</f>
        <v>0</v>
      </c>
      <c r="H64" s="20">
        <f>COUNTIF(P64:AS64,"cA")</f>
        <v>0</v>
      </c>
      <c r="I64" s="20">
        <f>COUNTIF(P64:AS64,"rtt")</f>
        <v>0</v>
      </c>
      <c r="J64" s="20">
        <f>COUNTIF(P64:AS64,"cex")</f>
        <v>0</v>
      </c>
      <c r="K64" s="20">
        <f>COUNTIF(P64:AS64,"res")</f>
        <v>0</v>
      </c>
      <c r="L64" s="20">
        <f>COUNTIF(P64:AS64,"mA")</f>
        <v>0</v>
      </c>
      <c r="M64" s="20">
        <f>COUNTIF(P64:AS64,"at")</f>
        <v>0</v>
      </c>
      <c r="N64" s="20">
        <f>COUNTIF(P64:AS64,"TAD")</f>
        <v>0</v>
      </c>
      <c r="O64" s="92">
        <f>COUNTIF(P64:AS64,"TP")</f>
        <v>0</v>
      </c>
      <c r="P64" s="87"/>
      <c r="Q64" s="20"/>
      <c r="R64" s="20"/>
      <c r="S64" s="20"/>
      <c r="T64" s="20"/>
      <c r="U64" s="86"/>
      <c r="V64" s="86"/>
      <c r="W64" s="20"/>
      <c r="X64" s="20"/>
      <c r="Y64" s="20"/>
      <c r="Z64" s="20"/>
      <c r="AA64" s="20"/>
      <c r="AB64" s="86"/>
      <c r="AC64" s="86"/>
      <c r="AD64" s="20"/>
      <c r="AE64" s="20"/>
      <c r="AF64" s="20"/>
      <c r="AG64" s="20"/>
      <c r="AH64" s="20"/>
      <c r="AI64" s="86"/>
      <c r="AJ64" s="86"/>
      <c r="AK64" s="20"/>
      <c r="AL64" s="20"/>
      <c r="AM64" s="20"/>
      <c r="AN64" s="20"/>
      <c r="AO64" s="20"/>
      <c r="AP64" s="86"/>
      <c r="AQ64" s="86"/>
      <c r="AR64" s="20"/>
      <c r="AS64" s="34"/>
      <c r="AU64" s="15" t="s">
        <v>194</v>
      </c>
      <c r="AV64" s="78" t="s">
        <v>195</v>
      </c>
      <c r="AW64" s="12" t="s">
        <v>196</v>
      </c>
      <c r="AX64" s="79" t="s">
        <v>197</v>
      </c>
      <c r="AY64" s="10" t="s">
        <v>198</v>
      </c>
      <c r="AZ64" s="80" t="s">
        <v>199</v>
      </c>
      <c r="BA64" s="11" t="s">
        <v>200</v>
      </c>
      <c r="BB64" s="81" t="s">
        <v>201</v>
      </c>
      <c r="BC64" s="82" t="s">
        <v>202</v>
      </c>
      <c r="BD64" s="83" t="s">
        <v>203</v>
      </c>
      <c r="BE64" s="16" t="s">
        <v>205</v>
      </c>
    </row>
    <row r="65" spans="1:57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>COUNTIF(P65:AS65,"p")</f>
        <v>0</v>
      </c>
      <c r="E65" s="20">
        <f>COUNTIF(P65:AS65,"PC")</f>
        <v>0</v>
      </c>
      <c r="F65" s="20">
        <f>COUNTIF(P65:AS65,"f")</f>
        <v>0</v>
      </c>
      <c r="G65" s="20">
        <f>COUNTIF(P65:AS65,"ast")</f>
        <v>0</v>
      </c>
      <c r="H65" s="20">
        <f>COUNTIF(P65:AS65,"cA")</f>
        <v>0</v>
      </c>
      <c r="I65" s="20">
        <f>COUNTIF(P65:AS65,"rtt")</f>
        <v>0</v>
      </c>
      <c r="J65" s="20">
        <f>COUNTIF(P65:AS65,"cex")</f>
        <v>0</v>
      </c>
      <c r="K65" s="20">
        <f>COUNTIF(P65:AS65,"res")</f>
        <v>0</v>
      </c>
      <c r="L65" s="20">
        <f>COUNTIF(P65:AS65,"mA")</f>
        <v>0</v>
      </c>
      <c r="M65" s="20">
        <f>COUNTIF(P65:AS65,"at")</f>
        <v>0</v>
      </c>
      <c r="N65" s="20">
        <f>COUNTIF(P65:AS65,"TAD")</f>
        <v>0</v>
      </c>
      <c r="O65" s="92">
        <f>COUNTIF(P65:AS65,"TP")</f>
        <v>0</v>
      </c>
      <c r="P65" s="90"/>
      <c r="Q65" s="8"/>
      <c r="R65" s="8"/>
      <c r="S65" s="8"/>
      <c r="T65" s="8"/>
      <c r="U65" s="94"/>
      <c r="V65" s="94"/>
      <c r="W65" s="8"/>
      <c r="X65" s="8"/>
      <c r="Y65" s="8"/>
      <c r="Z65" s="8"/>
      <c r="AA65" s="8"/>
      <c r="AB65" s="94"/>
      <c r="AC65" s="94"/>
      <c r="AD65" s="8"/>
      <c r="AE65" s="8"/>
      <c r="AF65" s="8"/>
      <c r="AG65" s="8"/>
      <c r="AH65" s="8"/>
      <c r="AI65" s="94"/>
      <c r="AJ65" s="94"/>
      <c r="AK65" s="8"/>
      <c r="AL65" s="8"/>
      <c r="AM65" s="8"/>
      <c r="AN65" s="8"/>
      <c r="AO65" s="8"/>
      <c r="AP65" s="94"/>
      <c r="AQ65" s="94"/>
      <c r="AR65" s="8"/>
      <c r="AS65" s="35"/>
      <c r="AU65" s="19">
        <f>COUNTIF(P64:AS73,"P")</f>
        <v>0</v>
      </c>
      <c r="AV65" s="19">
        <f>COUNTIF(P64:AS73,"PC")</f>
        <v>0</v>
      </c>
      <c r="AW65" s="19">
        <f>COUNTIF(P64:AS73,"F")</f>
        <v>0</v>
      </c>
      <c r="AX65" s="19">
        <f>COUNTIF(P64:AS73,"AST")</f>
        <v>0</v>
      </c>
      <c r="AY65" s="19">
        <f>COUNTIF(P64:AS73,"Ca")</f>
        <v>0</v>
      </c>
      <c r="AZ65" s="19">
        <f>COUNTIF(P64:AS73,"RTT")</f>
        <v>0</v>
      </c>
      <c r="BA65" s="19">
        <f>COUNTIF(P64:AS73,"CEX")</f>
        <v>0</v>
      </c>
      <c r="BB65" s="19">
        <f>COUNTIF(P64:AS73,"RES")</f>
        <v>0</v>
      </c>
      <c r="BC65" s="19">
        <f>COUNTIF(P64:AS73,"MA")</f>
        <v>0</v>
      </c>
      <c r="BD65" s="19">
        <f>COUNTIF(P64:AS73,"AT")</f>
        <v>0</v>
      </c>
      <c r="BE65" s="19">
        <f>COUNTIF(P64:AS73,"TP")</f>
        <v>0</v>
      </c>
    </row>
    <row r="66" spans="1:57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>COUNTIF(P66:AS66,"p")</f>
        <v>0</v>
      </c>
      <c r="E66" s="20">
        <f>COUNTIF(P66:AS66,"PC")</f>
        <v>0</v>
      </c>
      <c r="F66" s="20">
        <f>COUNTIF(P66:AS66,"f")</f>
        <v>0</v>
      </c>
      <c r="G66" s="20">
        <f>COUNTIF(P66:AS66,"ast")</f>
        <v>0</v>
      </c>
      <c r="H66" s="20">
        <f>COUNTIF(P66:AS66,"cA")</f>
        <v>0</v>
      </c>
      <c r="I66" s="20">
        <f>COUNTIF(P66:AS66,"rtt")</f>
        <v>0</v>
      </c>
      <c r="J66" s="20">
        <f>COUNTIF(P66:AS66,"cex")</f>
        <v>0</v>
      </c>
      <c r="K66" s="20">
        <f>COUNTIF(P66:AS66,"res")</f>
        <v>0</v>
      </c>
      <c r="L66" s="20">
        <f>COUNTIF(P66:AS66,"mA")</f>
        <v>0</v>
      </c>
      <c r="M66" s="20">
        <f>COUNTIF(P66:AS66,"at")</f>
        <v>0</v>
      </c>
      <c r="N66" s="20">
        <f>COUNTIF(P66:AS66,"TAD")</f>
        <v>0</v>
      </c>
      <c r="O66" s="92">
        <f>COUNTIF(P66:AS66,"TP")</f>
        <v>0</v>
      </c>
      <c r="P66" s="90"/>
      <c r="Q66" s="8"/>
      <c r="R66" s="8"/>
      <c r="S66" s="8"/>
      <c r="T66" s="8"/>
      <c r="U66" s="94"/>
      <c r="V66" s="94"/>
      <c r="W66" s="8"/>
      <c r="X66" s="8"/>
      <c r="Y66" s="8"/>
      <c r="Z66" s="8"/>
      <c r="AA66" s="8"/>
      <c r="AB66" s="94"/>
      <c r="AC66" s="94"/>
      <c r="AD66" s="8"/>
      <c r="AE66" s="8"/>
      <c r="AF66" s="8"/>
      <c r="AG66" s="8"/>
      <c r="AH66" s="8"/>
      <c r="AI66" s="94"/>
      <c r="AJ66" s="94"/>
      <c r="AK66" s="8"/>
      <c r="AL66" s="8"/>
      <c r="AM66" s="8"/>
      <c r="AN66" s="8"/>
      <c r="AO66" s="8"/>
      <c r="AP66" s="94"/>
      <c r="AQ66" s="94"/>
      <c r="AR66" s="8"/>
      <c r="AS66" s="35"/>
    </row>
    <row r="67" spans="1:57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8">
        <f>COUNTIF(P67:AS67,"p")</f>
        <v>0</v>
      </c>
      <c r="E67" s="89">
        <f>COUNTIF(P67:AS67,"PC")</f>
        <v>0</v>
      </c>
      <c r="F67" s="89">
        <f>COUNTIF(P67:AS67,"f")</f>
        <v>0</v>
      </c>
      <c r="G67" s="89">
        <f>COUNTIF(P67:AS67,"ast")</f>
        <v>0</v>
      </c>
      <c r="H67" s="89">
        <f>COUNTIF(P67:AS67,"cA")</f>
        <v>0</v>
      </c>
      <c r="I67" s="89">
        <f>COUNTIF(P67:AS67,"rtt")</f>
        <v>0</v>
      </c>
      <c r="J67" s="89">
        <f>COUNTIF(P67:AS67,"cex")</f>
        <v>0</v>
      </c>
      <c r="K67" s="89">
        <f>COUNTIF(P67:AS67,"res")</f>
        <v>0</v>
      </c>
      <c r="L67" s="89">
        <f>COUNTIF(P67:AS67,"mA")</f>
        <v>0</v>
      </c>
      <c r="M67" s="89">
        <f>COUNTIF(P67:AS67,"at")</f>
        <v>0</v>
      </c>
      <c r="N67" s="89">
        <f>COUNTIF(P67:AS67,"TAD")</f>
        <v>0</v>
      </c>
      <c r="O67" s="93">
        <f>COUNTIF(P67:AS67,"TP")</f>
        <v>0</v>
      </c>
      <c r="P67" s="91"/>
      <c r="Q67" s="21"/>
      <c r="R67" s="21"/>
      <c r="S67" s="21"/>
      <c r="T67" s="21"/>
      <c r="U67" s="95"/>
      <c r="V67" s="95"/>
      <c r="W67" s="21"/>
      <c r="X67" s="21"/>
      <c r="Y67" s="21"/>
      <c r="Z67" s="21"/>
      <c r="AA67" s="21"/>
      <c r="AB67" s="95"/>
      <c r="AC67" s="95"/>
      <c r="AD67" s="21"/>
      <c r="AE67" s="21"/>
      <c r="AF67" s="21"/>
      <c r="AG67" s="21"/>
      <c r="AH67" s="21"/>
      <c r="AI67" s="95"/>
      <c r="AJ67" s="95"/>
      <c r="AK67" s="21"/>
      <c r="AL67" s="21"/>
      <c r="AM67" s="21"/>
      <c r="AN67" s="21"/>
      <c r="AO67" s="21"/>
      <c r="AP67" s="95"/>
      <c r="AQ67" s="95"/>
      <c r="AR67" s="21"/>
      <c r="AS67" s="36"/>
    </row>
    <row r="76" spans="1:57" x14ac:dyDescent="0.25">
      <c r="T76" s="19" t="s">
        <v>194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991" priority="162" operator="equal">
      <formula>"repos"</formula>
    </cfRule>
    <cfRule type="cellIs" dxfId="990" priority="163" operator="equal">
      <formula>"permanence"</formula>
    </cfRule>
    <cfRule type="cellIs" dxfId="989" priority="164" operator="equal">
      <formula>"dimanche"</formula>
    </cfRule>
    <cfRule type="cellIs" dxfId="988" priority="165" operator="equal">
      <formula>"formation"</formula>
    </cfRule>
    <cfRule type="cellIs" dxfId="987" priority="166" operator="equal">
      <formula>"conges exc"</formula>
    </cfRule>
    <cfRule type="cellIs" dxfId="986" priority="167" operator="equal">
      <formula>"conges"</formula>
    </cfRule>
    <cfRule type="cellIs" dxfId="985" priority="168" operator="equal">
      <formula>"asa"</formula>
    </cfRule>
    <cfRule type="cellIs" dxfId="984" priority="169" operator="equal">
      <formula>"maladie / at"</formula>
    </cfRule>
    <cfRule type="cellIs" dxfId="983" priority="170" operator="equal">
      <formula>"presence"</formula>
    </cfRule>
  </conditionalFormatting>
  <conditionalFormatting sqref="D11:O20 D23:O24 D26:O29 D31:O36 D39:O49 D51:O62 D64:O67">
    <cfRule type="cellIs" dxfId="982" priority="171" operator="equal">
      <formula>0</formula>
    </cfRule>
  </conditionalFormatting>
  <conditionalFormatting sqref="P20">
    <cfRule type="colorScale" priority="85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81" priority="173">
      <formula>OR(P$9=1, P$9=7)</formula>
    </cfRule>
  </conditionalFormatting>
  <conditionalFormatting sqref="P9:AS10">
    <cfRule type="expression" dxfId="980" priority="172">
      <formula>OR(P$9=1,P$9=7)</formula>
    </cfRule>
  </conditionalFormatting>
  <conditionalFormatting sqref="P11:AS20">
    <cfRule type="containsText" dxfId="979" priority="150" operator="containsText" text="TP">
      <formula>NOT(ISERROR(SEARCH("TP",P11)))</formula>
    </cfRule>
    <cfRule type="containsText" priority="151" operator="containsText" text="TAD">
      <formula>NOT(ISERROR(SEARCH("TAD",P11)))</formula>
    </cfRule>
    <cfRule type="containsText" dxfId="978" priority="152" operator="containsText" text="AT">
      <formula>NOT(ISERROR(SEARCH("AT",P11)))</formula>
    </cfRule>
    <cfRule type="containsText" dxfId="977" priority="153" operator="containsText" text="MA">
      <formula>NOT(ISERROR(SEARCH("MA",P11)))</formula>
    </cfRule>
    <cfRule type="containsText" dxfId="976" priority="154" operator="containsText" text="RES">
      <formula>NOT(ISERROR(SEARCH("RES",P11)))</formula>
    </cfRule>
    <cfRule type="containsText" dxfId="975" priority="155" operator="containsText" text="CEX">
      <formula>NOT(ISERROR(SEARCH("CEX",P11)))</formula>
    </cfRule>
    <cfRule type="containsText" dxfId="974" priority="156" operator="containsText" text="RTT">
      <formula>NOT(ISERROR(SEARCH("RTT",P11)))</formula>
    </cfRule>
    <cfRule type="beginsWith" dxfId="973" priority="157" operator="beginsWith" text="CA">
      <formula>LEFT(P11,LEN("CA"))="CA"</formula>
    </cfRule>
    <cfRule type="containsText" dxfId="972" priority="158" operator="containsText" text="AST">
      <formula>NOT(ISERROR(SEARCH("AST",P11)))</formula>
    </cfRule>
    <cfRule type="containsText" dxfId="971" priority="159" operator="containsText" text="F">
      <formula>NOT(ISERROR(SEARCH("F",P11)))</formula>
    </cfRule>
    <cfRule type="containsText" dxfId="970" priority="160" operator="containsText" text="PC">
      <formula>NOT(ISERROR(SEARCH("PC",P11)))</formula>
    </cfRule>
    <cfRule type="containsText" dxfId="969" priority="161" operator="containsText" text="P">
      <formula>NOT(ISERROR(SEARCH("P",P11)))</formula>
    </cfRule>
  </conditionalFormatting>
  <conditionalFormatting sqref="P23:AS24">
    <cfRule type="containsText" dxfId="968" priority="134" operator="containsText" text="TP">
      <formula>NOT(ISERROR(SEARCH("TP",P23)))</formula>
    </cfRule>
    <cfRule type="containsText" priority="135" operator="containsText" text="TAD">
      <formula>NOT(ISERROR(SEARCH("TAD",P23)))</formula>
    </cfRule>
    <cfRule type="containsText" dxfId="967" priority="136" operator="containsText" text="AT">
      <formula>NOT(ISERROR(SEARCH("AT",P23)))</formula>
    </cfRule>
    <cfRule type="containsText" dxfId="966" priority="137" operator="containsText" text="MA">
      <formula>NOT(ISERROR(SEARCH("MA",P23)))</formula>
    </cfRule>
    <cfRule type="containsText" dxfId="965" priority="138" operator="containsText" text="RES">
      <formula>NOT(ISERROR(SEARCH("RES",P23)))</formula>
    </cfRule>
    <cfRule type="containsText" dxfId="964" priority="139" operator="containsText" text="CEX">
      <formula>NOT(ISERROR(SEARCH("CEX",P23)))</formula>
    </cfRule>
    <cfRule type="containsText" dxfId="963" priority="140" operator="containsText" text="RTT">
      <formula>NOT(ISERROR(SEARCH("RTT",P23)))</formula>
    </cfRule>
    <cfRule type="beginsWith" dxfId="962" priority="141" operator="beginsWith" text="CA">
      <formula>LEFT(P23,LEN("CA"))="CA"</formula>
    </cfRule>
    <cfRule type="containsText" dxfId="961" priority="142" operator="containsText" text="AST">
      <formula>NOT(ISERROR(SEARCH("AST",P23)))</formula>
    </cfRule>
    <cfRule type="containsText" dxfId="960" priority="143" operator="containsText" text="F">
      <formula>NOT(ISERROR(SEARCH("F",P23)))</formula>
    </cfRule>
    <cfRule type="containsText" dxfId="959" priority="144" operator="containsText" text="PC">
      <formula>NOT(ISERROR(SEARCH("PC",P23)))</formula>
    </cfRule>
    <cfRule type="containsText" dxfId="958" priority="145" operator="containsText" text="P">
      <formula>NOT(ISERROR(SEARCH("P",P23)))</formula>
    </cfRule>
  </conditionalFormatting>
  <conditionalFormatting sqref="P26:AS29 P31:AS36">
    <cfRule type="containsText" dxfId="957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956" priority="63" operator="containsText" text="AT">
      <formula>NOT(ISERROR(SEARCH("AT",P26)))</formula>
    </cfRule>
    <cfRule type="containsText" dxfId="955" priority="64" operator="containsText" text="MA">
      <formula>NOT(ISERROR(SEARCH("MA",P26)))</formula>
    </cfRule>
    <cfRule type="containsText" dxfId="954" priority="65" operator="containsText" text="RES">
      <formula>NOT(ISERROR(SEARCH("RES",P26)))</formula>
    </cfRule>
    <cfRule type="containsText" dxfId="953" priority="66" operator="containsText" text="CEX">
      <formula>NOT(ISERROR(SEARCH("CEX",P26)))</formula>
    </cfRule>
    <cfRule type="containsText" dxfId="952" priority="67" operator="containsText" text="RTT">
      <formula>NOT(ISERROR(SEARCH("RTT",P26)))</formula>
    </cfRule>
    <cfRule type="beginsWith" dxfId="951" priority="68" operator="beginsWith" text="CA">
      <formula>LEFT(P26,LEN("CA"))="CA"</formula>
    </cfRule>
    <cfRule type="containsText" dxfId="950" priority="69" operator="containsText" text="AST">
      <formula>NOT(ISERROR(SEARCH("AST",P26)))</formula>
    </cfRule>
    <cfRule type="containsText" dxfId="949" priority="70" operator="containsText" text="F">
      <formula>NOT(ISERROR(SEARCH("F",P26)))</formula>
    </cfRule>
    <cfRule type="containsText" dxfId="948" priority="71" operator="containsText" text="PC">
      <formula>NOT(ISERROR(SEARCH("PC",P26)))</formula>
    </cfRule>
    <cfRule type="containsText" dxfId="947" priority="72" operator="containsText" text="P">
      <formula>NOT(ISERROR(SEARCH("P",P26)))</formula>
    </cfRule>
  </conditionalFormatting>
  <conditionalFormatting sqref="P39:AS49">
    <cfRule type="containsText" dxfId="946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945" priority="51" operator="containsText" text="AT">
      <formula>NOT(ISERROR(SEARCH("AT",P39)))</formula>
    </cfRule>
    <cfRule type="containsText" dxfId="944" priority="52" operator="containsText" text="MA">
      <formula>NOT(ISERROR(SEARCH("MA",P39)))</formula>
    </cfRule>
    <cfRule type="containsText" dxfId="943" priority="53" operator="containsText" text="RES">
      <formula>NOT(ISERROR(SEARCH("RES",P39)))</formula>
    </cfRule>
    <cfRule type="containsText" dxfId="942" priority="54" operator="containsText" text="CEX">
      <formula>NOT(ISERROR(SEARCH("CEX",P39)))</formula>
    </cfRule>
    <cfRule type="containsText" dxfId="941" priority="55" operator="containsText" text="RTT">
      <formula>NOT(ISERROR(SEARCH("RTT",P39)))</formula>
    </cfRule>
    <cfRule type="beginsWith" dxfId="940" priority="56" operator="beginsWith" text="CA">
      <formula>LEFT(P39,LEN("CA"))="CA"</formula>
    </cfRule>
    <cfRule type="containsText" dxfId="939" priority="57" operator="containsText" text="AST">
      <formula>NOT(ISERROR(SEARCH("AST",P39)))</formula>
    </cfRule>
    <cfRule type="containsText" dxfId="938" priority="58" operator="containsText" text="F">
      <formula>NOT(ISERROR(SEARCH("F",P39)))</formula>
    </cfRule>
    <cfRule type="containsText" dxfId="937" priority="59" operator="containsText" text="PC">
      <formula>NOT(ISERROR(SEARCH("PC",P39)))</formula>
    </cfRule>
    <cfRule type="containsText" dxfId="936" priority="60" operator="containsText" text="P">
      <formula>NOT(ISERROR(SEARCH("P",P39)))</formula>
    </cfRule>
  </conditionalFormatting>
  <conditionalFormatting sqref="P51:AS62">
    <cfRule type="containsText" dxfId="935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934" priority="39" operator="containsText" text="AT">
      <formula>NOT(ISERROR(SEARCH("AT",P51)))</formula>
    </cfRule>
    <cfRule type="containsText" dxfId="933" priority="40" operator="containsText" text="MA">
      <formula>NOT(ISERROR(SEARCH("MA",P51)))</formula>
    </cfRule>
    <cfRule type="containsText" dxfId="932" priority="41" operator="containsText" text="RES">
      <formula>NOT(ISERROR(SEARCH("RES",P51)))</formula>
    </cfRule>
    <cfRule type="containsText" dxfId="931" priority="42" operator="containsText" text="CEX">
      <formula>NOT(ISERROR(SEARCH("CEX",P51)))</formula>
    </cfRule>
    <cfRule type="containsText" dxfId="930" priority="43" operator="containsText" text="RTT">
      <formula>NOT(ISERROR(SEARCH("RTT",P51)))</formula>
    </cfRule>
    <cfRule type="beginsWith" dxfId="929" priority="44" operator="beginsWith" text="CA">
      <formula>LEFT(P51,LEN("CA"))="CA"</formula>
    </cfRule>
    <cfRule type="containsText" dxfId="928" priority="45" operator="containsText" text="AST">
      <formula>NOT(ISERROR(SEARCH("AST",P51)))</formula>
    </cfRule>
    <cfRule type="containsText" dxfId="927" priority="46" operator="containsText" text="F">
      <formula>NOT(ISERROR(SEARCH("F",P51)))</formula>
    </cfRule>
    <cfRule type="containsText" dxfId="926" priority="47" operator="containsText" text="PC">
      <formula>NOT(ISERROR(SEARCH("PC",P51)))</formula>
    </cfRule>
    <cfRule type="containsText" dxfId="925" priority="48" operator="containsText" text="P">
      <formula>NOT(ISERROR(SEARCH("P",P51)))</formula>
    </cfRule>
  </conditionalFormatting>
  <conditionalFormatting sqref="P64:AS67">
    <cfRule type="containsText" dxfId="924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23" priority="3" operator="containsText" text="AT">
      <formula>NOT(ISERROR(SEARCH("AT",P64)))</formula>
    </cfRule>
    <cfRule type="containsText" dxfId="922" priority="4" operator="containsText" text="MA">
      <formula>NOT(ISERROR(SEARCH("MA",P64)))</formula>
    </cfRule>
    <cfRule type="containsText" dxfId="921" priority="5" operator="containsText" text="RES">
      <formula>NOT(ISERROR(SEARCH("RES",P64)))</formula>
    </cfRule>
    <cfRule type="containsText" dxfId="920" priority="6" operator="containsText" text="CEX">
      <formula>NOT(ISERROR(SEARCH("CEX",P64)))</formula>
    </cfRule>
    <cfRule type="containsText" dxfId="919" priority="7" operator="containsText" text="RTT">
      <formula>NOT(ISERROR(SEARCH("RTT",P64)))</formula>
    </cfRule>
    <cfRule type="beginsWith" dxfId="918" priority="8" operator="beginsWith" text="CA">
      <formula>LEFT(P64,LEN("CA"))="CA"</formula>
    </cfRule>
    <cfRule type="containsText" dxfId="917" priority="9" operator="containsText" text="AST">
      <formula>NOT(ISERROR(SEARCH("AST",P64)))</formula>
    </cfRule>
    <cfRule type="containsText" dxfId="916" priority="10" operator="containsText" text="F">
      <formula>NOT(ISERROR(SEARCH("F",P64)))</formula>
    </cfRule>
    <cfRule type="containsText" dxfId="915" priority="11" operator="containsText" text="PC">
      <formula>NOT(ISERROR(SEARCH("PC",P64)))</formula>
    </cfRule>
    <cfRule type="containsText" dxfId="914" priority="12" operator="containsText" text="P">
      <formula>NOT(ISERROR(SEARCH("P",P64)))</formula>
    </cfRule>
  </conditionalFormatting>
  <conditionalFormatting sqref="S20">
    <cfRule type="colorScale" priority="146">
      <colorScale>
        <cfvo type="min"/>
        <cfvo type="max"/>
        <color rgb="FFFF7128"/>
        <color rgb="FFFFEF9C"/>
      </colorScale>
    </cfRule>
  </conditionalFormatting>
  <conditionalFormatting sqref="T20:AA20">
    <cfRule type="colorScale" priority="147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148">
      <colorScale>
        <cfvo type="min"/>
        <cfvo type="max"/>
        <color rgb="FFFF7128"/>
        <color rgb="FFFFEF9C"/>
      </colorScale>
    </cfRule>
  </conditionalFormatting>
  <conditionalFormatting sqref="W20:X20">
    <cfRule type="colorScale" priority="149">
      <colorScale>
        <cfvo type="min"/>
        <cfvo type="max"/>
        <color rgb="FFFF7128"/>
        <color rgb="FFFFEF9C"/>
      </colorScale>
    </cfRule>
  </conditionalFormatting>
  <conditionalFormatting sqref="AG20:AS20">
    <cfRule type="colorScale" priority="174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1:AS20 P23:AS24 P26:AS29 P31:AS36 P39:AS49 P51:AS62 P64:AS67" xr:uid="{00000000-0002-0000-0600-000000000000}">
      <formula1>"P, PC, F, AST, CA, RTT, CEX, RES, MA, AT, TAD, TP"</formula1>
    </dataValidation>
    <dataValidation type="list" allowBlank="1" showInputMessage="1" showErrorMessage="1" sqref="T76" xr:uid="{00000000-0002-0000-0600-000001000000}">
      <formula1>$D$9:$O$9</formula1>
    </dataValidation>
    <dataValidation type="list" allowBlank="1" showInputMessage="1" showErrorMessage="1" sqref="P10:AS10" xr:uid="{00000000-0002-0000-06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45" sqref="P45:AS45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5" width="4.28515625" style="19" customWidth="1"/>
    <col min="46" max="46" width="11.42578125" style="19" customWidth="1"/>
    <col min="47" max="47" width="4.42578125" style="19" bestFit="1" customWidth="1"/>
    <col min="48" max="55" width="3.140625" style="19" bestFit="1" customWidth="1"/>
    <col min="56" max="56" width="3.5703125" style="19" customWidth="1"/>
    <col min="57" max="57" width="3.140625" style="19" customWidth="1"/>
    <col min="58" max="58" width="11.42578125" style="19" customWidth="1"/>
    <col min="59" max="16384" width="11.42578125" style="19"/>
  </cols>
  <sheetData>
    <row r="1" spans="1:57" ht="15" customHeight="1" x14ac:dyDescent="0.25">
      <c r="A1" s="27">
        <f>config!B11</f>
        <v>46204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27">
        <f>config!C11</f>
        <v>46234</v>
      </c>
    </row>
    <row r="3" spans="1:57" ht="15" customHeight="1" x14ac:dyDescent="0.25">
      <c r="A3" s="27"/>
    </row>
    <row r="4" spans="1:57" ht="56.25" customHeight="1" x14ac:dyDescent="0.25">
      <c r="A4" s="27"/>
      <c r="P4" s="28">
        <f>A1</f>
        <v>46204</v>
      </c>
      <c r="Q4" s="28">
        <f t="shared" ref="Q4:AS4" si="0">P4+1</f>
        <v>46205</v>
      </c>
      <c r="R4" s="28">
        <f t="shared" si="0"/>
        <v>46206</v>
      </c>
      <c r="S4" s="28">
        <f t="shared" si="0"/>
        <v>46207</v>
      </c>
      <c r="T4" s="28">
        <f t="shared" si="0"/>
        <v>46208</v>
      </c>
      <c r="U4" s="28">
        <f t="shared" si="0"/>
        <v>46209</v>
      </c>
      <c r="V4" s="28">
        <f t="shared" si="0"/>
        <v>46210</v>
      </c>
      <c r="W4" s="28">
        <f t="shared" si="0"/>
        <v>46211</v>
      </c>
      <c r="X4" s="28">
        <f t="shared" si="0"/>
        <v>46212</v>
      </c>
      <c r="Y4" s="28">
        <f t="shared" si="0"/>
        <v>46213</v>
      </c>
      <c r="Z4" s="28">
        <f t="shared" si="0"/>
        <v>46214</v>
      </c>
      <c r="AA4" s="28">
        <f t="shared" si="0"/>
        <v>46215</v>
      </c>
      <c r="AB4" s="28">
        <f t="shared" si="0"/>
        <v>46216</v>
      </c>
      <c r="AC4" s="28">
        <f t="shared" si="0"/>
        <v>46217</v>
      </c>
      <c r="AD4" s="28">
        <f t="shared" si="0"/>
        <v>46218</v>
      </c>
      <c r="AE4" s="28">
        <f t="shared" si="0"/>
        <v>46219</v>
      </c>
      <c r="AF4" s="28">
        <f t="shared" si="0"/>
        <v>46220</v>
      </c>
      <c r="AG4" s="28">
        <f t="shared" si="0"/>
        <v>46221</v>
      </c>
      <c r="AH4" s="28">
        <f t="shared" si="0"/>
        <v>46222</v>
      </c>
      <c r="AI4" s="28">
        <f t="shared" si="0"/>
        <v>46223</v>
      </c>
      <c r="AJ4" s="28">
        <f t="shared" si="0"/>
        <v>46224</v>
      </c>
      <c r="AK4" s="28">
        <f t="shared" si="0"/>
        <v>46225</v>
      </c>
      <c r="AL4" s="28">
        <f t="shared" si="0"/>
        <v>46226</v>
      </c>
      <c r="AM4" s="28">
        <f t="shared" si="0"/>
        <v>46227</v>
      </c>
      <c r="AN4" s="28">
        <f t="shared" si="0"/>
        <v>46228</v>
      </c>
      <c r="AO4" s="28">
        <f t="shared" si="0"/>
        <v>46229</v>
      </c>
      <c r="AP4" s="28">
        <f t="shared" si="0"/>
        <v>46230</v>
      </c>
      <c r="AQ4" s="28">
        <f t="shared" si="0"/>
        <v>46231</v>
      </c>
      <c r="AR4" s="28">
        <f t="shared" si="0"/>
        <v>46232</v>
      </c>
      <c r="AS4" s="28">
        <f t="shared" si="0"/>
        <v>46233</v>
      </c>
      <c r="AT4" s="28"/>
      <c r="AU4" s="27"/>
      <c r="AV4" s="27"/>
      <c r="AW4" s="27"/>
      <c r="AX4" s="27"/>
      <c r="AY4" s="27"/>
      <c r="AZ4" s="27"/>
      <c r="BA4" s="27"/>
    </row>
    <row r="5" spans="1:57" x14ac:dyDescent="0.25">
      <c r="A5" s="295" t="str">
        <f>TEXT(A1,"mmmmmmmmmmmm")</f>
        <v>juillet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</row>
    <row r="6" spans="1:57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</row>
    <row r="7" spans="1:57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</row>
    <row r="8" spans="1:57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64"/>
      <c r="Y8" s="18"/>
      <c r="Z8" s="18"/>
      <c r="AA8" s="18"/>
      <c r="AB8" s="18"/>
      <c r="AC8" s="108" t="s">
        <v>192</v>
      </c>
      <c r="AD8" s="18"/>
      <c r="AE8" s="18"/>
      <c r="AF8" s="18"/>
      <c r="AG8" s="18"/>
      <c r="AH8" s="18"/>
      <c r="AI8" s="121"/>
      <c r="AJ8" s="164"/>
      <c r="AK8" s="121"/>
      <c r="AL8" s="121"/>
      <c r="AM8" s="121"/>
      <c r="AN8" s="121"/>
      <c r="AO8" s="121"/>
      <c r="AP8" s="121"/>
      <c r="AQ8" s="121"/>
      <c r="AR8" s="164"/>
      <c r="AS8" s="121"/>
    </row>
    <row r="9" spans="1:57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44">
        <f t="shared" ref="P9:AS9" si="1">IFERROR(WEEKDAY(P4),"")</f>
        <v>4</v>
      </c>
      <c r="Q9" s="44">
        <f t="shared" si="1"/>
        <v>5</v>
      </c>
      <c r="R9" s="14">
        <f t="shared" si="1"/>
        <v>6</v>
      </c>
      <c r="S9" s="14">
        <f t="shared" si="1"/>
        <v>7</v>
      </c>
      <c r="T9" s="14">
        <f t="shared" si="1"/>
        <v>1</v>
      </c>
      <c r="U9" s="14">
        <f t="shared" si="1"/>
        <v>2</v>
      </c>
      <c r="V9" s="14">
        <f t="shared" si="1"/>
        <v>3</v>
      </c>
      <c r="W9" s="14">
        <f t="shared" si="1"/>
        <v>4</v>
      </c>
      <c r="X9" s="14">
        <f t="shared" si="1"/>
        <v>5</v>
      </c>
      <c r="Y9" s="14">
        <f t="shared" si="1"/>
        <v>6</v>
      </c>
      <c r="Z9" s="14">
        <f t="shared" si="1"/>
        <v>7</v>
      </c>
      <c r="AA9" s="14">
        <f t="shared" si="1"/>
        <v>1</v>
      </c>
      <c r="AB9" s="14">
        <f t="shared" si="1"/>
        <v>2</v>
      </c>
      <c r="AC9" s="109">
        <f t="shared" si="1"/>
        <v>3</v>
      </c>
      <c r="AD9" s="14">
        <f t="shared" si="1"/>
        <v>4</v>
      </c>
      <c r="AE9" s="14">
        <f t="shared" si="1"/>
        <v>5</v>
      </c>
      <c r="AF9" s="14">
        <f t="shared" si="1"/>
        <v>6</v>
      </c>
      <c r="AG9" s="14">
        <f t="shared" si="1"/>
        <v>7</v>
      </c>
      <c r="AH9" s="14">
        <f t="shared" si="1"/>
        <v>1</v>
      </c>
      <c r="AI9" s="14">
        <f t="shared" si="1"/>
        <v>2</v>
      </c>
      <c r="AJ9" s="14">
        <f t="shared" si="1"/>
        <v>3</v>
      </c>
      <c r="AK9" s="14">
        <f t="shared" si="1"/>
        <v>4</v>
      </c>
      <c r="AL9" s="14">
        <f t="shared" si="1"/>
        <v>5</v>
      </c>
      <c r="AM9" s="14">
        <f t="shared" si="1"/>
        <v>6</v>
      </c>
      <c r="AN9" s="14">
        <f t="shared" si="1"/>
        <v>7</v>
      </c>
      <c r="AO9" s="14">
        <f t="shared" si="1"/>
        <v>1</v>
      </c>
      <c r="AP9" s="14">
        <f t="shared" si="1"/>
        <v>2</v>
      </c>
      <c r="AQ9" s="14">
        <f t="shared" si="1"/>
        <v>3</v>
      </c>
      <c r="AR9" s="14">
        <f t="shared" si="1"/>
        <v>4</v>
      </c>
      <c r="AS9" s="24">
        <f t="shared" si="1"/>
        <v>5</v>
      </c>
      <c r="AT9" s="26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25">
        <f t="shared" ref="P10:AS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10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6"/>
    </row>
    <row r="11" spans="1:57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87"/>
      <c r="Q11" s="20"/>
      <c r="R11" s="20"/>
      <c r="S11" s="86"/>
      <c r="T11" s="86"/>
      <c r="U11" s="20"/>
      <c r="V11" s="20"/>
      <c r="W11" s="20"/>
      <c r="X11" s="20"/>
      <c r="Y11" s="20"/>
      <c r="Z11" s="86"/>
      <c r="AA11" s="86"/>
      <c r="AB11" s="20"/>
      <c r="AC11" s="111"/>
      <c r="AD11" s="20"/>
      <c r="AE11" s="20"/>
      <c r="AF11" s="20"/>
      <c r="AG11" s="86"/>
      <c r="AH11" s="86"/>
      <c r="AI11" s="20"/>
      <c r="AJ11" s="20"/>
      <c r="AK11" s="20"/>
      <c r="AL11" s="20"/>
      <c r="AM11" s="20"/>
      <c r="AN11" s="86"/>
      <c r="AO11" s="86"/>
      <c r="AP11" s="20"/>
      <c r="AQ11" s="20"/>
      <c r="AR11" s="20"/>
      <c r="AS11" s="34"/>
      <c r="AU11" s="290" t="s">
        <v>217</v>
      </c>
      <c r="AV11" s="291"/>
      <c r="AW11" s="291"/>
      <c r="AX11" s="291"/>
      <c r="AY11" s="291"/>
      <c r="AZ11" s="291"/>
      <c r="BA11" s="291"/>
      <c r="BB11" s="291"/>
      <c r="BC11" s="291"/>
      <c r="BD11" s="291"/>
      <c r="BE11" s="292"/>
    </row>
    <row r="12" spans="1:57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1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90"/>
      <c r="Q12" s="8"/>
      <c r="R12" s="8"/>
      <c r="S12" s="94"/>
      <c r="T12" s="94"/>
      <c r="U12" s="8"/>
      <c r="V12" s="8"/>
      <c r="W12" s="8"/>
      <c r="X12" s="8"/>
      <c r="Y12" s="8"/>
      <c r="Z12" s="94"/>
      <c r="AA12" s="94"/>
      <c r="AB12" s="8" t="s">
        <v>195</v>
      </c>
      <c r="AC12" s="112"/>
      <c r="AD12" s="8"/>
      <c r="AE12" s="8"/>
      <c r="AF12" s="8"/>
      <c r="AG12" s="94"/>
      <c r="AH12" s="94"/>
      <c r="AI12" s="8"/>
      <c r="AJ12" s="8"/>
      <c r="AK12" s="8"/>
      <c r="AL12" s="8"/>
      <c r="AM12" s="8"/>
      <c r="AN12" s="94"/>
      <c r="AO12" s="94"/>
      <c r="AP12" s="8"/>
      <c r="AQ12" s="8"/>
      <c r="AR12" s="8"/>
      <c r="AS12" s="35"/>
      <c r="AU12" s="15" t="s">
        <v>194</v>
      </c>
      <c r="AV12" s="78" t="s">
        <v>195</v>
      </c>
      <c r="AW12" s="12" t="s">
        <v>196</v>
      </c>
      <c r="AX12" s="79" t="s">
        <v>197</v>
      </c>
      <c r="AY12" s="10" t="s">
        <v>198</v>
      </c>
      <c r="AZ12" s="80" t="s">
        <v>199</v>
      </c>
      <c r="BA12" s="11" t="s">
        <v>200</v>
      </c>
      <c r="BB12" s="81" t="s">
        <v>201</v>
      </c>
      <c r="BC12" s="82" t="s">
        <v>202</v>
      </c>
      <c r="BD12" s="83" t="s">
        <v>203</v>
      </c>
      <c r="BE12" s="16" t="s">
        <v>205</v>
      </c>
    </row>
    <row r="13" spans="1:57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90"/>
      <c r="Q13" s="8"/>
      <c r="R13" s="8"/>
      <c r="S13" s="94"/>
      <c r="T13" s="94"/>
      <c r="U13" s="8"/>
      <c r="V13" s="8"/>
      <c r="W13" s="8"/>
      <c r="X13" s="8"/>
      <c r="Y13" s="8"/>
      <c r="Z13" s="94"/>
      <c r="AA13" s="94"/>
      <c r="AB13" s="8"/>
      <c r="AC13" s="112"/>
      <c r="AD13" s="8"/>
      <c r="AE13" s="8"/>
      <c r="AF13" s="8"/>
      <c r="AG13" s="94"/>
      <c r="AH13" s="94"/>
      <c r="AI13" s="8"/>
      <c r="AJ13" s="8"/>
      <c r="AK13" s="8"/>
      <c r="AL13" s="8"/>
      <c r="AM13" s="8"/>
      <c r="AN13" s="94"/>
      <c r="AO13" s="94"/>
      <c r="AP13" s="8"/>
      <c r="AQ13" s="8"/>
      <c r="AR13" s="8"/>
      <c r="AS13" s="35"/>
      <c r="AU13" s="19">
        <f>COUNTIF(P11:AS29,"p")</f>
        <v>0</v>
      </c>
      <c r="AV13" s="19">
        <f>COUNTIF(P11:AS29,"PC")</f>
        <v>1</v>
      </c>
      <c r="AW13" s="19">
        <f>COUNTIF(P11:AS29,"f")</f>
        <v>0</v>
      </c>
      <c r="AX13" s="19">
        <f>COUNTIF(P11:AS29,"ast")</f>
        <v>0</v>
      </c>
      <c r="AY13" s="19">
        <f>COUNTIF(P11:AS29,"ca")</f>
        <v>0</v>
      </c>
      <c r="AZ13" s="19">
        <f>COUNTIF(P11:AS29,"rtt")</f>
        <v>0</v>
      </c>
      <c r="BA13" s="19">
        <f>COUNTIF(P11:AS29,"CEX")</f>
        <v>0</v>
      </c>
      <c r="BB13" s="19">
        <f>COUNTIF(P11:AS29,"RES")</f>
        <v>0</v>
      </c>
      <c r="BC13" s="19">
        <f>COUNTIF(P11:AS29,"MA")</f>
        <v>0</v>
      </c>
      <c r="BD13" s="19">
        <f>COUNTIF(P11:AS29,"AT")</f>
        <v>0</v>
      </c>
      <c r="BE13" s="19">
        <f>COUNTIF(P11:AS29,"TP")</f>
        <v>0</v>
      </c>
    </row>
    <row r="14" spans="1:57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90"/>
      <c r="Q14" s="8"/>
      <c r="R14" s="8"/>
      <c r="S14" s="94"/>
      <c r="T14" s="94"/>
      <c r="U14" s="8"/>
      <c r="V14" s="8"/>
      <c r="W14" s="8"/>
      <c r="X14" s="8"/>
      <c r="Y14" s="8"/>
      <c r="Z14" s="94"/>
      <c r="AA14" s="94"/>
      <c r="AB14" s="8"/>
      <c r="AC14" s="112"/>
      <c r="AD14" s="8"/>
      <c r="AE14" s="8"/>
      <c r="AF14" s="8"/>
      <c r="AG14" s="94"/>
      <c r="AH14" s="94"/>
      <c r="AI14" s="8"/>
      <c r="AJ14" s="8"/>
      <c r="AK14" s="8"/>
      <c r="AL14" s="8"/>
      <c r="AM14" s="8"/>
      <c r="AN14" s="94"/>
      <c r="AO14" s="94"/>
      <c r="AP14" s="8"/>
      <c r="AQ14" s="8"/>
      <c r="AR14" s="8"/>
      <c r="AS14" s="35"/>
    </row>
    <row r="15" spans="1:57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90"/>
      <c r="Q15" s="8"/>
      <c r="R15" s="8"/>
      <c r="S15" s="94"/>
      <c r="T15" s="94"/>
      <c r="U15" s="8"/>
      <c r="V15" s="8"/>
      <c r="W15" s="8"/>
      <c r="X15" s="8"/>
      <c r="Y15" s="8"/>
      <c r="Z15" s="94"/>
      <c r="AA15" s="94"/>
      <c r="AB15" s="8"/>
      <c r="AC15" s="112"/>
      <c r="AD15" s="8"/>
      <c r="AE15" s="8"/>
      <c r="AF15" s="8"/>
      <c r="AG15" s="94"/>
      <c r="AH15" s="94"/>
      <c r="AI15" s="8"/>
      <c r="AJ15" s="8"/>
      <c r="AK15" s="8"/>
      <c r="AL15" s="8"/>
      <c r="AM15" s="8"/>
      <c r="AN15" s="94"/>
      <c r="AO15" s="94"/>
      <c r="AP15" s="8"/>
      <c r="AQ15" s="8"/>
      <c r="AR15" s="8"/>
      <c r="AS15" s="35"/>
    </row>
    <row r="16" spans="1:57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90"/>
      <c r="Q16" s="8"/>
      <c r="R16" s="8"/>
      <c r="S16" s="94"/>
      <c r="T16" s="94"/>
      <c r="U16" s="8"/>
      <c r="V16" s="8"/>
      <c r="W16" s="8"/>
      <c r="X16" s="8"/>
      <c r="Y16" s="8"/>
      <c r="Z16" s="94"/>
      <c r="AA16" s="94"/>
      <c r="AB16" s="8"/>
      <c r="AC16" s="112"/>
      <c r="AD16" s="8"/>
      <c r="AE16" s="8"/>
      <c r="AF16" s="8"/>
      <c r="AG16" s="94"/>
      <c r="AH16" s="94"/>
      <c r="AI16" s="8"/>
      <c r="AJ16" s="8"/>
      <c r="AK16" s="8"/>
      <c r="AL16" s="8"/>
      <c r="AM16" s="8"/>
      <c r="AN16" s="94"/>
      <c r="AO16" s="94"/>
      <c r="AP16" s="8"/>
      <c r="AQ16" s="8"/>
      <c r="AR16" s="8"/>
      <c r="AS16" s="35"/>
    </row>
    <row r="17" spans="1:45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90"/>
      <c r="Q17" s="8"/>
      <c r="R17" s="8"/>
      <c r="S17" s="94"/>
      <c r="T17" s="94"/>
      <c r="U17" s="8"/>
      <c r="V17" s="8"/>
      <c r="W17" s="8"/>
      <c r="X17" s="8"/>
      <c r="Y17" s="8"/>
      <c r="Z17" s="94"/>
      <c r="AA17" s="94"/>
      <c r="AB17" s="8"/>
      <c r="AC17" s="112"/>
      <c r="AD17" s="8"/>
      <c r="AE17" s="8"/>
      <c r="AF17" s="8"/>
      <c r="AG17" s="94"/>
      <c r="AH17" s="94"/>
      <c r="AI17" s="8"/>
      <c r="AJ17" s="8"/>
      <c r="AK17" s="8"/>
      <c r="AL17" s="8"/>
      <c r="AM17" s="8"/>
      <c r="AN17" s="94"/>
      <c r="AO17" s="94"/>
      <c r="AP17" s="8"/>
      <c r="AQ17" s="8"/>
      <c r="AR17" s="8"/>
      <c r="AS17" s="35"/>
    </row>
    <row r="18" spans="1:45" ht="20.100000000000001" customHeight="1" thickBot="1" x14ac:dyDescent="0.3">
      <c r="A18" s="145"/>
      <c r="B18" s="146"/>
      <c r="C18" s="147"/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0</v>
      </c>
      <c r="I18" s="20">
        <f t="shared" si="8"/>
        <v>0</v>
      </c>
      <c r="J18" s="20">
        <f t="shared" si="9"/>
        <v>0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122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112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125"/>
    </row>
    <row r="19" spans="1:45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90"/>
      <c r="Q19" s="8"/>
      <c r="R19" s="8"/>
      <c r="S19" s="94"/>
      <c r="T19" s="94"/>
      <c r="U19" s="8"/>
      <c r="V19" s="8"/>
      <c r="W19" s="8"/>
      <c r="X19" s="8"/>
      <c r="Y19" s="8"/>
      <c r="Z19" s="94"/>
      <c r="AA19" s="94"/>
      <c r="AB19" s="8"/>
      <c r="AC19" s="112"/>
      <c r="AD19" s="8"/>
      <c r="AE19" s="8"/>
      <c r="AF19" s="8"/>
      <c r="AG19" s="94"/>
      <c r="AH19" s="94"/>
      <c r="AI19" s="8"/>
      <c r="AJ19" s="8"/>
      <c r="AK19" s="8"/>
      <c r="AL19" s="8"/>
      <c r="AM19" s="8"/>
      <c r="AN19" s="94"/>
      <c r="AO19" s="94"/>
      <c r="AP19" s="8"/>
      <c r="AQ19" s="8"/>
      <c r="AR19" s="8"/>
      <c r="AS19" s="35"/>
    </row>
    <row r="20" spans="1:45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91"/>
      <c r="Q20" s="21"/>
      <c r="R20" s="21"/>
      <c r="S20" s="94"/>
      <c r="T20" s="94"/>
      <c r="U20" s="21"/>
      <c r="V20" s="21"/>
      <c r="W20" s="21"/>
      <c r="X20" s="21"/>
      <c r="Y20" s="21"/>
      <c r="Z20" s="95"/>
      <c r="AA20" s="95"/>
      <c r="AB20" s="21"/>
      <c r="AC20" s="113"/>
      <c r="AD20" s="21"/>
      <c r="AE20" s="21"/>
      <c r="AF20" s="21"/>
      <c r="AG20" s="95"/>
      <c r="AH20" s="95"/>
      <c r="AI20" s="21"/>
      <c r="AJ20" s="21"/>
      <c r="AK20" s="21"/>
      <c r="AL20" s="21"/>
      <c r="AM20" s="21"/>
      <c r="AN20" s="95"/>
      <c r="AO20" s="95"/>
      <c r="AP20" s="21"/>
      <c r="AQ20" s="21"/>
      <c r="AR20" s="21"/>
      <c r="AS20" s="36"/>
    </row>
    <row r="21" spans="1:45" ht="20.100000000000001" customHeight="1" thickBot="1" x14ac:dyDescent="0.3">
      <c r="A21" s="54" t="str">
        <f>IFERROR(IF(config!E13="","",config!E13),"")</f>
        <v>MAINTENANCE</v>
      </c>
      <c r="B21" s="55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100"/>
      <c r="AR21" s="100"/>
      <c r="AS21" s="100"/>
    </row>
    <row r="22" spans="1:45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</row>
    <row r="23" spans="1:45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92">
        <f>COUNTIF(P23:AS23,"TP")</f>
        <v>0</v>
      </c>
      <c r="P23" s="20"/>
      <c r="Q23" s="20"/>
      <c r="R23" s="20"/>
      <c r="S23" s="20"/>
      <c r="T23" s="20"/>
      <c r="U23" s="86"/>
      <c r="V23" s="86"/>
      <c r="W23" s="20"/>
      <c r="X23" s="20"/>
      <c r="Y23" s="20"/>
      <c r="Z23" s="20"/>
      <c r="AA23" s="20"/>
      <c r="AB23" s="86"/>
      <c r="AC23" s="86"/>
      <c r="AD23" s="20"/>
      <c r="AE23" s="20"/>
      <c r="AF23" s="20"/>
      <c r="AG23" s="20"/>
      <c r="AH23" s="20"/>
      <c r="AI23" s="86"/>
      <c r="AJ23" s="86"/>
      <c r="AK23" s="20"/>
      <c r="AL23" s="20"/>
      <c r="AM23" s="20"/>
      <c r="AN23" s="20"/>
      <c r="AO23" s="20"/>
      <c r="AP23" s="86"/>
      <c r="AQ23" s="86"/>
      <c r="AR23" s="20"/>
      <c r="AS23" s="20"/>
    </row>
    <row r="24" spans="1:45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7">
        <f>COUNTIF(P24:AS24,"p")</f>
        <v>0</v>
      </c>
      <c r="E24" s="20">
        <f>COUNTIF(P24:AS24,"PC")</f>
        <v>0</v>
      </c>
      <c r="F24" s="20">
        <f>COUNTIF(P24:AS24,"f")</f>
        <v>0</v>
      </c>
      <c r="G24" s="20">
        <f>COUNTIF(P24:AS24,"ast")</f>
        <v>0</v>
      </c>
      <c r="H24" s="20">
        <f>COUNTIF(P24:AS24,"cA")</f>
        <v>0</v>
      </c>
      <c r="I24" s="20">
        <f>COUNTIF(P24:AS24,"rtt")</f>
        <v>0</v>
      </c>
      <c r="J24" s="20">
        <f>COUNTIF(P24:AS24,"cex")</f>
        <v>0</v>
      </c>
      <c r="K24" s="20">
        <f>COUNTIF(P24:AS24,"res")</f>
        <v>0</v>
      </c>
      <c r="L24" s="20">
        <f>COUNTIF(P24:AS24,"mA")</f>
        <v>0</v>
      </c>
      <c r="M24" s="20">
        <f>COUNTIF(P24:AS24,"at")</f>
        <v>0</v>
      </c>
      <c r="N24" s="20">
        <f>COUNTIF(P24:AS24,"TAD")</f>
        <v>0</v>
      </c>
      <c r="O24" s="92">
        <f>COUNTIF(P24:AS24,"TP")</f>
        <v>0</v>
      </c>
      <c r="P24" s="21"/>
      <c r="Q24" s="21"/>
      <c r="R24" s="21"/>
      <c r="S24" s="21"/>
      <c r="T24" s="21"/>
      <c r="U24" s="95"/>
      <c r="V24" s="95"/>
      <c r="W24" s="21"/>
      <c r="X24" s="21"/>
      <c r="Y24" s="21"/>
      <c r="Z24" s="21"/>
      <c r="AA24" s="21"/>
      <c r="AB24" s="95"/>
      <c r="AC24" s="95"/>
      <c r="AD24" s="21"/>
      <c r="AE24" s="21"/>
      <c r="AF24" s="21"/>
      <c r="AG24" s="21"/>
      <c r="AH24" s="21"/>
      <c r="AI24" s="95"/>
      <c r="AJ24" s="95"/>
      <c r="AK24" s="21"/>
      <c r="AL24" s="21"/>
      <c r="AM24" s="21"/>
      <c r="AN24" s="21"/>
      <c r="AO24" s="21"/>
      <c r="AP24" s="95"/>
      <c r="AQ24" s="95"/>
      <c r="AR24" s="21"/>
      <c r="AS24" s="21"/>
    </row>
    <row r="25" spans="1:45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178"/>
    </row>
    <row r="26" spans="1:45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92">
        <f>COUNTIF(P26:AS26,"TP")</f>
        <v>0</v>
      </c>
      <c r="P26" s="87"/>
      <c r="Q26" s="20"/>
      <c r="R26" s="20"/>
      <c r="S26" s="20"/>
      <c r="T26" s="20"/>
      <c r="U26" s="86"/>
      <c r="V26" s="86"/>
      <c r="W26" s="20"/>
      <c r="X26" s="20"/>
      <c r="Y26" s="20"/>
      <c r="Z26" s="20"/>
      <c r="AA26" s="20"/>
      <c r="AB26" s="86"/>
      <c r="AC26" s="86"/>
      <c r="AD26" s="20"/>
      <c r="AE26" s="20"/>
      <c r="AF26" s="20"/>
      <c r="AG26" s="20"/>
      <c r="AH26" s="20"/>
      <c r="AI26" s="86"/>
      <c r="AJ26" s="86"/>
      <c r="AK26" s="20"/>
      <c r="AL26" s="20"/>
      <c r="AM26" s="20"/>
      <c r="AN26" s="20"/>
      <c r="AO26" s="20"/>
      <c r="AP26" s="86"/>
      <c r="AQ26" s="86"/>
      <c r="AR26" s="20"/>
      <c r="AS26" s="34"/>
    </row>
    <row r="27" spans="1:45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92">
        <f>COUNTIF(P27:AS27,"TP")</f>
        <v>0</v>
      </c>
      <c r="P27" s="90"/>
      <c r="Q27" s="8"/>
      <c r="R27" s="8"/>
      <c r="S27" s="8"/>
      <c r="T27" s="8"/>
      <c r="U27" s="94"/>
      <c r="V27" s="94"/>
      <c r="W27" s="8"/>
      <c r="X27" s="8"/>
      <c r="Y27" s="8"/>
      <c r="Z27" s="8"/>
      <c r="AA27" s="8"/>
      <c r="AB27" s="94"/>
      <c r="AC27" s="94"/>
      <c r="AD27" s="8"/>
      <c r="AE27" s="8"/>
      <c r="AF27" s="8"/>
      <c r="AG27" s="8"/>
      <c r="AH27" s="8"/>
      <c r="AI27" s="94"/>
      <c r="AJ27" s="94"/>
      <c r="AK27" s="8"/>
      <c r="AL27" s="8"/>
      <c r="AM27" s="8"/>
      <c r="AN27" s="8"/>
      <c r="AO27" s="8"/>
      <c r="AP27" s="94"/>
      <c r="AQ27" s="94"/>
      <c r="AR27" s="8"/>
      <c r="AS27" s="35"/>
    </row>
    <row r="28" spans="1:45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92">
        <f>COUNTIF(P28:AS28,"TP")</f>
        <v>0</v>
      </c>
      <c r="P28" s="90"/>
      <c r="Q28" s="8"/>
      <c r="R28" s="8"/>
      <c r="S28" s="8"/>
      <c r="T28" s="8"/>
      <c r="U28" s="94"/>
      <c r="V28" s="94"/>
      <c r="W28" s="8"/>
      <c r="X28" s="8"/>
      <c r="Y28" s="8"/>
      <c r="Z28" s="8"/>
      <c r="AA28" s="8"/>
      <c r="AB28" s="94"/>
      <c r="AC28" s="94"/>
      <c r="AD28" s="8"/>
      <c r="AE28" s="8"/>
      <c r="AF28" s="8"/>
      <c r="AG28" s="8"/>
      <c r="AH28" s="8"/>
      <c r="AI28" s="94"/>
      <c r="AJ28" s="94"/>
      <c r="AK28" s="8"/>
      <c r="AL28" s="8"/>
      <c r="AM28" s="8"/>
      <c r="AN28" s="8"/>
      <c r="AO28" s="8"/>
      <c r="AP28" s="94"/>
      <c r="AQ28" s="94"/>
      <c r="AR28" s="8"/>
      <c r="AS28" s="35"/>
    </row>
    <row r="29" spans="1:45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40">
        <f>COUNTIF(P29:AS29,"TP")</f>
        <v>0</v>
      </c>
      <c r="P29" s="165"/>
      <c r="Q29" s="166"/>
      <c r="R29" s="166"/>
      <c r="S29" s="166"/>
      <c r="T29" s="166"/>
      <c r="U29" s="141"/>
      <c r="V29" s="141"/>
      <c r="W29" s="166"/>
      <c r="X29" s="166"/>
      <c r="Y29" s="166"/>
      <c r="Z29" s="166"/>
      <c r="AA29" s="166"/>
      <c r="AB29" s="141"/>
      <c r="AC29" s="141"/>
      <c r="AD29" s="166"/>
      <c r="AE29" s="166"/>
      <c r="AF29" s="166"/>
      <c r="AG29" s="166"/>
      <c r="AH29" s="166"/>
      <c r="AI29" s="141"/>
      <c r="AJ29" s="141"/>
      <c r="AK29" s="166"/>
      <c r="AL29" s="166"/>
      <c r="AM29" s="166"/>
      <c r="AN29" s="166"/>
      <c r="AO29" s="166"/>
      <c r="AP29" s="141"/>
      <c r="AQ29" s="141"/>
      <c r="AR29" s="166"/>
      <c r="AS29" s="176"/>
    </row>
    <row r="30" spans="1:45" ht="20.100000000000001" customHeight="1" thickBot="1" x14ac:dyDescent="0.3">
      <c r="A30" s="220" t="str">
        <f>IFERROR(IF(config!E22="","",config!E22),"")</f>
        <v>PROPRETE</v>
      </c>
      <c r="B30" s="221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</row>
    <row r="31" spans="1:45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40">
        <f t="shared" ref="O31:O36" si="26">COUNTIF(P31:AS31,"TP")</f>
        <v>0</v>
      </c>
      <c r="P31" s="90"/>
      <c r="Q31" s="8"/>
      <c r="R31" s="8"/>
      <c r="S31" s="8"/>
      <c r="T31" s="8"/>
      <c r="U31" s="94"/>
      <c r="V31" s="94"/>
      <c r="W31" s="8"/>
      <c r="X31" s="8"/>
      <c r="Y31" s="8"/>
      <c r="Z31" s="8"/>
      <c r="AA31" s="8"/>
      <c r="AB31" s="94"/>
      <c r="AC31" s="94"/>
      <c r="AD31" s="8"/>
      <c r="AE31" s="8"/>
      <c r="AF31" s="8"/>
      <c r="AG31" s="8"/>
      <c r="AH31" s="8"/>
      <c r="AI31" s="94"/>
      <c r="AJ31" s="94"/>
      <c r="AK31" s="8"/>
      <c r="AL31" s="8"/>
      <c r="AM31" s="8"/>
      <c r="AN31" s="8"/>
      <c r="AO31" s="8"/>
      <c r="AP31" s="94"/>
      <c r="AQ31" s="94"/>
      <c r="AR31" s="8"/>
      <c r="AS31" s="35"/>
    </row>
    <row r="32" spans="1:45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40">
        <f t="shared" si="26"/>
        <v>0</v>
      </c>
      <c r="P32" s="90"/>
      <c r="Q32" s="8"/>
      <c r="R32" s="8"/>
      <c r="S32" s="8"/>
      <c r="T32" s="8"/>
      <c r="U32" s="94"/>
      <c r="V32" s="94"/>
      <c r="W32" s="8"/>
      <c r="X32" s="8"/>
      <c r="Y32" s="8"/>
      <c r="Z32" s="8"/>
      <c r="AA32" s="8"/>
      <c r="AB32" s="94"/>
      <c r="AC32" s="94"/>
      <c r="AD32" s="8"/>
      <c r="AE32" s="8"/>
      <c r="AF32" s="8"/>
      <c r="AG32" s="8"/>
      <c r="AH32" s="8"/>
      <c r="AI32" s="94"/>
      <c r="AJ32" s="94"/>
      <c r="AK32" s="8"/>
      <c r="AL32" s="8"/>
      <c r="AM32" s="8"/>
      <c r="AN32" s="8"/>
      <c r="AO32" s="8"/>
      <c r="AP32" s="94"/>
      <c r="AQ32" s="94"/>
      <c r="AR32" s="8"/>
      <c r="AS32" s="35"/>
    </row>
    <row r="33" spans="1:57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40">
        <f t="shared" si="26"/>
        <v>0</v>
      </c>
      <c r="P33" s="90"/>
      <c r="Q33" s="8"/>
      <c r="R33" s="8"/>
      <c r="S33" s="8"/>
      <c r="T33" s="8"/>
      <c r="U33" s="94"/>
      <c r="V33" s="94"/>
      <c r="W33" s="8"/>
      <c r="X33" s="8"/>
      <c r="Y33" s="8"/>
      <c r="Z33" s="8"/>
      <c r="AA33" s="8"/>
      <c r="AB33" s="94"/>
      <c r="AC33" s="94"/>
      <c r="AD33" s="8"/>
      <c r="AE33" s="8"/>
      <c r="AF33" s="8"/>
      <c r="AG33" s="8"/>
      <c r="AH33" s="8"/>
      <c r="AI33" s="94"/>
      <c r="AJ33" s="94"/>
      <c r="AK33" s="8"/>
      <c r="AL33" s="8"/>
      <c r="AM33" s="8"/>
      <c r="AN33" s="8"/>
      <c r="AO33" s="8"/>
      <c r="AP33" s="94"/>
      <c r="AQ33" s="94"/>
      <c r="AR33" s="8"/>
      <c r="AS33" s="35"/>
    </row>
    <row r="34" spans="1:57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40">
        <f t="shared" si="26"/>
        <v>0</v>
      </c>
      <c r="P34" s="90"/>
      <c r="Q34" s="8"/>
      <c r="R34" s="8"/>
      <c r="S34" s="8"/>
      <c r="T34" s="8"/>
      <c r="U34" s="94"/>
      <c r="V34" s="94"/>
      <c r="W34" s="8"/>
      <c r="X34" s="8"/>
      <c r="Y34" s="8"/>
      <c r="Z34" s="8"/>
      <c r="AA34" s="8"/>
      <c r="AB34" s="94"/>
      <c r="AC34" s="94"/>
      <c r="AD34" s="8"/>
      <c r="AE34" s="8"/>
      <c r="AF34" s="8"/>
      <c r="AG34" s="8"/>
      <c r="AH34" s="8"/>
      <c r="AI34" s="94"/>
      <c r="AJ34" s="94"/>
      <c r="AK34" s="8"/>
      <c r="AL34" s="8"/>
      <c r="AM34" s="8"/>
      <c r="AN34" s="8"/>
      <c r="AO34" s="8"/>
      <c r="AP34" s="94"/>
      <c r="AQ34" s="94"/>
      <c r="AR34" s="8"/>
      <c r="AS34" s="35"/>
    </row>
    <row r="35" spans="1:57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40">
        <f t="shared" si="26"/>
        <v>0</v>
      </c>
      <c r="P35" s="90"/>
      <c r="Q35" s="8"/>
      <c r="R35" s="8"/>
      <c r="S35" s="8"/>
      <c r="T35" s="8"/>
      <c r="U35" s="94"/>
      <c r="V35" s="94"/>
      <c r="W35" s="8"/>
      <c r="X35" s="8"/>
      <c r="Y35" s="8"/>
      <c r="Z35" s="8"/>
      <c r="AA35" s="8"/>
      <c r="AB35" s="94"/>
      <c r="AC35" s="94"/>
      <c r="AD35" s="8"/>
      <c r="AE35" s="8"/>
      <c r="AF35" s="8"/>
      <c r="AG35" s="8"/>
      <c r="AH35" s="8"/>
      <c r="AI35" s="94"/>
      <c r="AJ35" s="94"/>
      <c r="AK35" s="8"/>
      <c r="AL35" s="8"/>
      <c r="AM35" s="8"/>
      <c r="AN35" s="8"/>
      <c r="AO35" s="8"/>
      <c r="AP35" s="94"/>
      <c r="AQ35" s="94"/>
      <c r="AR35" s="8"/>
      <c r="AS35" s="35"/>
    </row>
    <row r="36" spans="1:57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40">
        <f t="shared" si="26"/>
        <v>0</v>
      </c>
      <c r="P36" s="91"/>
      <c r="Q36" s="21"/>
      <c r="R36" s="21"/>
      <c r="S36" s="21"/>
      <c r="T36" s="21"/>
      <c r="U36" s="95"/>
      <c r="V36" s="95"/>
      <c r="W36" s="21"/>
      <c r="X36" s="21"/>
      <c r="Y36" s="21"/>
      <c r="Z36" s="21"/>
      <c r="AA36" s="21"/>
      <c r="AB36" s="95"/>
      <c r="AC36" s="95"/>
      <c r="AD36" s="21"/>
      <c r="AE36" s="21"/>
      <c r="AF36" s="21"/>
      <c r="AG36" s="21"/>
      <c r="AH36" s="21"/>
      <c r="AI36" s="95"/>
      <c r="AJ36" s="95"/>
      <c r="AK36" s="21"/>
      <c r="AL36" s="21"/>
      <c r="AM36" s="21"/>
      <c r="AN36" s="21"/>
      <c r="AO36" s="21"/>
      <c r="AP36" s="95"/>
      <c r="AQ36" s="95"/>
      <c r="AR36" s="21"/>
      <c r="AS36" s="36"/>
    </row>
    <row r="37" spans="1:57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105"/>
    </row>
    <row r="38" spans="1:57" ht="20.100000000000001" customHeight="1" thickBot="1" x14ac:dyDescent="0.3">
      <c r="A38" s="30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304"/>
      <c r="AU38" s="290" t="s">
        <v>218</v>
      </c>
      <c r="AV38" s="291"/>
      <c r="AW38" s="291"/>
      <c r="AX38" s="291"/>
      <c r="AY38" s="291"/>
      <c r="AZ38" s="291"/>
      <c r="BA38" s="291"/>
      <c r="BB38" s="291"/>
      <c r="BC38" s="291"/>
      <c r="BD38" s="291"/>
      <c r="BE38" s="292"/>
    </row>
    <row r="39" spans="1:57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148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124"/>
      <c r="AU39" s="15" t="s">
        <v>194</v>
      </c>
      <c r="AV39" s="78" t="s">
        <v>195</v>
      </c>
      <c r="AW39" s="12" t="s">
        <v>196</v>
      </c>
      <c r="AX39" s="79" t="s">
        <v>197</v>
      </c>
      <c r="AY39" s="10" t="s">
        <v>198</v>
      </c>
      <c r="AZ39" s="80" t="s">
        <v>199</v>
      </c>
      <c r="BA39" s="11" t="s">
        <v>200</v>
      </c>
      <c r="BB39" s="81" t="s">
        <v>201</v>
      </c>
      <c r="BC39" s="82" t="s">
        <v>202</v>
      </c>
      <c r="BD39" s="83" t="s">
        <v>203</v>
      </c>
      <c r="BE39" s="16" t="s">
        <v>205</v>
      </c>
    </row>
    <row r="40" spans="1:57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90"/>
      <c r="Q40" s="8"/>
      <c r="R40" s="8"/>
      <c r="S40" s="8"/>
      <c r="T40" s="8"/>
      <c r="U40" s="94"/>
      <c r="V40" s="94"/>
      <c r="W40" s="8"/>
      <c r="X40" s="8"/>
      <c r="Y40" s="8"/>
      <c r="Z40" s="8"/>
      <c r="AA40" s="8"/>
      <c r="AB40" s="94"/>
      <c r="AC40" s="94"/>
      <c r="AD40" s="8"/>
      <c r="AE40" s="8"/>
      <c r="AF40" s="8"/>
      <c r="AG40" s="8"/>
      <c r="AH40" s="8"/>
      <c r="AI40" s="94"/>
      <c r="AJ40" s="94"/>
      <c r="AK40" s="8"/>
      <c r="AL40" s="8"/>
      <c r="AM40" s="8"/>
      <c r="AN40" s="8"/>
      <c r="AO40" s="8"/>
      <c r="AP40" s="94"/>
      <c r="AQ40" s="94"/>
      <c r="AR40" s="8"/>
      <c r="AS40" s="35"/>
      <c r="AU40" s="19">
        <f>COUNTIF(P39:AS49,"p")</f>
        <v>0</v>
      </c>
      <c r="AV40" s="19">
        <f>COUNTIF(P39:AS49,"pc")</f>
        <v>0</v>
      </c>
      <c r="AW40" s="19">
        <f>COUNTIF(P39:AS49,"f")</f>
        <v>0</v>
      </c>
      <c r="AX40" s="19">
        <f>COUNTIF(P39:AS49,"ast")</f>
        <v>0</v>
      </c>
      <c r="AY40" s="19">
        <f>COUNTIF(P39:AS49,"cA")</f>
        <v>0</v>
      </c>
      <c r="AZ40" s="19">
        <f>COUNTIF(P39:AS49,"rtt")</f>
        <v>0</v>
      </c>
      <c r="BA40" s="19">
        <f>COUNTIF(P39:AS49,"cex")</f>
        <v>0</v>
      </c>
      <c r="BB40" s="19">
        <f>COUNTIF(P39:AS49,"RES")</f>
        <v>0</v>
      </c>
      <c r="BC40" s="19">
        <f>COUNTIF(P39:AS49,"MA")</f>
        <v>0</v>
      </c>
      <c r="BD40" s="19">
        <f>COUNTIF(P39:AS49,"at")</f>
        <v>30</v>
      </c>
      <c r="BE40" s="19">
        <f>COUNTIF(P39:AS49,"TP")</f>
        <v>0</v>
      </c>
    </row>
    <row r="41" spans="1:57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90"/>
      <c r="Q41" s="8"/>
      <c r="R41" s="8"/>
      <c r="S41" s="8"/>
      <c r="T41" s="8"/>
      <c r="U41" s="94"/>
      <c r="V41" s="94"/>
      <c r="W41" s="8"/>
      <c r="X41" s="8"/>
      <c r="Y41" s="8"/>
      <c r="Z41" s="8"/>
      <c r="AA41" s="8"/>
      <c r="AB41" s="94"/>
      <c r="AC41" s="94"/>
      <c r="AD41" s="8"/>
      <c r="AE41" s="8"/>
      <c r="AF41" s="8"/>
      <c r="AG41" s="8"/>
      <c r="AH41" s="8"/>
      <c r="AI41" s="94"/>
      <c r="AJ41" s="94"/>
      <c r="AK41" s="8"/>
      <c r="AL41" s="8"/>
      <c r="AM41" s="8"/>
      <c r="AN41" s="8"/>
      <c r="AO41" s="8"/>
      <c r="AP41" s="94"/>
      <c r="AQ41" s="94"/>
      <c r="AR41" s="8"/>
      <c r="AS41" s="35"/>
    </row>
    <row r="42" spans="1:57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90"/>
      <c r="Q42" s="8"/>
      <c r="R42" s="8"/>
      <c r="S42" s="8"/>
      <c r="T42" s="8"/>
      <c r="U42" s="94"/>
      <c r="V42" s="94"/>
      <c r="W42" s="8"/>
      <c r="X42" s="8"/>
      <c r="Y42" s="8"/>
      <c r="Z42" s="8"/>
      <c r="AA42" s="8"/>
      <c r="AB42" s="94"/>
      <c r="AC42" s="94"/>
      <c r="AD42" s="8"/>
      <c r="AE42" s="8"/>
      <c r="AF42" s="8"/>
      <c r="AG42" s="8"/>
      <c r="AH42" s="8"/>
      <c r="AI42" s="94"/>
      <c r="AJ42" s="94"/>
      <c r="AK42" s="8"/>
      <c r="AL42" s="8"/>
      <c r="AM42" s="8"/>
      <c r="AN42" s="8"/>
      <c r="AO42" s="8"/>
      <c r="AP42" s="94"/>
      <c r="AQ42" s="94"/>
      <c r="AR42" s="8"/>
      <c r="AS42" s="35"/>
    </row>
    <row r="43" spans="1:57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90"/>
      <c r="Q43" s="8"/>
      <c r="R43" s="8"/>
      <c r="S43" s="8"/>
      <c r="T43" s="8"/>
      <c r="U43" s="94"/>
      <c r="V43" s="94"/>
      <c r="W43" s="8"/>
      <c r="X43" s="8"/>
      <c r="Y43" s="8"/>
      <c r="Z43" s="8"/>
      <c r="AA43" s="8"/>
      <c r="AB43" s="94"/>
      <c r="AC43" s="94"/>
      <c r="AD43" s="8"/>
      <c r="AE43" s="8"/>
      <c r="AF43" s="8"/>
      <c r="AG43" s="8"/>
      <c r="AH43" s="8"/>
      <c r="AI43" s="94"/>
      <c r="AJ43" s="94"/>
      <c r="AK43" s="8"/>
      <c r="AL43" s="8"/>
      <c r="AM43" s="8"/>
      <c r="AN43" s="8"/>
      <c r="AO43" s="8"/>
      <c r="AP43" s="94"/>
      <c r="AQ43" s="94"/>
      <c r="AR43" s="8"/>
      <c r="AS43" s="35"/>
    </row>
    <row r="44" spans="1:57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90"/>
      <c r="Q44" s="8"/>
      <c r="R44" s="8"/>
      <c r="S44" s="8"/>
      <c r="T44" s="8"/>
      <c r="U44" s="94"/>
      <c r="V44" s="94"/>
      <c r="W44" s="8"/>
      <c r="X44" s="8"/>
      <c r="Y44" s="8"/>
      <c r="Z44" s="8"/>
      <c r="AA44" s="8"/>
      <c r="AB44" s="94"/>
      <c r="AC44" s="94"/>
      <c r="AD44" s="8"/>
      <c r="AE44" s="8"/>
      <c r="AF44" s="8"/>
      <c r="AG44" s="8"/>
      <c r="AH44" s="8"/>
      <c r="AI44" s="94"/>
      <c r="AJ44" s="94"/>
      <c r="AK44" s="8"/>
      <c r="AL44" s="8"/>
      <c r="AM44" s="8"/>
      <c r="AN44" s="8"/>
      <c r="AO44" s="8"/>
      <c r="AP44" s="94"/>
      <c r="AQ44" s="94"/>
      <c r="AR44" s="8"/>
      <c r="AS44" s="35"/>
    </row>
    <row r="45" spans="1:57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30</v>
      </c>
      <c r="N45" s="20">
        <f t="shared" si="37"/>
        <v>0</v>
      </c>
      <c r="O45" s="92">
        <f t="shared" si="38"/>
        <v>0</v>
      </c>
      <c r="P45" s="90" t="s">
        <v>203</v>
      </c>
      <c r="Q45" s="90" t="s">
        <v>203</v>
      </c>
      <c r="R45" s="90" t="s">
        <v>203</v>
      </c>
      <c r="S45" s="90" t="s">
        <v>203</v>
      </c>
      <c r="T45" s="90" t="s">
        <v>203</v>
      </c>
      <c r="U45" s="90" t="s">
        <v>203</v>
      </c>
      <c r="V45" s="90" t="s">
        <v>203</v>
      </c>
      <c r="W45" s="90" t="s">
        <v>203</v>
      </c>
      <c r="X45" s="90" t="s">
        <v>203</v>
      </c>
      <c r="Y45" s="90" t="s">
        <v>203</v>
      </c>
      <c r="Z45" s="90" t="s">
        <v>203</v>
      </c>
      <c r="AA45" s="90" t="s">
        <v>203</v>
      </c>
      <c r="AB45" s="90" t="s">
        <v>203</v>
      </c>
      <c r="AC45" s="90" t="s">
        <v>203</v>
      </c>
      <c r="AD45" s="90" t="s">
        <v>203</v>
      </c>
      <c r="AE45" s="90" t="s">
        <v>203</v>
      </c>
      <c r="AF45" s="90" t="s">
        <v>203</v>
      </c>
      <c r="AG45" s="90" t="s">
        <v>203</v>
      </c>
      <c r="AH45" s="90" t="s">
        <v>203</v>
      </c>
      <c r="AI45" s="90" t="s">
        <v>203</v>
      </c>
      <c r="AJ45" s="90" t="s">
        <v>203</v>
      </c>
      <c r="AK45" s="90" t="s">
        <v>203</v>
      </c>
      <c r="AL45" s="90" t="s">
        <v>203</v>
      </c>
      <c r="AM45" s="90" t="s">
        <v>203</v>
      </c>
      <c r="AN45" s="90" t="s">
        <v>203</v>
      </c>
      <c r="AO45" s="90" t="s">
        <v>203</v>
      </c>
      <c r="AP45" s="90" t="s">
        <v>203</v>
      </c>
      <c r="AQ45" s="90" t="s">
        <v>203</v>
      </c>
      <c r="AR45" s="90" t="s">
        <v>203</v>
      </c>
      <c r="AS45" s="90" t="s">
        <v>203</v>
      </c>
    </row>
    <row r="46" spans="1:57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90"/>
      <c r="Q46" s="8"/>
      <c r="R46" s="8"/>
      <c r="S46" s="8"/>
      <c r="T46" s="8"/>
      <c r="U46" s="94"/>
      <c r="V46" s="94"/>
      <c r="W46" s="8"/>
      <c r="X46" s="8"/>
      <c r="Y46" s="8"/>
      <c r="Z46" s="8"/>
      <c r="AA46" s="8"/>
      <c r="AB46" s="94"/>
      <c r="AC46" s="94"/>
      <c r="AD46" s="8"/>
      <c r="AE46" s="8"/>
      <c r="AF46" s="8"/>
      <c r="AG46" s="8"/>
      <c r="AH46" s="8"/>
      <c r="AI46" s="94"/>
      <c r="AJ46" s="94"/>
      <c r="AK46" s="8"/>
      <c r="AL46" s="8"/>
      <c r="AM46" s="8"/>
      <c r="AN46" s="8"/>
      <c r="AO46" s="8"/>
      <c r="AP46" s="94"/>
      <c r="AQ46" s="94"/>
      <c r="AR46" s="8"/>
      <c r="AS46" s="35"/>
    </row>
    <row r="47" spans="1:57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90"/>
      <c r="Q47" s="8"/>
      <c r="R47" s="8"/>
      <c r="S47" s="8"/>
      <c r="T47" s="8"/>
      <c r="U47" s="94"/>
      <c r="V47" s="94"/>
      <c r="W47" s="8"/>
      <c r="X47" s="8"/>
      <c r="Y47" s="8"/>
      <c r="Z47" s="8"/>
      <c r="AA47" s="8"/>
      <c r="AB47" s="94"/>
      <c r="AC47" s="94"/>
      <c r="AD47" s="8"/>
      <c r="AE47" s="8"/>
      <c r="AF47" s="8"/>
      <c r="AG47" s="8"/>
      <c r="AH47" s="8"/>
      <c r="AI47" s="94"/>
      <c r="AJ47" s="94"/>
      <c r="AK47" s="8"/>
      <c r="AL47" s="8"/>
      <c r="AM47" s="8"/>
      <c r="AN47" s="8"/>
      <c r="AO47" s="8"/>
      <c r="AP47" s="94"/>
      <c r="AQ47" s="94"/>
      <c r="AR47" s="8"/>
      <c r="AS47" s="35"/>
    </row>
    <row r="48" spans="1:57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90"/>
      <c r="Q48" s="8"/>
      <c r="R48" s="8"/>
      <c r="S48" s="8"/>
      <c r="T48" s="8"/>
      <c r="U48" s="94"/>
      <c r="V48" s="94"/>
      <c r="W48" s="8"/>
      <c r="X48" s="8"/>
      <c r="Y48" s="8"/>
      <c r="Z48" s="8"/>
      <c r="AA48" s="8"/>
      <c r="AB48" s="94"/>
      <c r="AC48" s="94"/>
      <c r="AD48" s="8"/>
      <c r="AE48" s="8"/>
      <c r="AF48" s="8"/>
      <c r="AG48" s="8"/>
      <c r="AH48" s="8"/>
      <c r="AI48" s="94"/>
      <c r="AJ48" s="94"/>
      <c r="AK48" s="8"/>
      <c r="AL48" s="8"/>
      <c r="AM48" s="8"/>
      <c r="AN48" s="8"/>
      <c r="AO48" s="8"/>
      <c r="AP48" s="94"/>
      <c r="AQ48" s="94"/>
      <c r="AR48" s="8"/>
      <c r="AS48" s="35"/>
    </row>
    <row r="49" spans="1:57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90"/>
      <c r="Q49" s="8"/>
      <c r="R49" s="8"/>
      <c r="S49" s="8"/>
      <c r="T49" s="8"/>
      <c r="U49" s="94"/>
      <c r="V49" s="94"/>
      <c r="W49" s="8"/>
      <c r="X49" s="8"/>
      <c r="Y49" s="8"/>
      <c r="Z49" s="8"/>
      <c r="AA49" s="8"/>
      <c r="AB49" s="94"/>
      <c r="AC49" s="94"/>
      <c r="AD49" s="8"/>
      <c r="AE49" s="8"/>
      <c r="AF49" s="8"/>
      <c r="AG49" s="8"/>
      <c r="AH49" s="8"/>
      <c r="AI49" s="94"/>
      <c r="AJ49" s="94"/>
      <c r="AK49" s="8"/>
      <c r="AL49" s="8"/>
      <c r="AM49" s="8"/>
      <c r="AN49" s="8"/>
      <c r="AO49" s="8"/>
      <c r="AP49" s="94"/>
      <c r="AQ49" s="94"/>
      <c r="AR49" s="8"/>
      <c r="AS49" s="35"/>
    </row>
    <row r="50" spans="1:57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U50" s="290" t="s">
        <v>219</v>
      </c>
      <c r="AV50" s="291"/>
      <c r="AW50" s="291"/>
      <c r="AX50" s="291"/>
      <c r="AY50" s="291"/>
      <c r="AZ50" s="291"/>
      <c r="BA50" s="291"/>
      <c r="BB50" s="291"/>
      <c r="BC50" s="291"/>
      <c r="BD50" s="291"/>
      <c r="BE50" s="292"/>
    </row>
    <row r="51" spans="1:57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87">
        <f t="shared" ref="D51:D62" si="39">COUNTIF(P51:AS51,"p")</f>
        <v>0</v>
      </c>
      <c r="E51" s="20">
        <f t="shared" ref="E51:E62" si="40">COUNTIF(P51:AS51,"PC")</f>
        <v>0</v>
      </c>
      <c r="F51" s="20">
        <f t="shared" ref="F51:F62" si="41">COUNTIF(P51:AS51,"f")</f>
        <v>0</v>
      </c>
      <c r="G51" s="20">
        <f t="shared" ref="G51:G62" si="42">COUNTIF(P51:AS51,"ast")</f>
        <v>0</v>
      </c>
      <c r="H51" s="20">
        <f t="shared" ref="H51:H62" si="43">COUNTIF(P51:AS51,"cA")</f>
        <v>0</v>
      </c>
      <c r="I51" s="20">
        <f t="shared" ref="I51:I62" si="44">COUNTIF(P51:AS51,"rtt")</f>
        <v>0</v>
      </c>
      <c r="J51" s="20">
        <f t="shared" ref="J51:J62" si="45">COUNTIF(P51:AS51,"cex")</f>
        <v>0</v>
      </c>
      <c r="K51" s="20">
        <f t="shared" ref="K51:K62" si="46">COUNTIF(P51:AS51,"res")</f>
        <v>0</v>
      </c>
      <c r="L51" s="20">
        <f t="shared" ref="L51:L62" si="47">COUNTIF(P51:AS51,"mA")</f>
        <v>0</v>
      </c>
      <c r="M51" s="20">
        <f t="shared" ref="M51:M62" si="48">COUNTIF(P51:AS51,"at")</f>
        <v>0</v>
      </c>
      <c r="N51" s="20">
        <f t="shared" ref="N51:N62" si="49">COUNTIF(P51:AS51,"TAD")</f>
        <v>0</v>
      </c>
      <c r="O51" s="92">
        <f t="shared" ref="O51:O62" si="50">COUNTIF(P51:AS51,"TP")</f>
        <v>0</v>
      </c>
      <c r="P51" s="87"/>
      <c r="Q51" s="20"/>
      <c r="R51" s="20"/>
      <c r="S51" s="20"/>
      <c r="T51" s="20"/>
      <c r="U51" s="94"/>
      <c r="V51" s="94"/>
      <c r="W51" s="20"/>
      <c r="X51" s="20"/>
      <c r="Y51" s="20"/>
      <c r="Z51" s="20"/>
      <c r="AA51" s="20"/>
      <c r="AB51" s="86"/>
      <c r="AC51" s="86"/>
      <c r="AD51" s="20"/>
      <c r="AE51" s="20"/>
      <c r="AF51" s="20"/>
      <c r="AG51" s="20"/>
      <c r="AH51" s="20"/>
      <c r="AI51" s="198"/>
      <c r="AJ51" s="198"/>
      <c r="AK51" s="123"/>
      <c r="AL51" s="20"/>
      <c r="AM51" s="20"/>
      <c r="AN51" s="20"/>
      <c r="AO51" s="20"/>
      <c r="AP51" s="86"/>
      <c r="AQ51" s="86"/>
      <c r="AR51" s="20"/>
      <c r="AS51" s="34"/>
      <c r="AU51" s="15" t="s">
        <v>194</v>
      </c>
      <c r="AV51" s="78" t="s">
        <v>195</v>
      </c>
      <c r="AW51" s="12" t="s">
        <v>196</v>
      </c>
      <c r="AX51" s="79" t="s">
        <v>197</v>
      </c>
      <c r="AY51" s="10" t="s">
        <v>198</v>
      </c>
      <c r="AZ51" s="80" t="s">
        <v>199</v>
      </c>
      <c r="BA51" s="11" t="s">
        <v>200</v>
      </c>
      <c r="BB51" s="81" t="s">
        <v>201</v>
      </c>
      <c r="BC51" s="82" t="s">
        <v>202</v>
      </c>
      <c r="BD51" s="83" t="s">
        <v>203</v>
      </c>
      <c r="BE51" s="16" t="s">
        <v>205</v>
      </c>
    </row>
    <row r="52" spans="1:57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90"/>
      <c r="Q52" s="8"/>
      <c r="R52" s="8"/>
      <c r="S52" s="8"/>
      <c r="T52" s="8"/>
      <c r="U52" s="94"/>
      <c r="V52" s="94"/>
      <c r="W52" s="8"/>
      <c r="X52" s="8"/>
      <c r="Y52" s="8"/>
      <c r="Z52" s="8"/>
      <c r="AA52" s="8"/>
      <c r="AB52" s="94"/>
      <c r="AC52" s="94"/>
      <c r="AD52" s="8"/>
      <c r="AE52" s="8"/>
      <c r="AF52" s="8"/>
      <c r="AG52" s="8"/>
      <c r="AH52" s="8"/>
      <c r="AI52" s="94"/>
      <c r="AJ52" s="94"/>
      <c r="AK52" s="8"/>
      <c r="AL52" s="8"/>
      <c r="AM52" s="8"/>
      <c r="AN52" s="8"/>
      <c r="AO52" s="8"/>
      <c r="AP52" s="94"/>
      <c r="AQ52" s="94"/>
      <c r="AR52" s="8"/>
      <c r="AS52" s="35"/>
      <c r="AU52" s="19">
        <f>COUNTIF(P51:AS62,"P")</f>
        <v>0</v>
      </c>
      <c r="AV52" s="19">
        <f>COUNTIF(P51:AS62,"PC")</f>
        <v>0</v>
      </c>
      <c r="AW52" s="19">
        <f>COUNTIF(P51:AS62,"F")</f>
        <v>0</v>
      </c>
      <c r="AX52" s="19">
        <f>COUNTIF(P51:AS62,"AST")</f>
        <v>0</v>
      </c>
      <c r="AY52" s="19">
        <f>COUNTIF(P51:AS62,"CA")</f>
        <v>0</v>
      </c>
      <c r="AZ52" s="19">
        <f>COUNTIF(P51:AS62,"RTT")</f>
        <v>0</v>
      </c>
      <c r="BA52" s="19">
        <f>COUNTIF(P51:AS62,"CEX")</f>
        <v>0</v>
      </c>
      <c r="BB52" s="19">
        <f>COUNTIF(P51:AS62,"RES")</f>
        <v>0</v>
      </c>
      <c r="BC52" s="19">
        <f>COUNTIF(P51:AS62,"MA")</f>
        <v>0</v>
      </c>
      <c r="BD52" s="19">
        <f>COUNTIF(P51:AS62,"AT")</f>
        <v>0</v>
      </c>
      <c r="BE52" s="19">
        <f>COUNTIF(P51:AS62,"TP")</f>
        <v>0</v>
      </c>
    </row>
    <row r="53" spans="1:57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90"/>
      <c r="Q53" s="8"/>
      <c r="R53" s="8"/>
      <c r="S53" s="8"/>
      <c r="T53" s="8"/>
      <c r="U53" s="94"/>
      <c r="V53" s="94"/>
      <c r="W53" s="8"/>
      <c r="X53" s="8"/>
      <c r="Y53" s="8"/>
      <c r="Z53" s="8"/>
      <c r="AA53" s="8"/>
      <c r="AB53" s="94"/>
      <c r="AC53" s="94"/>
      <c r="AD53" s="8"/>
      <c r="AE53" s="8"/>
      <c r="AF53" s="8"/>
      <c r="AG53" s="8"/>
      <c r="AH53" s="8"/>
      <c r="AI53" s="94"/>
      <c r="AJ53" s="94"/>
      <c r="AK53" s="8"/>
      <c r="AL53" s="8"/>
      <c r="AM53" s="8"/>
      <c r="AN53" s="8"/>
      <c r="AO53" s="8"/>
      <c r="AP53" s="94"/>
      <c r="AQ53" s="94"/>
      <c r="AR53" s="8"/>
      <c r="AS53" s="35"/>
    </row>
    <row r="54" spans="1:57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90"/>
      <c r="Q54" s="8"/>
      <c r="R54" s="8"/>
      <c r="S54" s="8"/>
      <c r="T54" s="8"/>
      <c r="U54" s="94"/>
      <c r="V54" s="94"/>
      <c r="W54" s="8"/>
      <c r="X54" s="8"/>
      <c r="Y54" s="8"/>
      <c r="Z54" s="8"/>
      <c r="AA54" s="8"/>
      <c r="AB54" s="94"/>
      <c r="AC54" s="94"/>
      <c r="AD54" s="8"/>
      <c r="AE54" s="8"/>
      <c r="AF54" s="8"/>
      <c r="AG54" s="8"/>
      <c r="AH54" s="8"/>
      <c r="AI54" s="94"/>
      <c r="AJ54" s="94"/>
      <c r="AK54" s="8"/>
      <c r="AL54" s="8"/>
      <c r="AM54" s="8"/>
      <c r="AN54" s="8"/>
      <c r="AO54" s="8"/>
      <c r="AP54" s="94"/>
      <c r="AQ54" s="94"/>
      <c r="AR54" s="8"/>
      <c r="AS54" s="35"/>
    </row>
    <row r="55" spans="1:57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90"/>
      <c r="Q55" s="8"/>
      <c r="R55" s="8"/>
      <c r="S55" s="8"/>
      <c r="T55" s="8"/>
      <c r="U55" s="94"/>
      <c r="V55" s="94"/>
      <c r="W55" s="8"/>
      <c r="X55" s="8"/>
      <c r="Y55" s="8"/>
      <c r="Z55" s="8"/>
      <c r="AA55" s="8"/>
      <c r="AB55" s="94"/>
      <c r="AC55" s="94"/>
      <c r="AD55" s="8"/>
      <c r="AE55" s="8"/>
      <c r="AF55" s="8"/>
      <c r="AG55" s="8"/>
      <c r="AH55" s="8"/>
      <c r="AI55" s="94"/>
      <c r="AJ55" s="94"/>
      <c r="AK55" s="8"/>
      <c r="AL55" s="8"/>
      <c r="AM55" s="8"/>
      <c r="AN55" s="8"/>
      <c r="AO55" s="8"/>
      <c r="AP55" s="94"/>
      <c r="AQ55" s="94"/>
      <c r="AR55" s="8"/>
      <c r="AS55" s="35"/>
    </row>
    <row r="56" spans="1:57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90"/>
      <c r="Q56" s="8"/>
      <c r="R56" s="8"/>
      <c r="S56" s="8"/>
      <c r="T56" s="8"/>
      <c r="U56" s="94"/>
      <c r="V56" s="94"/>
      <c r="W56" s="8"/>
      <c r="X56" s="8"/>
      <c r="Y56" s="8"/>
      <c r="Z56" s="8"/>
      <c r="AA56" s="8"/>
      <c r="AB56" s="94"/>
      <c r="AC56" s="94"/>
      <c r="AD56" s="8"/>
      <c r="AE56" s="8"/>
      <c r="AF56" s="8"/>
      <c r="AG56" s="8"/>
      <c r="AH56" s="8"/>
      <c r="AI56" s="94"/>
      <c r="AJ56" s="94"/>
      <c r="AK56" s="8"/>
      <c r="AL56" s="8"/>
      <c r="AM56" s="8"/>
      <c r="AN56" s="8"/>
      <c r="AO56" s="8"/>
      <c r="AP56" s="94"/>
      <c r="AQ56" s="94"/>
      <c r="AR56" s="8"/>
      <c r="AS56" s="35"/>
    </row>
    <row r="57" spans="1:57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90"/>
      <c r="Q57" s="8"/>
      <c r="R57" s="8"/>
      <c r="S57" s="8"/>
      <c r="T57" s="8"/>
      <c r="U57" s="94"/>
      <c r="V57" s="94"/>
      <c r="W57" s="8"/>
      <c r="X57" s="8"/>
      <c r="Y57" s="8"/>
      <c r="Z57" s="8"/>
      <c r="AA57" s="8"/>
      <c r="AB57" s="94"/>
      <c r="AC57" s="94"/>
      <c r="AD57" s="8"/>
      <c r="AE57" s="8"/>
      <c r="AF57" s="8"/>
      <c r="AG57" s="8"/>
      <c r="AH57" s="8"/>
      <c r="AI57" s="94"/>
      <c r="AJ57" s="94"/>
      <c r="AK57" s="8"/>
      <c r="AL57" s="8"/>
      <c r="AM57" s="8"/>
      <c r="AN57" s="8"/>
      <c r="AO57" s="8"/>
      <c r="AP57" s="94"/>
      <c r="AQ57" s="94"/>
      <c r="AR57" s="8"/>
      <c r="AS57" s="35"/>
    </row>
    <row r="58" spans="1:57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90"/>
      <c r="Q58" s="8"/>
      <c r="R58" s="8"/>
      <c r="S58" s="8"/>
      <c r="T58" s="8"/>
      <c r="U58" s="94"/>
      <c r="V58" s="94"/>
      <c r="W58" s="8"/>
      <c r="X58" s="8"/>
      <c r="Y58" s="8"/>
      <c r="Z58" s="8"/>
      <c r="AA58" s="8"/>
      <c r="AB58" s="94"/>
      <c r="AC58" s="94"/>
      <c r="AD58" s="8"/>
      <c r="AE58" s="8"/>
      <c r="AF58" s="8"/>
      <c r="AG58" s="8"/>
      <c r="AH58" s="8"/>
      <c r="AI58" s="94"/>
      <c r="AJ58" s="94"/>
      <c r="AK58" s="8"/>
      <c r="AL58" s="8"/>
      <c r="AM58" s="8"/>
      <c r="AN58" s="8"/>
      <c r="AO58" s="8"/>
      <c r="AP58" s="94"/>
      <c r="AQ58" s="94"/>
      <c r="AR58" s="8"/>
      <c r="AS58" s="35"/>
    </row>
    <row r="59" spans="1:57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90"/>
      <c r="Q59" s="8"/>
      <c r="R59" s="8"/>
      <c r="S59" s="8"/>
      <c r="T59" s="8"/>
      <c r="U59" s="94"/>
      <c r="V59" s="94"/>
      <c r="W59" s="8"/>
      <c r="X59" s="8"/>
      <c r="Y59" s="8"/>
      <c r="Z59" s="8"/>
      <c r="AA59" s="8"/>
      <c r="AB59" s="94"/>
      <c r="AC59" s="94"/>
      <c r="AD59" s="8"/>
      <c r="AE59" s="8"/>
      <c r="AF59" s="8"/>
      <c r="AG59" s="8"/>
      <c r="AH59" s="8"/>
      <c r="AI59" s="94"/>
      <c r="AJ59" s="94"/>
      <c r="AK59" s="8"/>
      <c r="AL59" s="8"/>
      <c r="AM59" s="8"/>
      <c r="AN59" s="8"/>
      <c r="AO59" s="8"/>
      <c r="AP59" s="94"/>
      <c r="AQ59" s="94"/>
      <c r="AR59" s="8"/>
      <c r="AS59" s="35"/>
    </row>
    <row r="60" spans="1:57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90"/>
      <c r="Q60" s="8"/>
      <c r="R60" s="8"/>
      <c r="S60" s="8"/>
      <c r="T60" s="8"/>
      <c r="U60" s="94"/>
      <c r="V60" s="94"/>
      <c r="W60" s="8"/>
      <c r="X60" s="8"/>
      <c r="Y60" s="8"/>
      <c r="Z60" s="8"/>
      <c r="AA60" s="8"/>
      <c r="AB60" s="94"/>
      <c r="AC60" s="94"/>
      <c r="AD60" s="8"/>
      <c r="AE60" s="8"/>
      <c r="AF60" s="8"/>
      <c r="AG60" s="8"/>
      <c r="AH60" s="8"/>
      <c r="AI60" s="94"/>
      <c r="AJ60" s="94"/>
      <c r="AK60" s="8"/>
      <c r="AL60" s="8"/>
      <c r="AM60" s="8"/>
      <c r="AN60" s="8"/>
      <c r="AO60" s="8"/>
      <c r="AP60" s="94"/>
      <c r="AQ60" s="94"/>
      <c r="AR60" s="8"/>
      <c r="AS60" s="35"/>
    </row>
    <row r="61" spans="1:57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90"/>
      <c r="Q61" s="8"/>
      <c r="R61" s="8"/>
      <c r="S61" s="8"/>
      <c r="T61" s="8"/>
      <c r="U61" s="94"/>
      <c r="V61" s="94"/>
      <c r="W61" s="8"/>
      <c r="X61" s="8"/>
      <c r="Y61" s="8"/>
      <c r="Z61" s="8"/>
      <c r="AA61" s="8"/>
      <c r="AB61" s="94"/>
      <c r="AC61" s="94"/>
      <c r="AD61" s="8"/>
      <c r="AE61" s="8"/>
      <c r="AF61" s="8"/>
      <c r="AG61" s="8"/>
      <c r="AH61" s="8"/>
      <c r="AI61" s="94"/>
      <c r="AJ61" s="94"/>
      <c r="AK61" s="8"/>
      <c r="AL61" s="8"/>
      <c r="AM61" s="8"/>
      <c r="AN61" s="8"/>
      <c r="AO61" s="8"/>
      <c r="AP61" s="94"/>
      <c r="AQ61" s="94"/>
      <c r="AR61" s="8"/>
      <c r="AS61" s="35"/>
    </row>
    <row r="62" spans="1:57" ht="20.100000000000001" customHeight="1" thickBot="1" x14ac:dyDescent="0.3">
      <c r="A62" s="139" t="str">
        <f>IFERROR(IF(config!E54="","",config!E54),"")</f>
        <v>N019975</v>
      </c>
      <c r="B62" s="139" t="str">
        <f>IFERROR(IF(config!F54="","",config!F54),"")</f>
        <v>VILLENEUVE</v>
      </c>
      <c r="C62" s="102" t="str">
        <f>IFERROR(IF(config!G54="","",config!G54),"")</f>
        <v>Fabrice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92">
        <f t="shared" si="50"/>
        <v>0</v>
      </c>
      <c r="P62" s="91"/>
      <c r="Q62" s="21"/>
      <c r="R62" s="21"/>
      <c r="S62" s="21"/>
      <c r="T62" s="21"/>
      <c r="U62" s="95"/>
      <c r="V62" s="95"/>
      <c r="W62" s="21"/>
      <c r="X62" s="21"/>
      <c r="Y62" s="21"/>
      <c r="Z62" s="21"/>
      <c r="AA62" s="21"/>
      <c r="AB62" s="95"/>
      <c r="AC62" s="95"/>
      <c r="AD62" s="21"/>
      <c r="AE62" s="21"/>
      <c r="AF62" s="21"/>
      <c r="AG62" s="21"/>
      <c r="AH62" s="21"/>
      <c r="AI62" s="95"/>
      <c r="AJ62" s="95"/>
      <c r="AK62" s="21"/>
      <c r="AL62" s="21"/>
      <c r="AM62" s="21"/>
      <c r="AN62" s="21"/>
      <c r="AO62" s="21"/>
      <c r="AP62" s="95"/>
      <c r="AQ62" s="95"/>
      <c r="AR62" s="21"/>
      <c r="AS62" s="36"/>
    </row>
    <row r="63" spans="1:57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9"/>
      <c r="AU63" s="290" t="s">
        <v>221</v>
      </c>
      <c r="AV63" s="291"/>
      <c r="AW63" s="291"/>
      <c r="AX63" s="291"/>
      <c r="AY63" s="291"/>
      <c r="AZ63" s="291"/>
      <c r="BA63" s="291"/>
      <c r="BB63" s="291"/>
      <c r="BC63" s="291"/>
      <c r="BD63" s="291"/>
      <c r="BE63" s="292"/>
    </row>
    <row r="64" spans="1:57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>COUNTIF(P64:AS64,"p")</f>
        <v>0</v>
      </c>
      <c r="E64" s="20">
        <f>COUNTIF(P64:AS64,"PC")</f>
        <v>0</v>
      </c>
      <c r="F64" s="20">
        <f>COUNTIF(P64:AS64,"f")</f>
        <v>0</v>
      </c>
      <c r="G64" s="20">
        <f>COUNTIF(P64:AS64,"ast")</f>
        <v>0</v>
      </c>
      <c r="H64" s="20">
        <f>COUNTIF(P64:AS64,"cA")</f>
        <v>0</v>
      </c>
      <c r="I64" s="20">
        <f>COUNTIF(P64:AS64,"rtt")</f>
        <v>0</v>
      </c>
      <c r="J64" s="20">
        <f>COUNTIF(P64:AS64,"cex")</f>
        <v>0</v>
      </c>
      <c r="K64" s="20">
        <f>COUNTIF(P64:AS64,"res")</f>
        <v>0</v>
      </c>
      <c r="L64" s="20">
        <f>COUNTIF(P64:AS64,"mA")</f>
        <v>0</v>
      </c>
      <c r="M64" s="20">
        <f>COUNTIF(P64:AS64,"at")</f>
        <v>0</v>
      </c>
      <c r="N64" s="20">
        <f>COUNTIF(P64:AS64,"TAD")</f>
        <v>0</v>
      </c>
      <c r="O64" s="92">
        <f>COUNTIF(P64:AS64,"TP")</f>
        <v>0</v>
      </c>
      <c r="P64" s="87"/>
      <c r="Q64" s="20"/>
      <c r="R64" s="20"/>
      <c r="S64" s="20"/>
      <c r="T64" s="20"/>
      <c r="U64" s="86"/>
      <c r="V64" s="86"/>
      <c r="W64" s="20"/>
      <c r="X64" s="20"/>
      <c r="Y64" s="20"/>
      <c r="Z64" s="20"/>
      <c r="AA64" s="20"/>
      <c r="AB64" s="86"/>
      <c r="AC64" s="86"/>
      <c r="AD64" s="20"/>
      <c r="AE64" s="20"/>
      <c r="AF64" s="20"/>
      <c r="AG64" s="20"/>
      <c r="AH64" s="20"/>
      <c r="AI64" s="86"/>
      <c r="AJ64" s="86"/>
      <c r="AK64" s="20"/>
      <c r="AL64" s="20"/>
      <c r="AM64" s="20"/>
      <c r="AN64" s="20"/>
      <c r="AO64" s="20"/>
      <c r="AP64" s="86"/>
      <c r="AQ64" s="86"/>
      <c r="AR64" s="20"/>
      <c r="AS64" s="34"/>
      <c r="AU64" s="15" t="s">
        <v>194</v>
      </c>
      <c r="AV64" s="78" t="s">
        <v>195</v>
      </c>
      <c r="AW64" s="12" t="s">
        <v>196</v>
      </c>
      <c r="AX64" s="79" t="s">
        <v>197</v>
      </c>
      <c r="AY64" s="10" t="s">
        <v>198</v>
      </c>
      <c r="AZ64" s="80" t="s">
        <v>199</v>
      </c>
      <c r="BA64" s="11" t="s">
        <v>200</v>
      </c>
      <c r="BB64" s="81" t="s">
        <v>201</v>
      </c>
      <c r="BC64" s="82" t="s">
        <v>202</v>
      </c>
      <c r="BD64" s="83" t="s">
        <v>203</v>
      </c>
      <c r="BE64" s="16" t="s">
        <v>205</v>
      </c>
    </row>
    <row r="65" spans="1:57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>COUNTIF(P65:AS65,"p")</f>
        <v>0</v>
      </c>
      <c r="E65" s="20">
        <f>COUNTIF(P65:AS65,"PC")</f>
        <v>0</v>
      </c>
      <c r="F65" s="20">
        <f>COUNTIF(P65:AS65,"f")</f>
        <v>0</v>
      </c>
      <c r="G65" s="20">
        <f>COUNTIF(P65:AS65,"ast")</f>
        <v>0</v>
      </c>
      <c r="H65" s="20">
        <f>COUNTIF(P65:AS65,"cA")</f>
        <v>0</v>
      </c>
      <c r="I65" s="20">
        <f>COUNTIF(P65:AS65,"rtt")</f>
        <v>0</v>
      </c>
      <c r="J65" s="20">
        <f>COUNTIF(P65:AS65,"cex")</f>
        <v>0</v>
      </c>
      <c r="K65" s="20">
        <f>COUNTIF(P65:AS65,"res")</f>
        <v>0</v>
      </c>
      <c r="L65" s="20">
        <f>COUNTIF(P65:AS65,"mA")</f>
        <v>0</v>
      </c>
      <c r="M65" s="20">
        <f>COUNTIF(P65:AS65,"at")</f>
        <v>0</v>
      </c>
      <c r="N65" s="20">
        <f>COUNTIF(P65:AS65,"TAD")</f>
        <v>0</v>
      </c>
      <c r="O65" s="92">
        <f>COUNTIF(P65:AS65,"TP")</f>
        <v>0</v>
      </c>
      <c r="P65" s="90"/>
      <c r="Q65" s="8"/>
      <c r="R65" s="8"/>
      <c r="S65" s="8"/>
      <c r="T65" s="8"/>
      <c r="U65" s="94"/>
      <c r="V65" s="94"/>
      <c r="W65" s="8"/>
      <c r="X65" s="8"/>
      <c r="Y65" s="8"/>
      <c r="Z65" s="8"/>
      <c r="AA65" s="8"/>
      <c r="AB65" s="94"/>
      <c r="AC65" s="94"/>
      <c r="AD65" s="8"/>
      <c r="AE65" s="8"/>
      <c r="AF65" s="8"/>
      <c r="AG65" s="8"/>
      <c r="AH65" s="8"/>
      <c r="AI65" s="94"/>
      <c r="AJ65" s="94"/>
      <c r="AK65" s="8"/>
      <c r="AL65" s="8"/>
      <c r="AM65" s="8"/>
      <c r="AN65" s="8"/>
      <c r="AO65" s="8"/>
      <c r="AP65" s="94"/>
      <c r="AQ65" s="94"/>
      <c r="AR65" s="8"/>
      <c r="AS65" s="35"/>
      <c r="AU65" s="19">
        <f>COUNTIF(P64:AS73,"P")</f>
        <v>0</v>
      </c>
      <c r="AV65" s="19">
        <f>COUNTIF(P64:AS73,"PC")</f>
        <v>0</v>
      </c>
      <c r="AW65" s="19">
        <f>COUNTIF(P64:AS73,"F")</f>
        <v>0</v>
      </c>
      <c r="AX65" s="19">
        <f>COUNTIF(P64:AS73,"AST")</f>
        <v>0</v>
      </c>
      <c r="AY65" s="19">
        <f>COUNTIF(P64:AS73,"Ca")</f>
        <v>0</v>
      </c>
      <c r="AZ65" s="19">
        <f>COUNTIF(P64:AS73,"RTT")</f>
        <v>0</v>
      </c>
      <c r="BA65" s="19">
        <f>COUNTIF(P64:AS73,"CEX")</f>
        <v>0</v>
      </c>
      <c r="BB65" s="19">
        <f>COUNTIF(P64:AS73,"RES")</f>
        <v>0</v>
      </c>
      <c r="BC65" s="19">
        <f>COUNTIF(P64:AS73,"MA")</f>
        <v>0</v>
      </c>
      <c r="BD65" s="19">
        <f>COUNTIF(P64:AS73,"AT")</f>
        <v>0</v>
      </c>
      <c r="BE65" s="19">
        <f>COUNTIF(P64:AS73,"TP")</f>
        <v>0</v>
      </c>
    </row>
    <row r="66" spans="1:57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>COUNTIF(P66:AS66,"p")</f>
        <v>0</v>
      </c>
      <c r="E66" s="20">
        <f>COUNTIF(P66:AS66,"PC")</f>
        <v>0</v>
      </c>
      <c r="F66" s="20">
        <f>COUNTIF(P66:AS66,"f")</f>
        <v>0</v>
      </c>
      <c r="G66" s="20">
        <f>COUNTIF(P66:AS66,"ast")</f>
        <v>0</v>
      </c>
      <c r="H66" s="20">
        <f>COUNTIF(P66:AS66,"cA")</f>
        <v>0</v>
      </c>
      <c r="I66" s="20">
        <f>COUNTIF(P66:AS66,"rtt")</f>
        <v>0</v>
      </c>
      <c r="J66" s="20">
        <f>COUNTIF(P66:AS66,"cex")</f>
        <v>0</v>
      </c>
      <c r="K66" s="20">
        <f>COUNTIF(P66:AS66,"res")</f>
        <v>0</v>
      </c>
      <c r="L66" s="20">
        <f>COUNTIF(P66:AS66,"mA")</f>
        <v>0</v>
      </c>
      <c r="M66" s="20">
        <f>COUNTIF(P66:AS66,"at")</f>
        <v>0</v>
      </c>
      <c r="N66" s="20">
        <f>COUNTIF(P66:AS66,"TAD")</f>
        <v>0</v>
      </c>
      <c r="O66" s="92">
        <f>COUNTIF(P66:AS66,"TP")</f>
        <v>0</v>
      </c>
      <c r="P66" s="90"/>
      <c r="Q66" s="8"/>
      <c r="R66" s="8"/>
      <c r="S66" s="8"/>
      <c r="T66" s="8"/>
      <c r="U66" s="94"/>
      <c r="V66" s="94"/>
      <c r="W66" s="8"/>
      <c r="X66" s="8"/>
      <c r="Y66" s="8"/>
      <c r="Z66" s="8"/>
      <c r="AA66" s="8"/>
      <c r="AB66" s="94"/>
      <c r="AC66" s="94"/>
      <c r="AD66" s="8"/>
      <c r="AE66" s="8"/>
      <c r="AF66" s="8"/>
      <c r="AG66" s="8"/>
      <c r="AH66" s="8"/>
      <c r="AI66" s="94"/>
      <c r="AJ66" s="94"/>
      <c r="AK66" s="8"/>
      <c r="AL66" s="8"/>
      <c r="AM66" s="8"/>
      <c r="AN66" s="8"/>
      <c r="AO66" s="8"/>
      <c r="AP66" s="94"/>
      <c r="AQ66" s="94"/>
      <c r="AR66" s="8"/>
      <c r="AS66" s="35"/>
    </row>
    <row r="67" spans="1:57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8">
        <f>COUNTIF(P67:AS67,"p")</f>
        <v>0</v>
      </c>
      <c r="E67" s="89">
        <f>COUNTIF(P67:AS67,"PC")</f>
        <v>0</v>
      </c>
      <c r="F67" s="89">
        <f>COUNTIF(P67:AS67,"f")</f>
        <v>0</v>
      </c>
      <c r="G67" s="89">
        <f>COUNTIF(P67:AS67,"ast")</f>
        <v>0</v>
      </c>
      <c r="H67" s="89">
        <f>COUNTIF(P67:AS67,"cA")</f>
        <v>0</v>
      </c>
      <c r="I67" s="89">
        <f>COUNTIF(P67:AS67,"rtt")</f>
        <v>0</v>
      </c>
      <c r="J67" s="89">
        <f>COUNTIF(P67:AS67,"cex")</f>
        <v>0</v>
      </c>
      <c r="K67" s="89">
        <f>COUNTIF(P67:AS67,"res")</f>
        <v>0</v>
      </c>
      <c r="L67" s="89">
        <f>COUNTIF(P67:AS67,"mA")</f>
        <v>0</v>
      </c>
      <c r="M67" s="89">
        <f>COUNTIF(P67:AS67,"at")</f>
        <v>0</v>
      </c>
      <c r="N67" s="89">
        <f>COUNTIF(P67:AS67,"TAD")</f>
        <v>0</v>
      </c>
      <c r="O67" s="93">
        <f>COUNTIF(P67:AS67,"TP")</f>
        <v>0</v>
      </c>
      <c r="P67" s="91"/>
      <c r="Q67" s="21"/>
      <c r="R67" s="21"/>
      <c r="S67" s="21"/>
      <c r="T67" s="21"/>
      <c r="U67" s="95"/>
      <c r="V67" s="95"/>
      <c r="W67" s="21"/>
      <c r="X67" s="21"/>
      <c r="Y67" s="21"/>
      <c r="Z67" s="21"/>
      <c r="AA67" s="21"/>
      <c r="AB67" s="95"/>
      <c r="AC67" s="95"/>
      <c r="AD67" s="21"/>
      <c r="AE67" s="21"/>
      <c r="AF67" s="21"/>
      <c r="AG67" s="21"/>
      <c r="AH67" s="21"/>
      <c r="AI67" s="95"/>
      <c r="AJ67" s="95"/>
      <c r="AK67" s="21"/>
      <c r="AL67" s="21"/>
      <c r="AM67" s="21"/>
      <c r="AN67" s="21"/>
      <c r="AO67" s="21"/>
      <c r="AP67" s="95"/>
      <c r="AQ67" s="95"/>
      <c r="AR67" s="21"/>
      <c r="AS67" s="36"/>
    </row>
    <row r="76" spans="1:57" x14ac:dyDescent="0.25">
      <c r="T76" s="19" t="s">
        <v>194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913" priority="78" operator="equal">
      <formula>"repos"</formula>
    </cfRule>
    <cfRule type="cellIs" dxfId="912" priority="79" operator="equal">
      <formula>"permanence"</formula>
    </cfRule>
    <cfRule type="cellIs" dxfId="911" priority="80" operator="equal">
      <formula>"dimanche"</formula>
    </cfRule>
    <cfRule type="cellIs" dxfId="910" priority="81" operator="equal">
      <formula>"formation"</formula>
    </cfRule>
    <cfRule type="cellIs" dxfId="909" priority="82" operator="equal">
      <formula>"conges exc"</formula>
    </cfRule>
    <cfRule type="cellIs" dxfId="908" priority="83" operator="equal">
      <formula>"conges"</formula>
    </cfRule>
    <cfRule type="cellIs" dxfId="907" priority="84" operator="equal">
      <formula>"asa"</formula>
    </cfRule>
    <cfRule type="cellIs" dxfId="906" priority="85" operator="equal">
      <formula>"maladie / at"</formula>
    </cfRule>
    <cfRule type="cellIs" dxfId="905" priority="86" operator="equal">
      <formula>"presence"</formula>
    </cfRule>
  </conditionalFormatting>
  <conditionalFormatting sqref="D11:O20 D23:O24 D26:O29 D31:O36 D39:O49 D51:O62 D64:O67">
    <cfRule type="cellIs" dxfId="904" priority="87" operator="equal">
      <formula>0</formula>
    </cfRule>
  </conditionalFormatting>
  <conditionalFormatting sqref="P20">
    <cfRule type="colorScale" priority="49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03" priority="89">
      <formula>OR(P$9=1, P$9=7)</formula>
    </cfRule>
  </conditionalFormatting>
  <conditionalFormatting sqref="P9:AS10">
    <cfRule type="expression" dxfId="902" priority="88">
      <formula>OR(P$9=1,P$9=7)</formula>
    </cfRule>
  </conditionalFormatting>
  <conditionalFormatting sqref="P11:AS20">
    <cfRule type="containsText" dxfId="901" priority="66" operator="containsText" text="TP">
      <formula>NOT(ISERROR(SEARCH("TP",P11)))</formula>
    </cfRule>
    <cfRule type="containsText" priority="67" operator="containsText" text="TAD">
      <formula>NOT(ISERROR(SEARCH("TAD",P11)))</formula>
    </cfRule>
    <cfRule type="containsText" dxfId="900" priority="68" operator="containsText" text="AT">
      <formula>NOT(ISERROR(SEARCH("AT",P11)))</formula>
    </cfRule>
    <cfRule type="containsText" dxfId="899" priority="69" operator="containsText" text="MA">
      <formula>NOT(ISERROR(SEARCH("MA",P11)))</formula>
    </cfRule>
    <cfRule type="containsText" dxfId="898" priority="70" operator="containsText" text="RES">
      <formula>NOT(ISERROR(SEARCH("RES",P11)))</formula>
    </cfRule>
    <cfRule type="containsText" dxfId="897" priority="71" operator="containsText" text="CEX">
      <formula>NOT(ISERROR(SEARCH("CEX",P11)))</formula>
    </cfRule>
    <cfRule type="containsText" dxfId="896" priority="72" operator="containsText" text="RTT">
      <formula>NOT(ISERROR(SEARCH("RTT",P11)))</formula>
    </cfRule>
    <cfRule type="beginsWith" dxfId="895" priority="73" operator="beginsWith" text="CA">
      <formula>LEFT(P11,LEN("CA"))="CA"</formula>
    </cfRule>
    <cfRule type="containsText" dxfId="894" priority="74" operator="containsText" text="AST">
      <formula>NOT(ISERROR(SEARCH("AST",P11)))</formula>
    </cfRule>
    <cfRule type="containsText" dxfId="893" priority="75" operator="containsText" text="F">
      <formula>NOT(ISERROR(SEARCH("F",P11)))</formula>
    </cfRule>
    <cfRule type="containsText" dxfId="892" priority="76" operator="containsText" text="PC">
      <formula>NOT(ISERROR(SEARCH("PC",P11)))</formula>
    </cfRule>
    <cfRule type="containsText" dxfId="891" priority="77" operator="containsText" text="P">
      <formula>NOT(ISERROR(SEARCH("P",P11)))</formula>
    </cfRule>
  </conditionalFormatting>
  <conditionalFormatting sqref="P23:AS24">
    <cfRule type="containsText" dxfId="890" priority="50" operator="containsText" text="TP">
      <formula>NOT(ISERROR(SEARCH("TP",P23)))</formula>
    </cfRule>
    <cfRule type="containsText" priority="51" operator="containsText" text="TAD">
      <formula>NOT(ISERROR(SEARCH("TAD",P23)))</formula>
    </cfRule>
    <cfRule type="containsText" dxfId="889" priority="52" operator="containsText" text="AT">
      <formula>NOT(ISERROR(SEARCH("AT",P23)))</formula>
    </cfRule>
    <cfRule type="containsText" dxfId="888" priority="53" operator="containsText" text="MA">
      <formula>NOT(ISERROR(SEARCH("MA",P23)))</formula>
    </cfRule>
    <cfRule type="containsText" dxfId="887" priority="54" operator="containsText" text="RES">
      <formula>NOT(ISERROR(SEARCH("RES",P23)))</formula>
    </cfRule>
    <cfRule type="containsText" dxfId="886" priority="55" operator="containsText" text="CEX">
      <formula>NOT(ISERROR(SEARCH("CEX",P23)))</formula>
    </cfRule>
    <cfRule type="containsText" dxfId="885" priority="56" operator="containsText" text="RTT">
      <formula>NOT(ISERROR(SEARCH("RTT",P23)))</formula>
    </cfRule>
    <cfRule type="beginsWith" dxfId="884" priority="57" operator="beginsWith" text="CA">
      <formula>LEFT(P23,LEN("CA"))="CA"</formula>
    </cfRule>
    <cfRule type="containsText" dxfId="883" priority="58" operator="containsText" text="AST">
      <formula>NOT(ISERROR(SEARCH("AST",P23)))</formula>
    </cfRule>
    <cfRule type="containsText" dxfId="882" priority="59" operator="containsText" text="F">
      <formula>NOT(ISERROR(SEARCH("F",P23)))</formula>
    </cfRule>
    <cfRule type="containsText" dxfId="881" priority="60" operator="containsText" text="PC">
      <formula>NOT(ISERROR(SEARCH("PC",P23)))</formula>
    </cfRule>
    <cfRule type="containsText" dxfId="880" priority="61" operator="containsText" text="P">
      <formula>NOT(ISERROR(SEARCH("P",P23)))</formula>
    </cfRule>
  </conditionalFormatting>
  <conditionalFormatting sqref="P26:AS29 P31:AS36">
    <cfRule type="containsText" dxfId="879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878" priority="39" operator="containsText" text="AT">
      <formula>NOT(ISERROR(SEARCH("AT",P26)))</formula>
    </cfRule>
    <cfRule type="containsText" dxfId="877" priority="40" operator="containsText" text="MA">
      <formula>NOT(ISERROR(SEARCH("MA",P26)))</formula>
    </cfRule>
    <cfRule type="containsText" dxfId="876" priority="41" operator="containsText" text="RES">
      <formula>NOT(ISERROR(SEARCH("RES",P26)))</formula>
    </cfRule>
    <cfRule type="containsText" dxfId="875" priority="42" operator="containsText" text="CEX">
      <formula>NOT(ISERROR(SEARCH("CEX",P26)))</formula>
    </cfRule>
    <cfRule type="containsText" dxfId="874" priority="43" operator="containsText" text="RTT">
      <formula>NOT(ISERROR(SEARCH("RTT",P26)))</formula>
    </cfRule>
    <cfRule type="beginsWith" dxfId="873" priority="44" operator="beginsWith" text="CA">
      <formula>LEFT(P26,LEN("CA"))="CA"</formula>
    </cfRule>
    <cfRule type="containsText" dxfId="872" priority="45" operator="containsText" text="AST">
      <formula>NOT(ISERROR(SEARCH("AST",P26)))</formula>
    </cfRule>
    <cfRule type="containsText" dxfId="871" priority="46" operator="containsText" text="F">
      <formula>NOT(ISERROR(SEARCH("F",P26)))</formula>
    </cfRule>
    <cfRule type="containsText" dxfId="870" priority="47" operator="containsText" text="PC">
      <formula>NOT(ISERROR(SEARCH("PC",P26)))</formula>
    </cfRule>
    <cfRule type="containsText" dxfId="869" priority="48" operator="containsText" text="P">
      <formula>NOT(ISERROR(SEARCH("P",P26)))</formula>
    </cfRule>
  </conditionalFormatting>
  <conditionalFormatting sqref="P39:AS49">
    <cfRule type="containsText" dxfId="868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867" priority="27" operator="containsText" text="AT">
      <formula>NOT(ISERROR(SEARCH("AT",P39)))</formula>
    </cfRule>
    <cfRule type="containsText" dxfId="866" priority="28" operator="containsText" text="MA">
      <formula>NOT(ISERROR(SEARCH("MA",P39)))</formula>
    </cfRule>
    <cfRule type="containsText" dxfId="865" priority="29" operator="containsText" text="RES">
      <formula>NOT(ISERROR(SEARCH("RES",P39)))</formula>
    </cfRule>
    <cfRule type="containsText" dxfId="864" priority="30" operator="containsText" text="CEX">
      <formula>NOT(ISERROR(SEARCH("CEX",P39)))</formula>
    </cfRule>
    <cfRule type="containsText" dxfId="863" priority="31" operator="containsText" text="RTT">
      <formula>NOT(ISERROR(SEARCH("RTT",P39)))</formula>
    </cfRule>
    <cfRule type="beginsWith" dxfId="862" priority="32" operator="beginsWith" text="CA">
      <formula>LEFT(P39,LEN("CA"))="CA"</formula>
    </cfRule>
    <cfRule type="containsText" dxfId="861" priority="33" operator="containsText" text="AST">
      <formula>NOT(ISERROR(SEARCH("AST",P39)))</formula>
    </cfRule>
    <cfRule type="containsText" dxfId="860" priority="34" operator="containsText" text="F">
      <formula>NOT(ISERROR(SEARCH("F",P39)))</formula>
    </cfRule>
    <cfRule type="containsText" dxfId="859" priority="35" operator="containsText" text="PC">
      <formula>NOT(ISERROR(SEARCH("PC",P39)))</formula>
    </cfRule>
    <cfRule type="containsText" dxfId="858" priority="36" operator="containsText" text="P">
      <formula>NOT(ISERROR(SEARCH("P",P39)))</formula>
    </cfRule>
  </conditionalFormatting>
  <conditionalFormatting sqref="P51:AS62">
    <cfRule type="containsText" dxfId="857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856" priority="15" operator="containsText" text="AT">
      <formula>NOT(ISERROR(SEARCH("AT",P51)))</formula>
    </cfRule>
    <cfRule type="containsText" dxfId="855" priority="16" operator="containsText" text="MA">
      <formula>NOT(ISERROR(SEARCH("MA",P51)))</formula>
    </cfRule>
    <cfRule type="containsText" dxfId="854" priority="17" operator="containsText" text="RES">
      <formula>NOT(ISERROR(SEARCH("RES",P51)))</formula>
    </cfRule>
    <cfRule type="containsText" dxfId="853" priority="18" operator="containsText" text="CEX">
      <formula>NOT(ISERROR(SEARCH("CEX",P51)))</formula>
    </cfRule>
    <cfRule type="containsText" dxfId="852" priority="19" operator="containsText" text="RTT">
      <formula>NOT(ISERROR(SEARCH("RTT",P51)))</formula>
    </cfRule>
    <cfRule type="beginsWith" dxfId="851" priority="20" operator="beginsWith" text="CA">
      <formula>LEFT(P51,LEN("CA"))="CA"</formula>
    </cfRule>
    <cfRule type="containsText" dxfId="850" priority="21" operator="containsText" text="AST">
      <formula>NOT(ISERROR(SEARCH("AST",P51)))</formula>
    </cfRule>
    <cfRule type="containsText" dxfId="849" priority="22" operator="containsText" text="F">
      <formula>NOT(ISERROR(SEARCH("F",P51)))</formula>
    </cfRule>
    <cfRule type="containsText" dxfId="848" priority="23" operator="containsText" text="PC">
      <formula>NOT(ISERROR(SEARCH("PC",P51)))</formula>
    </cfRule>
    <cfRule type="containsText" dxfId="847" priority="24" operator="containsText" text="P">
      <formula>NOT(ISERROR(SEARCH("P",P51)))</formula>
    </cfRule>
  </conditionalFormatting>
  <conditionalFormatting sqref="P64:AS67">
    <cfRule type="containsText" dxfId="846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845" priority="3" operator="containsText" text="AT">
      <formula>NOT(ISERROR(SEARCH("AT",P64)))</formula>
    </cfRule>
    <cfRule type="containsText" dxfId="844" priority="4" operator="containsText" text="MA">
      <formula>NOT(ISERROR(SEARCH("MA",P64)))</formula>
    </cfRule>
    <cfRule type="containsText" dxfId="843" priority="5" operator="containsText" text="RES">
      <formula>NOT(ISERROR(SEARCH("RES",P64)))</formula>
    </cfRule>
    <cfRule type="containsText" dxfId="842" priority="6" operator="containsText" text="CEX">
      <formula>NOT(ISERROR(SEARCH("CEX",P64)))</formula>
    </cfRule>
    <cfRule type="containsText" dxfId="841" priority="7" operator="containsText" text="RTT">
      <formula>NOT(ISERROR(SEARCH("RTT",P64)))</formula>
    </cfRule>
    <cfRule type="beginsWith" dxfId="840" priority="8" operator="beginsWith" text="CA">
      <formula>LEFT(P64,LEN("CA"))="CA"</formula>
    </cfRule>
    <cfRule type="containsText" dxfId="839" priority="9" operator="containsText" text="AST">
      <formula>NOT(ISERROR(SEARCH("AST",P64)))</formula>
    </cfRule>
    <cfRule type="containsText" dxfId="838" priority="10" operator="containsText" text="F">
      <formula>NOT(ISERROR(SEARCH("F",P64)))</formula>
    </cfRule>
    <cfRule type="containsText" dxfId="837" priority="11" operator="containsText" text="PC">
      <formula>NOT(ISERROR(SEARCH("PC",P64)))</formula>
    </cfRule>
    <cfRule type="containsText" dxfId="836" priority="12" operator="containsText" text="P">
      <formula>NOT(ISERROR(SEARCH("P",P64)))</formula>
    </cfRule>
  </conditionalFormatting>
  <conditionalFormatting sqref="S20">
    <cfRule type="colorScale" priority="62">
      <colorScale>
        <cfvo type="min"/>
        <cfvo type="max"/>
        <color rgb="FFFF7128"/>
        <color rgb="FFFFEF9C"/>
      </colorScale>
    </cfRule>
  </conditionalFormatting>
  <conditionalFormatting sqref="S20:V20">
    <cfRule type="colorScale" priority="64">
      <colorScale>
        <cfvo type="min"/>
        <cfvo type="max"/>
        <color rgb="FFFF7128"/>
        <color rgb="FFFFEF9C"/>
      </colorScale>
    </cfRule>
  </conditionalFormatting>
  <conditionalFormatting sqref="S20:AA20">
    <cfRule type="colorScale" priority="63">
      <colorScale>
        <cfvo type="min"/>
        <cfvo type="max"/>
        <color rgb="FFFF7128"/>
        <color rgb="FFFFEF9C"/>
      </colorScale>
    </cfRule>
  </conditionalFormatting>
  <conditionalFormatting sqref="U20:X20">
    <cfRule type="colorScale" priority="65">
      <colorScale>
        <cfvo type="min"/>
        <cfvo type="max"/>
        <color rgb="FFFF7128"/>
        <color rgb="FFFFEF9C"/>
      </colorScale>
    </cfRule>
  </conditionalFormatting>
  <conditionalFormatting sqref="AE20:AS20">
    <cfRule type="colorScale" priority="90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S10" xr:uid="{00000000-0002-0000-0700-000000000000}">
      <formula1>"P,M,A,C,CEX,F,R,T,8H"</formula1>
    </dataValidation>
    <dataValidation type="list" allowBlank="1" showInputMessage="1" showErrorMessage="1" sqref="T76" xr:uid="{00000000-0002-0000-0700-000001000000}">
      <formula1>$D$9:$O$9</formula1>
    </dataValidation>
    <dataValidation type="list" allowBlank="1" showInputMessage="1" showErrorMessage="1" sqref="P11:AS20 P23:AS24 P26:AS29 P31:AS36 P39:AS49 P51:AS62 P64:AS67" xr:uid="{00000000-0002-0000-07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F70"/>
  <sheetViews>
    <sheetView topLeftCell="A4" zoomScale="90" zoomScaleNormal="90" workbookViewId="0">
      <pane ySplit="7" topLeftCell="A11" activePane="bottomLeft" state="frozen"/>
      <selection activeCell="A4" sqref="A4"/>
      <selection pane="bottomLeft" activeCell="A11" sqref="A11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20" width="4.7109375" style="19" bestFit="1" customWidth="1"/>
    <col min="21" max="21" width="4.140625" style="19" bestFit="1" customWidth="1"/>
    <col min="22" max="25" width="4.28515625" style="19" bestFit="1" customWidth="1"/>
    <col min="26" max="27" width="4.7109375" style="19" bestFit="1" customWidth="1"/>
    <col min="28" max="28" width="4.140625" style="19" bestFit="1" customWidth="1"/>
    <col min="29" max="32" width="4.28515625" style="19" bestFit="1" customWidth="1"/>
    <col min="33" max="34" width="4.7109375" style="19" bestFit="1" customWidth="1"/>
    <col min="35" max="39" width="4.28515625" style="19" bestFit="1" customWidth="1"/>
    <col min="40" max="41" width="4.7109375" style="19" bestFit="1" customWidth="1"/>
    <col min="42" max="44" width="4.28515625" style="19" bestFit="1" customWidth="1"/>
    <col min="45" max="46" width="4.2851562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config!B12</f>
        <v>46235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config!C12</f>
        <v>46265</v>
      </c>
    </row>
    <row r="3" spans="1:58" ht="15" customHeight="1" x14ac:dyDescent="0.25">
      <c r="A3" s="27"/>
    </row>
    <row r="4" spans="1:58" ht="72" customHeight="1" x14ac:dyDescent="0.25">
      <c r="A4" s="27"/>
      <c r="P4" s="28">
        <f>A1</f>
        <v>46235</v>
      </c>
      <c r="Q4" s="28">
        <f t="shared" ref="Q4:AT4" si="0">P4+1</f>
        <v>46236</v>
      </c>
      <c r="R4" s="28">
        <f t="shared" si="0"/>
        <v>46237</v>
      </c>
      <c r="S4" s="28">
        <f t="shared" si="0"/>
        <v>46238</v>
      </c>
      <c r="T4" s="28">
        <f t="shared" si="0"/>
        <v>46239</v>
      </c>
      <c r="U4" s="28">
        <f t="shared" si="0"/>
        <v>46240</v>
      </c>
      <c r="V4" s="28">
        <f t="shared" si="0"/>
        <v>46241</v>
      </c>
      <c r="W4" s="28">
        <f t="shared" si="0"/>
        <v>46242</v>
      </c>
      <c r="X4" s="28">
        <f t="shared" si="0"/>
        <v>46243</v>
      </c>
      <c r="Y4" s="28">
        <f t="shared" si="0"/>
        <v>46244</v>
      </c>
      <c r="Z4" s="28">
        <f t="shared" si="0"/>
        <v>46245</v>
      </c>
      <c r="AA4" s="28">
        <f t="shared" si="0"/>
        <v>46246</v>
      </c>
      <c r="AB4" s="28">
        <f t="shared" si="0"/>
        <v>46247</v>
      </c>
      <c r="AC4" s="28">
        <f t="shared" si="0"/>
        <v>46248</v>
      </c>
      <c r="AD4" s="28">
        <f t="shared" si="0"/>
        <v>46249</v>
      </c>
      <c r="AE4" s="28">
        <f t="shared" si="0"/>
        <v>46250</v>
      </c>
      <c r="AF4" s="28">
        <f t="shared" si="0"/>
        <v>46251</v>
      </c>
      <c r="AG4" s="28">
        <f t="shared" si="0"/>
        <v>46252</v>
      </c>
      <c r="AH4" s="28">
        <f t="shared" si="0"/>
        <v>46253</v>
      </c>
      <c r="AI4" s="28">
        <f t="shared" si="0"/>
        <v>46254</v>
      </c>
      <c r="AJ4" s="28">
        <f t="shared" si="0"/>
        <v>46255</v>
      </c>
      <c r="AK4" s="28">
        <f t="shared" si="0"/>
        <v>46256</v>
      </c>
      <c r="AL4" s="28">
        <f t="shared" si="0"/>
        <v>46257</v>
      </c>
      <c r="AM4" s="28">
        <f t="shared" si="0"/>
        <v>46258</v>
      </c>
      <c r="AN4" s="28">
        <f t="shared" si="0"/>
        <v>46259</v>
      </c>
      <c r="AO4" s="28">
        <f t="shared" si="0"/>
        <v>46260</v>
      </c>
      <c r="AP4" s="28">
        <f t="shared" si="0"/>
        <v>46261</v>
      </c>
      <c r="AQ4" s="28">
        <f t="shared" si="0"/>
        <v>46262</v>
      </c>
      <c r="AR4" s="28">
        <f t="shared" si="0"/>
        <v>46263</v>
      </c>
      <c r="AS4" s="28">
        <f t="shared" si="0"/>
        <v>46264</v>
      </c>
      <c r="AT4" s="28">
        <f t="shared" si="0"/>
        <v>46265</v>
      </c>
      <c r="AU4" s="28"/>
      <c r="AV4" s="27"/>
      <c r="AW4" s="27"/>
      <c r="AX4" s="27"/>
      <c r="AY4" s="27"/>
      <c r="AZ4" s="27"/>
      <c r="BA4" s="27"/>
      <c r="BB4" s="27"/>
    </row>
    <row r="5" spans="1:58" ht="36" customHeight="1" x14ac:dyDescent="0.25">
      <c r="A5" s="295" t="str">
        <f>TEXT(A1,"mmmmmmmmmmmm")</f>
        <v>août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</row>
    <row r="6" spans="1:58" ht="36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</row>
    <row r="7" spans="1:58" ht="36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</row>
    <row r="8" spans="1:58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8"/>
      <c r="Q8" s="18"/>
      <c r="R8" s="18"/>
      <c r="S8" s="18"/>
      <c r="T8" s="18"/>
      <c r="U8" s="18"/>
      <c r="V8" s="18"/>
      <c r="W8" s="164"/>
      <c r="X8" s="164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21"/>
      <c r="AJ8" s="164"/>
      <c r="AK8" s="121"/>
      <c r="AL8" s="121"/>
      <c r="AM8" s="121"/>
      <c r="AN8" s="121"/>
      <c r="AO8" s="121"/>
      <c r="AP8" s="121"/>
      <c r="AQ8" s="121"/>
      <c r="AR8" s="164"/>
      <c r="AS8" s="121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115">
        <f t="shared" ref="P9:AT9" si="1">IFERROR(WEEKDAY(P4),"")</f>
        <v>7</v>
      </c>
      <c r="Q9" s="44">
        <f t="shared" si="1"/>
        <v>1</v>
      </c>
      <c r="R9" s="14">
        <f t="shared" si="1"/>
        <v>2</v>
      </c>
      <c r="S9" s="14">
        <f t="shared" si="1"/>
        <v>3</v>
      </c>
      <c r="T9" s="14">
        <f t="shared" si="1"/>
        <v>4</v>
      </c>
      <c r="U9" s="14">
        <f t="shared" si="1"/>
        <v>5</v>
      </c>
      <c r="V9" s="14">
        <f t="shared" si="1"/>
        <v>6</v>
      </c>
      <c r="W9" s="14">
        <f t="shared" si="1"/>
        <v>7</v>
      </c>
      <c r="X9" s="14">
        <f t="shared" si="1"/>
        <v>1</v>
      </c>
      <c r="Y9" s="14">
        <f t="shared" si="1"/>
        <v>2</v>
      </c>
      <c r="Z9" s="14">
        <f t="shared" si="1"/>
        <v>3</v>
      </c>
      <c r="AA9" s="14">
        <f t="shared" si="1"/>
        <v>4</v>
      </c>
      <c r="AB9" s="14">
        <f t="shared" si="1"/>
        <v>5</v>
      </c>
      <c r="AC9" s="14">
        <f t="shared" si="1"/>
        <v>6</v>
      </c>
      <c r="AD9" s="14">
        <f t="shared" si="1"/>
        <v>7</v>
      </c>
      <c r="AE9" s="14">
        <f t="shared" si="1"/>
        <v>1</v>
      </c>
      <c r="AF9" s="14">
        <f t="shared" si="1"/>
        <v>2</v>
      </c>
      <c r="AG9" s="14">
        <f t="shared" si="1"/>
        <v>3</v>
      </c>
      <c r="AH9" s="14">
        <f t="shared" si="1"/>
        <v>4</v>
      </c>
      <c r="AI9" s="14">
        <f t="shared" si="1"/>
        <v>5</v>
      </c>
      <c r="AJ9" s="14">
        <f t="shared" si="1"/>
        <v>6</v>
      </c>
      <c r="AK9" s="14">
        <f t="shared" si="1"/>
        <v>7</v>
      </c>
      <c r="AL9" s="14">
        <f t="shared" si="1"/>
        <v>1</v>
      </c>
      <c r="AM9" s="14">
        <f t="shared" si="1"/>
        <v>2</v>
      </c>
      <c r="AN9" s="14">
        <f t="shared" si="1"/>
        <v>3</v>
      </c>
      <c r="AO9" s="14">
        <f t="shared" si="1"/>
        <v>4</v>
      </c>
      <c r="AP9" s="14">
        <f t="shared" si="1"/>
        <v>5</v>
      </c>
      <c r="AQ9" s="14">
        <f t="shared" si="1"/>
        <v>6</v>
      </c>
      <c r="AR9" s="14">
        <f t="shared" si="1"/>
        <v>7</v>
      </c>
      <c r="AS9" s="24">
        <f t="shared" si="1"/>
        <v>1</v>
      </c>
      <c r="AT9" s="24">
        <f t="shared" si="1"/>
        <v>2</v>
      </c>
      <c r="AU9" s="26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116">
        <f t="shared" ref="P10:AT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5">
        <f t="shared" si="2"/>
        <v>31</v>
      </c>
      <c r="AU10" s="26"/>
    </row>
    <row r="11" spans="1:58" ht="20.100000000000001" customHeight="1" thickBot="1" x14ac:dyDescent="0.3">
      <c r="A11" s="30" t="str">
        <f>IFERROR(IF(config!E3="","",config!E3),"")</f>
        <v>N019002</v>
      </c>
      <c r="B11" s="41" t="str">
        <f>IFERROR(IF(config!F3="","",config!F3),"")</f>
        <v>DEBREYNE</v>
      </c>
      <c r="C11" s="68" t="str">
        <f>IFERROR(IF(config!G3="","",config!G3),"")</f>
        <v>Audrey</v>
      </c>
      <c r="D11" s="183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148"/>
      <c r="Q11" s="86"/>
      <c r="R11" s="20"/>
      <c r="S11" s="20"/>
      <c r="T11" s="20"/>
      <c r="U11" s="20"/>
      <c r="V11" s="20"/>
      <c r="W11" s="86"/>
      <c r="X11" s="86"/>
      <c r="Y11" s="20"/>
      <c r="Z11" s="20"/>
      <c r="AA11" s="20"/>
      <c r="AB11" s="20"/>
      <c r="AC11" s="20"/>
      <c r="AD11" s="86"/>
      <c r="AE11" s="86"/>
      <c r="AF11" s="20"/>
      <c r="AG11" s="20"/>
      <c r="AH11" s="20"/>
      <c r="AI11" s="20"/>
      <c r="AJ11" s="20"/>
      <c r="AK11" s="86"/>
      <c r="AL11" s="86"/>
      <c r="AM11" s="20"/>
      <c r="AN11" s="20"/>
      <c r="AO11" s="20"/>
      <c r="AP11" s="20"/>
      <c r="AQ11" s="20"/>
      <c r="AR11" s="86"/>
      <c r="AS11" s="86"/>
      <c r="AT11" s="34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183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122"/>
      <c r="Q12" s="94"/>
      <c r="R12" s="8"/>
      <c r="S12" s="8"/>
      <c r="T12" s="8"/>
      <c r="U12" s="8"/>
      <c r="V12" s="8"/>
      <c r="W12" s="94"/>
      <c r="X12" s="94"/>
      <c r="Y12" s="8"/>
      <c r="Z12" s="8"/>
      <c r="AA12" s="8"/>
      <c r="AB12" s="8"/>
      <c r="AC12" s="8"/>
      <c r="AD12" s="94"/>
      <c r="AE12" s="94"/>
      <c r="AF12" s="8"/>
      <c r="AG12" s="8"/>
      <c r="AH12" s="8"/>
      <c r="AI12" s="8"/>
      <c r="AJ12" s="8"/>
      <c r="AK12" s="94"/>
      <c r="AL12" s="94"/>
      <c r="AM12" s="8"/>
      <c r="AN12" s="8"/>
      <c r="AO12" s="8"/>
      <c r="AP12" s="8"/>
      <c r="AQ12" s="8"/>
      <c r="AR12" s="94"/>
      <c r="AS12" s="94"/>
      <c r="AT12" s="35"/>
      <c r="AV12" s="15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183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122"/>
      <c r="Q13" s="94"/>
      <c r="R13" s="8"/>
      <c r="S13" s="8"/>
      <c r="T13" s="8"/>
      <c r="U13" s="8"/>
      <c r="V13" s="8"/>
      <c r="W13" s="94"/>
      <c r="X13" s="94"/>
      <c r="Y13" s="8"/>
      <c r="Z13" s="8"/>
      <c r="AA13" s="8"/>
      <c r="AB13" s="8"/>
      <c r="AC13" s="8"/>
      <c r="AD13" s="94"/>
      <c r="AE13" s="94"/>
      <c r="AF13" s="8"/>
      <c r="AG13" s="8"/>
      <c r="AH13" s="8"/>
      <c r="AI13" s="8"/>
      <c r="AJ13" s="8"/>
      <c r="AK13" s="94"/>
      <c r="AL13" s="94"/>
      <c r="AM13" s="8"/>
      <c r="AN13" s="8"/>
      <c r="AO13" s="8"/>
      <c r="AP13" s="8"/>
      <c r="AQ13" s="8"/>
      <c r="AR13" s="94"/>
      <c r="AS13" s="94"/>
      <c r="AT13" s="35"/>
      <c r="AV13" s="19">
        <f>COUNTIF(P11:AS29,"p")</f>
        <v>0</v>
      </c>
      <c r="AW13" s="19">
        <f>COUNTIF(P11:AS29,"PC")</f>
        <v>0</v>
      </c>
      <c r="AX13" s="19">
        <f>COUNTIF(P11:AS29,"f")</f>
        <v>0</v>
      </c>
      <c r="AY13" s="19">
        <f>COUNTIF(P11:AS29,"ast")</f>
        <v>0</v>
      </c>
      <c r="AZ13" s="19">
        <f>COUNTIF(P11:AS29,"c")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183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122"/>
      <c r="Q14" s="94"/>
      <c r="R14" s="8"/>
      <c r="S14" s="8"/>
      <c r="T14" s="8"/>
      <c r="U14" s="8"/>
      <c r="V14" s="8"/>
      <c r="W14" s="94"/>
      <c r="X14" s="94"/>
      <c r="Y14" s="8"/>
      <c r="Z14" s="8"/>
      <c r="AA14" s="8"/>
      <c r="AB14" s="8"/>
      <c r="AC14" s="8"/>
      <c r="AD14" s="94"/>
      <c r="AE14" s="94"/>
      <c r="AF14" s="8"/>
      <c r="AG14" s="8"/>
      <c r="AH14" s="8"/>
      <c r="AI14" s="8"/>
      <c r="AJ14" s="8"/>
      <c r="AK14" s="94"/>
      <c r="AL14" s="94"/>
      <c r="AM14" s="8"/>
      <c r="AN14" s="8"/>
      <c r="AO14" s="8"/>
      <c r="AP14" s="8"/>
      <c r="AQ14" s="8"/>
      <c r="AR14" s="94"/>
      <c r="AS14" s="94"/>
      <c r="AT14" s="35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183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122"/>
      <c r="Q15" s="94"/>
      <c r="R15" s="8"/>
      <c r="S15" s="8"/>
      <c r="T15" s="8"/>
      <c r="U15" s="8"/>
      <c r="V15" s="8"/>
      <c r="W15" s="94"/>
      <c r="X15" s="94"/>
      <c r="Y15" s="8"/>
      <c r="Z15" s="8"/>
      <c r="AA15" s="8"/>
      <c r="AB15" s="8"/>
      <c r="AC15" s="8"/>
      <c r="AD15" s="94"/>
      <c r="AE15" s="94"/>
      <c r="AF15" s="8"/>
      <c r="AG15" s="8"/>
      <c r="AH15" s="8"/>
      <c r="AI15" s="8"/>
      <c r="AJ15" s="8"/>
      <c r="AK15" s="94"/>
      <c r="AL15" s="94"/>
      <c r="AM15" s="8"/>
      <c r="AN15" s="8"/>
      <c r="AO15" s="8"/>
      <c r="AP15" s="8"/>
      <c r="AQ15" s="8"/>
      <c r="AR15" s="94"/>
      <c r="AS15" s="94"/>
      <c r="AT15" s="35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183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122"/>
      <c r="Q16" s="94"/>
      <c r="R16" s="8"/>
      <c r="S16" s="8"/>
      <c r="T16" s="8"/>
      <c r="U16" s="8"/>
      <c r="V16" s="8"/>
      <c r="W16" s="94"/>
      <c r="X16" s="94"/>
      <c r="Y16" s="8"/>
      <c r="Z16" s="8"/>
      <c r="AA16" s="8"/>
      <c r="AB16" s="8"/>
      <c r="AC16" s="8"/>
      <c r="AD16" s="94"/>
      <c r="AE16" s="94"/>
      <c r="AF16" s="8"/>
      <c r="AG16" s="8"/>
      <c r="AH16" s="8"/>
      <c r="AI16" s="8"/>
      <c r="AJ16" s="8"/>
      <c r="AK16" s="94"/>
      <c r="AL16" s="94"/>
      <c r="AM16" s="8"/>
      <c r="AN16" s="8"/>
      <c r="AO16" s="8"/>
      <c r="AP16" s="8"/>
      <c r="AQ16" s="8"/>
      <c r="AR16" s="94"/>
      <c r="AS16" s="94"/>
      <c r="AT16" s="35"/>
    </row>
    <row r="17" spans="1:54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183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122"/>
      <c r="Q17" s="94"/>
      <c r="R17" s="8"/>
      <c r="S17" s="8"/>
      <c r="T17" s="8"/>
      <c r="U17" s="8"/>
      <c r="V17" s="8"/>
      <c r="W17" s="94"/>
      <c r="X17" s="94"/>
      <c r="Y17" s="8"/>
      <c r="Z17" s="8"/>
      <c r="AA17" s="8"/>
      <c r="AB17" s="8"/>
      <c r="AC17" s="8"/>
      <c r="AD17" s="94"/>
      <c r="AE17" s="94"/>
      <c r="AF17" s="8"/>
      <c r="AG17" s="8"/>
      <c r="AH17" s="8"/>
      <c r="AI17" s="8"/>
      <c r="AJ17" s="8"/>
      <c r="AK17" s="94"/>
      <c r="AL17" s="94"/>
      <c r="AM17" s="8"/>
      <c r="AN17" s="8"/>
      <c r="AO17" s="8"/>
      <c r="AP17" s="8"/>
      <c r="AQ17" s="8"/>
      <c r="AR17" s="94"/>
      <c r="AS17" s="94"/>
      <c r="AT17" s="35"/>
    </row>
    <row r="18" spans="1:54" ht="20.100000000000001" customHeight="1" thickBot="1" x14ac:dyDescent="0.3">
      <c r="A18" s="145"/>
      <c r="B18" s="146"/>
      <c r="C18" s="147"/>
      <c r="D18" s="252">
        <f t="shared" si="3"/>
        <v>0</v>
      </c>
      <c r="E18" s="86">
        <f t="shared" si="4"/>
        <v>0</v>
      </c>
      <c r="F18" s="86">
        <f t="shared" si="5"/>
        <v>0</v>
      </c>
      <c r="G18" s="86">
        <f t="shared" si="6"/>
        <v>0</v>
      </c>
      <c r="H18" s="86">
        <f t="shared" si="7"/>
        <v>0</v>
      </c>
      <c r="I18" s="86">
        <f t="shared" si="8"/>
        <v>0</v>
      </c>
      <c r="J18" s="86">
        <f t="shared" si="9"/>
        <v>0</v>
      </c>
      <c r="K18" s="86">
        <f t="shared" si="10"/>
        <v>0</v>
      </c>
      <c r="L18" s="86">
        <f t="shared" si="11"/>
        <v>0</v>
      </c>
      <c r="M18" s="86">
        <f t="shared" si="12"/>
        <v>0</v>
      </c>
      <c r="N18" s="86">
        <f t="shared" si="13"/>
        <v>0</v>
      </c>
      <c r="O18" s="199">
        <f t="shared" si="14"/>
        <v>0</v>
      </c>
      <c r="P18" s="122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125"/>
    </row>
    <row r="19" spans="1:54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183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122"/>
      <c r="Q19" s="94"/>
      <c r="R19" s="8"/>
      <c r="S19" s="8"/>
      <c r="T19" s="8"/>
      <c r="U19" s="8"/>
      <c r="V19" s="8"/>
      <c r="W19" s="94"/>
      <c r="X19" s="94"/>
      <c r="Y19" s="8"/>
      <c r="Z19" s="8"/>
      <c r="AA19" s="8"/>
      <c r="AB19" s="8"/>
      <c r="AC19" s="8"/>
      <c r="AD19" s="94"/>
      <c r="AE19" s="94"/>
      <c r="AF19" s="8"/>
      <c r="AG19" s="8"/>
      <c r="AH19" s="8"/>
      <c r="AI19" s="8"/>
      <c r="AJ19" s="8"/>
      <c r="AK19" s="94"/>
      <c r="AL19" s="94"/>
      <c r="AM19" s="8"/>
      <c r="AN19" s="8"/>
      <c r="AO19" s="8"/>
      <c r="AP19" s="8"/>
      <c r="AQ19" s="8"/>
      <c r="AR19" s="94"/>
      <c r="AS19" s="94"/>
      <c r="AT19" s="35"/>
    </row>
    <row r="20" spans="1:54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253">
        <f t="shared" si="3"/>
        <v>0</v>
      </c>
      <c r="E20" s="123">
        <f t="shared" si="4"/>
        <v>0</v>
      </c>
      <c r="F20" s="123">
        <f t="shared" si="5"/>
        <v>0</v>
      </c>
      <c r="G20" s="123">
        <f t="shared" si="6"/>
        <v>0</v>
      </c>
      <c r="H20" s="123">
        <f t="shared" si="7"/>
        <v>0</v>
      </c>
      <c r="I20" s="123">
        <f t="shared" si="8"/>
        <v>0</v>
      </c>
      <c r="J20" s="123">
        <f t="shared" si="9"/>
        <v>0</v>
      </c>
      <c r="K20" s="123">
        <f t="shared" si="10"/>
        <v>0</v>
      </c>
      <c r="L20" s="123">
        <f t="shared" si="11"/>
        <v>0</v>
      </c>
      <c r="M20" s="123">
        <f t="shared" si="12"/>
        <v>0</v>
      </c>
      <c r="N20" s="123">
        <f t="shared" si="13"/>
        <v>0</v>
      </c>
      <c r="O20" s="140">
        <f t="shared" si="14"/>
        <v>0</v>
      </c>
      <c r="P20" s="163"/>
      <c r="Q20" s="95"/>
      <c r="R20" s="21"/>
      <c r="S20" s="21"/>
      <c r="T20" s="21"/>
      <c r="U20" s="21"/>
      <c r="V20" s="21"/>
      <c r="W20" s="95"/>
      <c r="X20" s="95"/>
      <c r="Y20" s="21"/>
      <c r="Z20" s="21"/>
      <c r="AA20" s="21"/>
      <c r="AB20" s="21"/>
      <c r="AC20" s="21"/>
      <c r="AD20" s="95"/>
      <c r="AE20" s="95"/>
      <c r="AF20" s="21"/>
      <c r="AG20" s="21"/>
      <c r="AH20" s="21"/>
      <c r="AI20" s="21"/>
      <c r="AJ20" s="21"/>
      <c r="AK20" s="95"/>
      <c r="AL20" s="95"/>
      <c r="AM20" s="21"/>
      <c r="AN20" s="21"/>
      <c r="AO20" s="21"/>
      <c r="AP20" s="21"/>
      <c r="AQ20" s="21"/>
      <c r="AR20" s="95"/>
      <c r="AS20" s="95"/>
      <c r="AT20" s="36"/>
    </row>
    <row r="21" spans="1:54" ht="20.100000000000001" customHeight="1" thickBot="1" x14ac:dyDescent="0.3">
      <c r="A21" s="54" t="str">
        <f>IFERROR(IF(config!E13="","",config!E13),"")</f>
        <v>MAINTENANCE</v>
      </c>
      <c r="B21" s="55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  <c r="AR21" s="179"/>
      <c r="AS21" s="179"/>
      <c r="AT21" s="179"/>
    </row>
    <row r="22" spans="1:54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  <c r="AT22" s="97"/>
    </row>
    <row r="23" spans="1:54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92">
        <f>COUNTIF(P23:AS23,"TP")</f>
        <v>0</v>
      </c>
      <c r="P23" s="148"/>
      <c r="Q23" s="86"/>
      <c r="R23" s="20"/>
      <c r="S23" s="20"/>
      <c r="T23" s="20"/>
      <c r="U23" s="20"/>
      <c r="V23" s="20"/>
      <c r="W23" s="86"/>
      <c r="X23" s="86"/>
      <c r="Y23" s="20"/>
      <c r="Z23" s="20"/>
      <c r="AA23" s="20"/>
      <c r="AB23" s="20"/>
      <c r="AC23" s="20"/>
      <c r="AD23" s="86"/>
      <c r="AE23" s="86"/>
      <c r="AF23" s="20"/>
      <c r="AG23" s="20"/>
      <c r="AH23" s="20"/>
      <c r="AI23" s="20"/>
      <c r="AJ23" s="20"/>
      <c r="AK23" s="86"/>
      <c r="AL23" s="86"/>
      <c r="AM23" s="20"/>
      <c r="AN23" s="20"/>
      <c r="AO23" s="20"/>
      <c r="AP23" s="20"/>
      <c r="AQ23" s="20"/>
      <c r="AR23" s="86"/>
      <c r="AS23" s="86"/>
      <c r="AT23" s="34"/>
    </row>
    <row r="24" spans="1:54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8">
        <f>COUNTIF(P24:AS24,"p")</f>
        <v>0</v>
      </c>
      <c r="E24" s="89">
        <f>COUNTIF(P24:AS24,"PC")</f>
        <v>0</v>
      </c>
      <c r="F24" s="89">
        <f>COUNTIF(P24:AS24,"f")</f>
        <v>0</v>
      </c>
      <c r="G24" s="89">
        <f>COUNTIF(P24:AS24,"ast")</f>
        <v>0</v>
      </c>
      <c r="H24" s="89">
        <f>COUNTIF(P24:AS24,"cA")</f>
        <v>0</v>
      </c>
      <c r="I24" s="89">
        <f>COUNTIF(P24:AS24,"rtt")</f>
        <v>0</v>
      </c>
      <c r="J24" s="89">
        <f>COUNTIF(P24:AS24,"cex")</f>
        <v>0</v>
      </c>
      <c r="K24" s="89">
        <f>COUNTIF(P24:AS24,"res")</f>
        <v>0</v>
      </c>
      <c r="L24" s="89">
        <f>COUNTIF(P24:AS24,"mA")</f>
        <v>0</v>
      </c>
      <c r="M24" s="89">
        <f>COUNTIF(P24:AS24,"at")</f>
        <v>0</v>
      </c>
      <c r="N24" s="89">
        <f>COUNTIF(P24:AS24,"TAD")</f>
        <v>0</v>
      </c>
      <c r="O24" s="93">
        <f>COUNTIF(P24:AS24,"TP")</f>
        <v>0</v>
      </c>
      <c r="P24" s="163"/>
      <c r="Q24" s="95"/>
      <c r="R24" s="21"/>
      <c r="S24" s="21"/>
      <c r="T24" s="21"/>
      <c r="U24" s="21"/>
      <c r="V24" s="21"/>
      <c r="W24" s="95"/>
      <c r="X24" s="95"/>
      <c r="Y24" s="21"/>
      <c r="Z24" s="21"/>
      <c r="AA24" s="21"/>
      <c r="AB24" s="21"/>
      <c r="AC24" s="21"/>
      <c r="AD24" s="95"/>
      <c r="AE24" s="95"/>
      <c r="AF24" s="21"/>
      <c r="AG24" s="21"/>
      <c r="AH24" s="21"/>
      <c r="AI24" s="21"/>
      <c r="AJ24" s="21"/>
      <c r="AK24" s="95"/>
      <c r="AL24" s="95"/>
      <c r="AM24" s="21"/>
      <c r="AN24" s="21"/>
      <c r="AO24" s="21"/>
      <c r="AP24" s="21"/>
      <c r="AQ24" s="21"/>
      <c r="AR24" s="95"/>
      <c r="AS24" s="95"/>
      <c r="AT24" s="36"/>
    </row>
    <row r="25" spans="1:54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50"/>
    </row>
    <row r="26" spans="1:54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20">
        <f>COUNTIF(P26:AS26,"TP")</f>
        <v>0</v>
      </c>
      <c r="P26" s="86"/>
      <c r="Q26" s="86"/>
      <c r="R26" s="20"/>
      <c r="S26" s="20"/>
      <c r="T26" s="20"/>
      <c r="U26" s="20"/>
      <c r="V26" s="20"/>
      <c r="W26" s="86"/>
      <c r="X26" s="86"/>
      <c r="Y26" s="20"/>
      <c r="Z26" s="20"/>
      <c r="AA26" s="20"/>
      <c r="AB26" s="20"/>
      <c r="AC26" s="20"/>
      <c r="AD26" s="86"/>
      <c r="AE26" s="86"/>
      <c r="AF26" s="20"/>
      <c r="AG26" s="20"/>
      <c r="AH26" s="20"/>
      <c r="AI26" s="20"/>
      <c r="AJ26" s="20"/>
      <c r="AK26" s="86"/>
      <c r="AL26" s="86"/>
      <c r="AM26" s="20"/>
      <c r="AN26" s="20"/>
      <c r="AO26" s="20"/>
      <c r="AP26" s="20"/>
      <c r="AQ26" s="20"/>
      <c r="AR26" s="86"/>
      <c r="AS26" s="86"/>
      <c r="AT26" s="34"/>
    </row>
    <row r="27" spans="1:54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94"/>
      <c r="Q27" s="94"/>
      <c r="R27" s="8"/>
      <c r="S27" s="8"/>
      <c r="T27" s="8"/>
      <c r="U27" s="8"/>
      <c r="V27" s="8"/>
      <c r="W27" s="94"/>
      <c r="X27" s="94"/>
      <c r="Y27" s="8"/>
      <c r="Z27" s="8"/>
      <c r="AA27" s="8"/>
      <c r="AB27" s="8"/>
      <c r="AC27" s="8"/>
      <c r="AD27" s="94"/>
      <c r="AE27" s="94"/>
      <c r="AF27" s="8"/>
      <c r="AG27" s="8"/>
      <c r="AH27" s="8"/>
      <c r="AI27" s="8"/>
      <c r="AJ27" s="8"/>
      <c r="AK27" s="94"/>
      <c r="AL27" s="94"/>
      <c r="AM27" s="8"/>
      <c r="AN27" s="8"/>
      <c r="AO27" s="8"/>
      <c r="AP27" s="8"/>
      <c r="AQ27" s="8"/>
      <c r="AR27" s="94"/>
      <c r="AS27" s="94"/>
      <c r="AT27" s="35"/>
    </row>
    <row r="28" spans="1:54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94"/>
      <c r="Q28" s="94"/>
      <c r="R28" s="8"/>
      <c r="S28" s="8"/>
      <c r="T28" s="8"/>
      <c r="U28" s="8"/>
      <c r="V28" s="8"/>
      <c r="W28" s="94"/>
      <c r="X28" s="94"/>
      <c r="Y28" s="8"/>
      <c r="Z28" s="8"/>
      <c r="AA28" s="8"/>
      <c r="AB28" s="8"/>
      <c r="AC28" s="8"/>
      <c r="AD28" s="94"/>
      <c r="AE28" s="94"/>
      <c r="AF28" s="8"/>
      <c r="AG28" s="8"/>
      <c r="AH28" s="8"/>
      <c r="AI28" s="8"/>
      <c r="AJ28" s="8"/>
      <c r="AK28" s="94"/>
      <c r="AL28" s="94"/>
      <c r="AM28" s="8"/>
      <c r="AN28" s="8"/>
      <c r="AO28" s="8"/>
      <c r="AP28" s="8"/>
      <c r="AQ28" s="8"/>
      <c r="AR28" s="94"/>
      <c r="AS28" s="94"/>
      <c r="AT28" s="35"/>
    </row>
    <row r="29" spans="1:54" ht="20.100000000000001" customHeight="1" thickBot="1" x14ac:dyDescent="0.3">
      <c r="A29" s="31" t="str">
        <f>IFERROR(IF(config!E21="","",config!E21),"")</f>
        <v>C005216</v>
      </c>
      <c r="B29" s="42" t="str">
        <f>IFERROR(IF(config!F21="","",config!F21),"")</f>
        <v>PIEL</v>
      </c>
      <c r="C29" s="70" t="str">
        <f>IFERROR(IF(config!G21="","",config!G21),"")</f>
        <v>Frédy</v>
      </c>
      <c r="D29" s="88">
        <f>COUNTIF(P29:AS29,"p")</f>
        <v>0</v>
      </c>
      <c r="E29" s="89">
        <f>COUNTIF(P29:AS29,"PC")</f>
        <v>0</v>
      </c>
      <c r="F29" s="89">
        <f>COUNTIF(P29:AS29,"f")</f>
        <v>0</v>
      </c>
      <c r="G29" s="89">
        <f>COUNTIF(P29:AS29,"ast")</f>
        <v>0</v>
      </c>
      <c r="H29" s="89">
        <f>COUNTIF(P29:AS29,"cA")</f>
        <v>0</v>
      </c>
      <c r="I29" s="89">
        <f>COUNTIF(P29:AS29,"rtt")</f>
        <v>0</v>
      </c>
      <c r="J29" s="89">
        <f>COUNTIF(P29:AS29,"cex")</f>
        <v>0</v>
      </c>
      <c r="K29" s="89">
        <f>COUNTIF(P29:AS29,"res")</f>
        <v>0</v>
      </c>
      <c r="L29" s="89">
        <f>COUNTIF(P29:AS29,"mA")</f>
        <v>0</v>
      </c>
      <c r="M29" s="89">
        <f>COUNTIF(P29:AS29,"at")</f>
        <v>0</v>
      </c>
      <c r="N29" s="89">
        <f>COUNTIF(P29:AS29,"TAD")</f>
        <v>0</v>
      </c>
      <c r="O29" s="89">
        <f>COUNTIF(P29:AS29,"TP")</f>
        <v>0</v>
      </c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126"/>
    </row>
    <row r="30" spans="1:54" ht="20.100000000000001" customHeight="1" thickBot="1" x14ac:dyDescent="0.3">
      <c r="A30" s="220" t="str">
        <f>IFERROR(IF(config!E22="","",config!E22),"")</f>
        <v>PROPRETE</v>
      </c>
      <c r="B30" s="221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  <c r="AT30" s="226"/>
    </row>
    <row r="31" spans="1:54" ht="20.100000000000001" customHeight="1" thickBot="1" x14ac:dyDescent="0.3">
      <c r="A31" s="218" t="str">
        <f>IFERROR(IF(config!E23="","",config!E23),"")</f>
        <v>JN020502</v>
      </c>
      <c r="B31" s="219" t="str">
        <f>IFERROR(IF(config!F23="","",config!F23),"")</f>
        <v>GOURVIAT</v>
      </c>
      <c r="C31" s="175" t="str">
        <f>IFERROR(IF(config!G23="","",config!G23),"")</f>
        <v>Annabelle</v>
      </c>
      <c r="D31" s="103">
        <f t="shared" ref="D31:D36" si="15">COUNTIF(P31:AS31,"p")</f>
        <v>0</v>
      </c>
      <c r="E31" s="22">
        <f t="shared" ref="E31:E36" si="16">COUNTIF(P31:AS31,"PC")</f>
        <v>0</v>
      </c>
      <c r="F31" s="22">
        <f t="shared" ref="F31:F36" si="17">COUNTIF(P31:AS31,"f")</f>
        <v>0</v>
      </c>
      <c r="G31" s="22">
        <f t="shared" ref="G31:G36" si="18">COUNTIF(P31:AS31,"ast")</f>
        <v>0</v>
      </c>
      <c r="H31" s="22">
        <f t="shared" ref="H31:H36" si="19">COUNTIF(P31:AS31,"cA")</f>
        <v>0</v>
      </c>
      <c r="I31" s="22">
        <f t="shared" ref="I31:I36" si="20">COUNTIF(P31:AS31,"rtt")</f>
        <v>0</v>
      </c>
      <c r="J31" s="22">
        <f t="shared" ref="J31:J36" si="21">COUNTIF(P31:AS31,"cex")</f>
        <v>0</v>
      </c>
      <c r="K31" s="22">
        <f t="shared" ref="K31:K36" si="22">COUNTIF(P31:AS31,"res")</f>
        <v>0</v>
      </c>
      <c r="L31" s="22">
        <f t="shared" ref="L31:L36" si="23">COUNTIF(P31:AS31,"mA")</f>
        <v>0</v>
      </c>
      <c r="M31" s="22">
        <f t="shared" ref="M31:M36" si="24">COUNTIF(P31:AS31,"at")</f>
        <v>0</v>
      </c>
      <c r="N31" s="22">
        <f t="shared" ref="N31:N36" si="25">COUNTIF(P31:AS31,"TAD")</f>
        <v>0</v>
      </c>
      <c r="O31" s="106">
        <f t="shared" ref="O31:O36" si="26">COUNTIF(P31:AS31,"TP")</f>
        <v>0</v>
      </c>
      <c r="P31" s="148"/>
      <c r="Q31" s="86"/>
      <c r="R31" s="20"/>
      <c r="S31" s="20"/>
      <c r="T31" s="20"/>
      <c r="U31" s="20"/>
      <c r="V31" s="20"/>
      <c r="W31" s="86"/>
      <c r="X31" s="86"/>
      <c r="Y31" s="20"/>
      <c r="Z31" s="20"/>
      <c r="AA31" s="20"/>
      <c r="AB31" s="20"/>
      <c r="AC31" s="20"/>
      <c r="AD31" s="86"/>
      <c r="AE31" s="86"/>
      <c r="AF31" s="20"/>
      <c r="AG31" s="20"/>
      <c r="AH31" s="20"/>
      <c r="AI31" s="20"/>
      <c r="AJ31" s="20"/>
      <c r="AK31" s="86"/>
      <c r="AL31" s="86"/>
      <c r="AM31" s="20"/>
      <c r="AN31" s="20"/>
      <c r="AO31" s="20"/>
      <c r="AP31" s="20"/>
      <c r="AQ31" s="20"/>
      <c r="AR31" s="86"/>
      <c r="AS31" s="86"/>
      <c r="AT31" s="34"/>
    </row>
    <row r="32" spans="1:54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87">
        <f t="shared" si="15"/>
        <v>0</v>
      </c>
      <c r="E32" s="20">
        <f t="shared" si="16"/>
        <v>0</v>
      </c>
      <c r="F32" s="20">
        <f t="shared" si="17"/>
        <v>0</v>
      </c>
      <c r="G32" s="20">
        <f t="shared" si="18"/>
        <v>0</v>
      </c>
      <c r="H32" s="20">
        <f t="shared" si="19"/>
        <v>0</v>
      </c>
      <c r="I32" s="20">
        <f t="shared" si="20"/>
        <v>0</v>
      </c>
      <c r="J32" s="20">
        <f t="shared" si="21"/>
        <v>0</v>
      </c>
      <c r="K32" s="20">
        <f t="shared" si="22"/>
        <v>0</v>
      </c>
      <c r="L32" s="20">
        <f t="shared" si="23"/>
        <v>0</v>
      </c>
      <c r="M32" s="20">
        <f t="shared" si="24"/>
        <v>0</v>
      </c>
      <c r="N32" s="20">
        <f t="shared" si="25"/>
        <v>0</v>
      </c>
      <c r="O32" s="92">
        <f t="shared" si="26"/>
        <v>0</v>
      </c>
      <c r="P32" s="122"/>
      <c r="Q32" s="94"/>
      <c r="R32" s="8"/>
      <c r="S32" s="8"/>
      <c r="T32" s="8"/>
      <c r="U32" s="8"/>
      <c r="V32" s="8"/>
      <c r="W32" s="94"/>
      <c r="X32" s="94"/>
      <c r="Y32" s="8"/>
      <c r="Z32" s="8"/>
      <c r="AA32" s="8"/>
      <c r="AB32" s="8"/>
      <c r="AC32" s="8"/>
      <c r="AD32" s="94"/>
      <c r="AE32" s="94"/>
      <c r="AF32" s="8"/>
      <c r="AG32" s="8"/>
      <c r="AH32" s="8"/>
      <c r="AI32" s="8"/>
      <c r="AJ32" s="8"/>
      <c r="AK32" s="94"/>
      <c r="AL32" s="94"/>
      <c r="AM32" s="8"/>
      <c r="AN32" s="8"/>
      <c r="AO32" s="8"/>
      <c r="AP32" s="8"/>
      <c r="AQ32" s="8"/>
      <c r="AR32" s="94"/>
      <c r="AS32" s="94"/>
      <c r="AT32" s="35"/>
      <c r="BB32" s="19" t="s">
        <v>26</v>
      </c>
    </row>
    <row r="33" spans="1:58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87">
        <f t="shared" si="15"/>
        <v>0</v>
      </c>
      <c r="E33" s="20">
        <f t="shared" si="16"/>
        <v>0</v>
      </c>
      <c r="F33" s="20">
        <f t="shared" si="17"/>
        <v>0</v>
      </c>
      <c r="G33" s="20">
        <f t="shared" si="18"/>
        <v>0</v>
      </c>
      <c r="H33" s="20">
        <f t="shared" si="19"/>
        <v>0</v>
      </c>
      <c r="I33" s="20">
        <f t="shared" si="20"/>
        <v>0</v>
      </c>
      <c r="J33" s="20">
        <f t="shared" si="21"/>
        <v>0</v>
      </c>
      <c r="K33" s="20">
        <f t="shared" si="22"/>
        <v>0</v>
      </c>
      <c r="L33" s="20">
        <f t="shared" si="23"/>
        <v>0</v>
      </c>
      <c r="M33" s="20">
        <f t="shared" si="24"/>
        <v>0</v>
      </c>
      <c r="N33" s="20">
        <f t="shared" si="25"/>
        <v>0</v>
      </c>
      <c r="O33" s="92">
        <f t="shared" si="26"/>
        <v>0</v>
      </c>
      <c r="P33" s="122"/>
      <c r="Q33" s="94"/>
      <c r="R33" s="8"/>
      <c r="S33" s="8"/>
      <c r="T33" s="8"/>
      <c r="U33" s="8"/>
      <c r="V33" s="8"/>
      <c r="W33" s="94"/>
      <c r="X33" s="94"/>
      <c r="Y33" s="8"/>
      <c r="Z33" s="8"/>
      <c r="AA33" s="8"/>
      <c r="AB33" s="8"/>
      <c r="AC33" s="8"/>
      <c r="AD33" s="94"/>
      <c r="AE33" s="94"/>
      <c r="AF33" s="8"/>
      <c r="AG33" s="8"/>
      <c r="AH33" s="8"/>
      <c r="AI33" s="8"/>
      <c r="AJ33" s="8"/>
      <c r="AK33" s="94"/>
      <c r="AL33" s="94"/>
      <c r="AM33" s="8"/>
      <c r="AN33" s="8"/>
      <c r="AO33" s="8"/>
      <c r="AP33" s="8"/>
      <c r="AQ33" s="8"/>
      <c r="AR33" s="94"/>
      <c r="AS33" s="94"/>
      <c r="AT33" s="35"/>
    </row>
    <row r="34" spans="1:58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87">
        <f t="shared" si="15"/>
        <v>0</v>
      </c>
      <c r="E34" s="20">
        <f t="shared" si="16"/>
        <v>0</v>
      </c>
      <c r="F34" s="20">
        <f t="shared" si="17"/>
        <v>0</v>
      </c>
      <c r="G34" s="20">
        <f t="shared" si="18"/>
        <v>0</v>
      </c>
      <c r="H34" s="20">
        <f t="shared" si="19"/>
        <v>0</v>
      </c>
      <c r="I34" s="20">
        <f t="shared" si="20"/>
        <v>0</v>
      </c>
      <c r="J34" s="20">
        <f t="shared" si="21"/>
        <v>0</v>
      </c>
      <c r="K34" s="20">
        <f t="shared" si="22"/>
        <v>0</v>
      </c>
      <c r="L34" s="20">
        <f t="shared" si="23"/>
        <v>0</v>
      </c>
      <c r="M34" s="20">
        <f t="shared" si="24"/>
        <v>0</v>
      </c>
      <c r="N34" s="20">
        <f t="shared" si="25"/>
        <v>0</v>
      </c>
      <c r="O34" s="92">
        <f t="shared" si="26"/>
        <v>0</v>
      </c>
      <c r="P34" s="122"/>
      <c r="Q34" s="94"/>
      <c r="R34" s="8"/>
      <c r="S34" s="8"/>
      <c r="T34" s="8"/>
      <c r="U34" s="8"/>
      <c r="V34" s="8"/>
      <c r="W34" s="94"/>
      <c r="X34" s="94"/>
      <c r="Y34" s="8"/>
      <c r="Z34" s="8"/>
      <c r="AA34" s="8"/>
      <c r="AB34" s="8"/>
      <c r="AC34" s="8"/>
      <c r="AD34" s="94"/>
      <c r="AE34" s="94"/>
      <c r="AF34" s="8"/>
      <c r="AG34" s="8"/>
      <c r="AH34" s="8"/>
      <c r="AI34" s="8"/>
      <c r="AJ34" s="8"/>
      <c r="AK34" s="94"/>
      <c r="AL34" s="94"/>
      <c r="AM34" s="8"/>
      <c r="AN34" s="8"/>
      <c r="AO34" s="8"/>
      <c r="AP34" s="8"/>
      <c r="AQ34" s="8"/>
      <c r="AR34" s="94"/>
      <c r="AS34" s="94"/>
      <c r="AT34" s="35"/>
    </row>
    <row r="35" spans="1:58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87">
        <f t="shared" si="15"/>
        <v>0</v>
      </c>
      <c r="E35" s="20">
        <f t="shared" si="16"/>
        <v>0</v>
      </c>
      <c r="F35" s="20">
        <f t="shared" si="17"/>
        <v>0</v>
      </c>
      <c r="G35" s="20">
        <f t="shared" si="18"/>
        <v>0</v>
      </c>
      <c r="H35" s="20">
        <f t="shared" si="19"/>
        <v>0</v>
      </c>
      <c r="I35" s="20">
        <f t="shared" si="20"/>
        <v>0</v>
      </c>
      <c r="J35" s="20">
        <f t="shared" si="21"/>
        <v>0</v>
      </c>
      <c r="K35" s="20">
        <f t="shared" si="22"/>
        <v>0</v>
      </c>
      <c r="L35" s="20">
        <f t="shared" si="23"/>
        <v>0</v>
      </c>
      <c r="M35" s="20">
        <f t="shared" si="24"/>
        <v>0</v>
      </c>
      <c r="N35" s="20">
        <f t="shared" si="25"/>
        <v>0</v>
      </c>
      <c r="O35" s="92">
        <f t="shared" si="26"/>
        <v>0</v>
      </c>
      <c r="P35" s="122"/>
      <c r="Q35" s="94"/>
      <c r="R35" s="8"/>
      <c r="S35" s="8"/>
      <c r="T35" s="8"/>
      <c r="U35" s="8"/>
      <c r="V35" s="8"/>
      <c r="W35" s="94"/>
      <c r="X35" s="94"/>
      <c r="Y35" s="8"/>
      <c r="Z35" s="8"/>
      <c r="AA35" s="8"/>
      <c r="AB35" s="8"/>
      <c r="AC35" s="8"/>
      <c r="AD35" s="94"/>
      <c r="AE35" s="94"/>
      <c r="AF35" s="8"/>
      <c r="AG35" s="8"/>
      <c r="AH35" s="8"/>
      <c r="AI35" s="8"/>
      <c r="AJ35" s="8"/>
      <c r="AK35" s="94"/>
      <c r="AL35" s="94"/>
      <c r="AM35" s="8"/>
      <c r="AN35" s="8"/>
      <c r="AO35" s="8"/>
      <c r="AP35" s="8"/>
      <c r="AQ35" s="8"/>
      <c r="AR35" s="94"/>
      <c r="AS35" s="94"/>
      <c r="AT35" s="35"/>
    </row>
    <row r="36" spans="1:58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40">
        <f t="shared" si="26"/>
        <v>0</v>
      </c>
      <c r="P36" s="163"/>
      <c r="Q36" s="95"/>
      <c r="R36" s="21"/>
      <c r="S36" s="21"/>
      <c r="T36" s="21"/>
      <c r="U36" s="21"/>
      <c r="V36" s="21"/>
      <c r="W36" s="95"/>
      <c r="X36" s="95"/>
      <c r="Y36" s="21"/>
      <c r="Z36" s="21"/>
      <c r="AA36" s="21"/>
      <c r="AB36" s="21"/>
      <c r="AC36" s="21"/>
      <c r="AD36" s="95"/>
      <c r="AE36" s="95"/>
      <c r="AF36" s="21"/>
      <c r="AG36" s="21"/>
      <c r="AH36" s="21"/>
      <c r="AI36" s="21"/>
      <c r="AJ36" s="21"/>
      <c r="AK36" s="95"/>
      <c r="AL36" s="95"/>
      <c r="AM36" s="21"/>
      <c r="AN36" s="21"/>
      <c r="AO36" s="21"/>
      <c r="AP36" s="21"/>
      <c r="AQ36" s="21"/>
      <c r="AR36" s="95"/>
      <c r="AS36" s="95"/>
      <c r="AT36" s="36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305" t="str">
        <f>IFERROR(IF(config!E30="","",config!E30),"")</f>
        <v>AGENTS VOIRIE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61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50" si="27">COUNTIF(P39:AS39,"p")</f>
        <v>0</v>
      </c>
      <c r="E39" s="20">
        <f t="shared" ref="E39:E50" si="28">COUNTIF(P39:AS39,"PC")</f>
        <v>0</v>
      </c>
      <c r="F39" s="20">
        <f t="shared" ref="F39:F50" si="29">COUNTIF(P39:AS39,"f")</f>
        <v>0</v>
      </c>
      <c r="G39" s="20">
        <f t="shared" ref="G39:G50" si="30">COUNTIF(P39:AS39,"ast")</f>
        <v>0</v>
      </c>
      <c r="H39" s="20">
        <f t="shared" ref="H39:H50" si="31">COUNTIF(P39:AS39,"cA")</f>
        <v>0</v>
      </c>
      <c r="I39" s="20">
        <f t="shared" ref="I39:I50" si="32">COUNTIF(P39:AS39,"rtt")</f>
        <v>0</v>
      </c>
      <c r="J39" s="20">
        <f t="shared" ref="J39:J50" si="33">COUNTIF(P39:AS39,"cex")</f>
        <v>0</v>
      </c>
      <c r="K39" s="20">
        <f t="shared" ref="K39:K50" si="34">COUNTIF(P39:AS39,"res")</f>
        <v>0</v>
      </c>
      <c r="L39" s="20">
        <f t="shared" ref="L39:L50" si="35">COUNTIF(P39:AS39,"mA")</f>
        <v>0</v>
      </c>
      <c r="M39" s="20">
        <f t="shared" ref="M39:M50" si="36">COUNTIF(P39:AS39,"at")</f>
        <v>0</v>
      </c>
      <c r="N39" s="20">
        <f t="shared" ref="N39:N50" si="37">COUNTIF(P39:AS39,"TAD")</f>
        <v>0</v>
      </c>
      <c r="O39" s="92">
        <f t="shared" ref="O39:O50" si="38">COUNTIF(P39:AS39,"TP")</f>
        <v>0</v>
      </c>
      <c r="P39" s="148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124"/>
      <c r="AV39" s="15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122"/>
      <c r="Q40" s="94"/>
      <c r="R40" s="8"/>
      <c r="S40" s="8"/>
      <c r="T40" s="8"/>
      <c r="U40" s="8"/>
      <c r="V40" s="8"/>
      <c r="W40" s="94"/>
      <c r="X40" s="94"/>
      <c r="Y40" s="8"/>
      <c r="Z40" s="8"/>
      <c r="AA40" s="8"/>
      <c r="AB40" s="8"/>
      <c r="AC40" s="8"/>
      <c r="AD40" s="94"/>
      <c r="AE40" s="94"/>
      <c r="AF40" s="8"/>
      <c r="AG40" s="8"/>
      <c r="AH40" s="8"/>
      <c r="AI40" s="8"/>
      <c r="AJ40" s="8"/>
      <c r="AK40" s="94"/>
      <c r="AL40" s="94"/>
      <c r="AM40" s="8"/>
      <c r="AN40" s="8"/>
      <c r="AO40" s="8"/>
      <c r="AP40" s="8"/>
      <c r="AQ40" s="8"/>
      <c r="AR40" s="94"/>
      <c r="AS40" s="94"/>
      <c r="AT40" s="35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122"/>
      <c r="Q41" s="94"/>
      <c r="R41" s="8"/>
      <c r="S41" s="8"/>
      <c r="T41" s="8"/>
      <c r="U41" s="8"/>
      <c r="V41" s="8"/>
      <c r="W41" s="94"/>
      <c r="X41" s="94"/>
      <c r="Y41" s="8"/>
      <c r="Z41" s="8"/>
      <c r="AA41" s="8"/>
      <c r="AB41" s="8"/>
      <c r="AC41" s="8"/>
      <c r="AD41" s="94"/>
      <c r="AE41" s="94"/>
      <c r="AF41" s="8"/>
      <c r="AG41" s="8"/>
      <c r="AH41" s="8"/>
      <c r="AI41" s="8"/>
      <c r="AJ41" s="8"/>
      <c r="AK41" s="94"/>
      <c r="AL41" s="94"/>
      <c r="AM41" s="8"/>
      <c r="AN41" s="8"/>
      <c r="AO41" s="8"/>
      <c r="AP41" s="8"/>
      <c r="AQ41" s="8"/>
      <c r="AR41" s="94"/>
      <c r="AS41" s="94"/>
      <c r="AT41" s="35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122"/>
      <c r="Q42" s="94"/>
      <c r="R42" s="8"/>
      <c r="S42" s="8"/>
      <c r="T42" s="8"/>
      <c r="U42" s="8"/>
      <c r="V42" s="8"/>
      <c r="W42" s="94"/>
      <c r="X42" s="94"/>
      <c r="Y42" s="8"/>
      <c r="Z42" s="8"/>
      <c r="AA42" s="8"/>
      <c r="AB42" s="8"/>
      <c r="AC42" s="8"/>
      <c r="AD42" s="94"/>
      <c r="AE42" s="94"/>
      <c r="AF42" s="8"/>
      <c r="AG42" s="8"/>
      <c r="AH42" s="8"/>
      <c r="AI42" s="8"/>
      <c r="AJ42" s="8"/>
      <c r="AK42" s="94"/>
      <c r="AL42" s="94"/>
      <c r="AM42" s="8"/>
      <c r="AN42" s="8"/>
      <c r="AO42" s="8"/>
      <c r="AP42" s="8"/>
      <c r="AQ42" s="8"/>
      <c r="AR42" s="94"/>
      <c r="AS42" s="94"/>
      <c r="AT42" s="35"/>
    </row>
    <row r="43" spans="1:58" ht="20.100000000000001" customHeight="1" thickBot="1" x14ac:dyDescent="0.3">
      <c r="A43" s="145" t="str">
        <f>IFERROR(IF(config!#REF!="","",config!#REF!),"")</f>
        <v/>
      </c>
      <c r="B43" s="146" t="str">
        <f>IFERROR(IF(config!#REF!="","",config!#REF!),"")</f>
        <v/>
      </c>
      <c r="C43" s="147" t="str">
        <f>IFERROR(IF(config!#REF!="","",config!#REF!),"")</f>
        <v/>
      </c>
      <c r="D43" s="148">
        <f t="shared" si="27"/>
        <v>0</v>
      </c>
      <c r="E43" s="86">
        <f t="shared" si="28"/>
        <v>0</v>
      </c>
      <c r="F43" s="86">
        <f t="shared" si="29"/>
        <v>0</v>
      </c>
      <c r="G43" s="86">
        <f t="shared" si="30"/>
        <v>0</v>
      </c>
      <c r="H43" s="86">
        <f t="shared" si="31"/>
        <v>0</v>
      </c>
      <c r="I43" s="86">
        <f t="shared" si="32"/>
        <v>0</v>
      </c>
      <c r="J43" s="86">
        <f t="shared" si="33"/>
        <v>0</v>
      </c>
      <c r="K43" s="86">
        <f t="shared" si="34"/>
        <v>0</v>
      </c>
      <c r="L43" s="86">
        <f t="shared" si="35"/>
        <v>0</v>
      </c>
      <c r="M43" s="86">
        <f t="shared" si="36"/>
        <v>0</v>
      </c>
      <c r="N43" s="86">
        <f t="shared" si="37"/>
        <v>0</v>
      </c>
      <c r="O43" s="199">
        <f t="shared" si="38"/>
        <v>0</v>
      </c>
      <c r="P43" s="122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125"/>
    </row>
    <row r="44" spans="1:58" ht="20.100000000000001" customHeight="1" thickBot="1" x14ac:dyDescent="0.3">
      <c r="A44" s="32" t="str">
        <f>IFERROR(IF(config!E35="","",config!E35),"")</f>
        <v>C002986</v>
      </c>
      <c r="B44" s="39" t="str">
        <f>IFERROR(IF(config!F35="","",config!F35),"")</f>
        <v>LABORIE</v>
      </c>
      <c r="C44" s="69" t="str">
        <f>IFERROR(IF(config!G35="","",config!G35),"")</f>
        <v>Jean-Louis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122"/>
      <c r="Q44" s="94"/>
      <c r="R44" s="8"/>
      <c r="S44" s="8"/>
      <c r="T44" s="8"/>
      <c r="U44" s="8"/>
      <c r="V44" s="8"/>
      <c r="W44" s="94"/>
      <c r="X44" s="94"/>
      <c r="Y44" s="8"/>
      <c r="Z44" s="8"/>
      <c r="AA44" s="8"/>
      <c r="AB44" s="8"/>
      <c r="AC44" s="8"/>
      <c r="AD44" s="94"/>
      <c r="AE44" s="94"/>
      <c r="AF44" s="8"/>
      <c r="AG44" s="8"/>
      <c r="AH44" s="8"/>
      <c r="AI44" s="8"/>
      <c r="AJ44" s="8"/>
      <c r="AK44" s="94"/>
      <c r="AL44" s="94"/>
      <c r="AM44" s="8"/>
      <c r="AN44" s="8"/>
      <c r="AO44" s="8"/>
      <c r="AP44" s="8"/>
      <c r="AQ44" s="8"/>
      <c r="AR44" s="94"/>
      <c r="AS44" s="94"/>
      <c r="AT44" s="35"/>
    </row>
    <row r="45" spans="1:58" ht="20.100000000000001" customHeight="1" thickBot="1" x14ac:dyDescent="0.3">
      <c r="A45" s="32" t="str">
        <f>IFERROR(IF(config!E36="","",config!E36),"")</f>
        <v>C007317</v>
      </c>
      <c r="B45" s="39" t="str">
        <f>IFERROR(IF(config!F36="","",config!F36),"")</f>
        <v>LARRIEU</v>
      </c>
      <c r="C45" s="69" t="str">
        <f>IFERROR(IF(config!G36="","",config!G36),"")</f>
        <v>Cédric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0</v>
      </c>
      <c r="N45" s="20">
        <f t="shared" si="37"/>
        <v>0</v>
      </c>
      <c r="O45" s="92">
        <f t="shared" si="38"/>
        <v>0</v>
      </c>
      <c r="P45" s="122"/>
      <c r="Q45" s="94"/>
      <c r="R45" s="8"/>
      <c r="S45" s="8"/>
      <c r="T45" s="8"/>
      <c r="U45" s="8"/>
      <c r="V45" s="8"/>
      <c r="W45" s="94"/>
      <c r="X45" s="94"/>
      <c r="Y45" s="8"/>
      <c r="Z45" s="8"/>
      <c r="AA45" s="8"/>
      <c r="AB45" s="8"/>
      <c r="AC45" s="8"/>
      <c r="AD45" s="94"/>
      <c r="AE45" s="94"/>
      <c r="AF45" s="8"/>
      <c r="AG45" s="8"/>
      <c r="AH45" s="8"/>
      <c r="AI45" s="8"/>
      <c r="AJ45" s="8"/>
      <c r="AK45" s="94"/>
      <c r="AL45" s="94"/>
      <c r="AM45" s="8"/>
      <c r="AN45" s="8"/>
      <c r="AO45" s="8"/>
      <c r="AP45" s="8"/>
      <c r="AQ45" s="8"/>
      <c r="AR45" s="94"/>
      <c r="AS45" s="94"/>
      <c r="AT45" s="35"/>
    </row>
    <row r="46" spans="1:58" ht="20.100000000000001" customHeight="1" thickBot="1" x14ac:dyDescent="0.3">
      <c r="A46" s="32" t="str">
        <f>IFERROR(IF(config!E37="","",config!E37),"")</f>
        <v>C004309</v>
      </c>
      <c r="B46" s="39" t="str">
        <f>IFERROR(IF(config!F37="","",config!F37),"")</f>
        <v>LEVIGNAT</v>
      </c>
      <c r="C46" s="69" t="str">
        <f>IFERROR(IF(config!G37="","",config!G37),"")</f>
        <v>Didier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122"/>
      <c r="Q46" s="94"/>
      <c r="R46" s="8"/>
      <c r="S46" s="8"/>
      <c r="T46" s="8"/>
      <c r="U46" s="8"/>
      <c r="V46" s="8"/>
      <c r="W46" s="94"/>
      <c r="X46" s="94"/>
      <c r="Y46" s="8"/>
      <c r="Z46" s="8"/>
      <c r="AA46" s="8"/>
      <c r="AB46" s="8"/>
      <c r="AC46" s="8"/>
      <c r="AD46" s="94"/>
      <c r="AE46" s="94"/>
      <c r="AF46" s="8"/>
      <c r="AG46" s="8"/>
      <c r="AH46" s="8"/>
      <c r="AI46" s="8"/>
      <c r="AJ46" s="8"/>
      <c r="AK46" s="94"/>
      <c r="AL46" s="94"/>
      <c r="AM46" s="8"/>
      <c r="AN46" s="8"/>
      <c r="AO46" s="8"/>
      <c r="AP46" s="8"/>
      <c r="AQ46" s="8"/>
      <c r="AR46" s="94"/>
      <c r="AS46" s="94"/>
      <c r="AT46" s="35"/>
    </row>
    <row r="47" spans="1:58" ht="20.100000000000001" customHeight="1" thickBot="1" x14ac:dyDescent="0.3">
      <c r="A47" s="32" t="str">
        <f>IFERROR(IF(config!E38="","",config!E38),"")</f>
        <v>C005624</v>
      </c>
      <c r="B47" s="39" t="str">
        <f>IFERROR(IF(config!F38="","",config!F38),"")</f>
        <v>MARTIN-HERNANDEZ</v>
      </c>
      <c r="C47" s="69" t="str">
        <f>IFERROR(IF(config!G38="","",config!G38),"")</f>
        <v>Pierre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122"/>
      <c r="Q47" s="94"/>
      <c r="R47" s="8"/>
      <c r="S47" s="8"/>
      <c r="T47" s="8"/>
      <c r="U47" s="8"/>
      <c r="V47" s="8"/>
      <c r="W47" s="94"/>
      <c r="X47" s="94"/>
      <c r="Y47" s="8"/>
      <c r="Z47" s="8"/>
      <c r="AA47" s="8"/>
      <c r="AB47" s="8"/>
      <c r="AC47" s="8"/>
      <c r="AD47" s="94"/>
      <c r="AE47" s="94"/>
      <c r="AF47" s="8"/>
      <c r="AG47" s="8"/>
      <c r="AH47" s="8"/>
      <c r="AI47" s="8"/>
      <c r="AJ47" s="8"/>
      <c r="AK47" s="94"/>
      <c r="AL47" s="94"/>
      <c r="AM47" s="8"/>
      <c r="AN47" s="8"/>
      <c r="AO47" s="8"/>
      <c r="AP47" s="8"/>
      <c r="AQ47" s="8"/>
      <c r="AR47" s="94"/>
      <c r="AS47" s="94"/>
      <c r="AT47" s="35"/>
    </row>
    <row r="48" spans="1:58" ht="20.100000000000001" customHeight="1" thickBot="1" x14ac:dyDescent="0.3">
      <c r="A48" s="32" t="str">
        <f>IFERROR(IF(config!E39="","",config!E39),"")</f>
        <v>C007758</v>
      </c>
      <c r="B48" s="39" t="str">
        <f>IFERROR(IF(config!F39="","",config!F39),"")</f>
        <v>PIERRE</v>
      </c>
      <c r="C48" s="69" t="str">
        <f>IFERROR(IF(config!G39="","",config!G39),"")</f>
        <v>Frantzy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122"/>
      <c r="Q48" s="94"/>
      <c r="R48" s="8"/>
      <c r="S48" s="8"/>
      <c r="T48" s="8"/>
      <c r="U48" s="8"/>
      <c r="V48" s="8"/>
      <c r="W48" s="94"/>
      <c r="X48" s="94"/>
      <c r="Y48" s="8"/>
      <c r="Z48" s="8"/>
      <c r="AA48" s="8"/>
      <c r="AB48" s="8"/>
      <c r="AC48" s="8"/>
      <c r="AD48" s="94"/>
      <c r="AE48" s="94"/>
      <c r="AF48" s="8"/>
      <c r="AG48" s="8"/>
      <c r="AH48" s="8"/>
      <c r="AI48" s="8"/>
      <c r="AJ48" s="8"/>
      <c r="AK48" s="94"/>
      <c r="AL48" s="94"/>
      <c r="AM48" s="8"/>
      <c r="AN48" s="8"/>
      <c r="AO48" s="8"/>
      <c r="AP48" s="8"/>
      <c r="AQ48" s="8"/>
      <c r="AR48" s="94"/>
      <c r="AS48" s="94"/>
      <c r="AT48" s="35"/>
    </row>
    <row r="49" spans="1:58" ht="20.100000000000001" customHeight="1" thickBot="1" x14ac:dyDescent="0.3">
      <c r="A49" s="32" t="str">
        <f>IFERROR(IF(config!E40="","",config!E40),"")</f>
        <v>C004609</v>
      </c>
      <c r="B49" s="39" t="str">
        <f>IFERROR(IF(config!F40="","",config!F40),"")</f>
        <v>SOLA</v>
      </c>
      <c r="C49" s="69" t="str">
        <f>IFERROR(IF(config!G40="","",config!G40),"")</f>
        <v>Xavier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122"/>
      <c r="Q49" s="94"/>
      <c r="R49" s="8"/>
      <c r="S49" s="8"/>
      <c r="T49" s="8"/>
      <c r="U49" s="8"/>
      <c r="V49" s="8"/>
      <c r="W49" s="94"/>
      <c r="X49" s="94"/>
      <c r="Y49" s="8"/>
      <c r="Z49" s="8"/>
      <c r="AA49" s="8"/>
      <c r="AB49" s="8"/>
      <c r="AC49" s="8"/>
      <c r="AD49" s="94"/>
      <c r="AE49" s="94"/>
      <c r="AF49" s="8"/>
      <c r="AG49" s="8"/>
      <c r="AH49" s="8"/>
      <c r="AI49" s="8"/>
      <c r="AJ49" s="8"/>
      <c r="AK49" s="94"/>
      <c r="AL49" s="94"/>
      <c r="AM49" s="8"/>
      <c r="AN49" s="8"/>
      <c r="AO49" s="8"/>
      <c r="AP49" s="8"/>
      <c r="AQ49" s="8"/>
      <c r="AR49" s="94"/>
      <c r="AS49" s="94"/>
      <c r="AT49" s="35"/>
    </row>
    <row r="50" spans="1:58" ht="20.100000000000001" customHeight="1" thickBot="1" x14ac:dyDescent="0.3">
      <c r="A50" s="131" t="str">
        <f>IFERROR(IF(config!E41="","",config!E41),"")</f>
        <v>T029734</v>
      </c>
      <c r="B50" s="132" t="str">
        <f>IFERROR(IF(config!F41="","",config!F41),"")</f>
        <v>WEISS</v>
      </c>
      <c r="C50" s="133" t="str">
        <f>IFERROR(IF(config!G41="","",config!G41),"")</f>
        <v>Miguel</v>
      </c>
      <c r="D50" s="87">
        <f t="shared" si="27"/>
        <v>0</v>
      </c>
      <c r="E50" s="20">
        <f t="shared" si="28"/>
        <v>0</v>
      </c>
      <c r="F50" s="20">
        <f t="shared" si="29"/>
        <v>0</v>
      </c>
      <c r="G50" s="20">
        <f t="shared" si="30"/>
        <v>0</v>
      </c>
      <c r="H50" s="20">
        <f t="shared" si="31"/>
        <v>0</v>
      </c>
      <c r="I50" s="20">
        <f t="shared" si="32"/>
        <v>0</v>
      </c>
      <c r="J50" s="20">
        <f t="shared" si="33"/>
        <v>0</v>
      </c>
      <c r="K50" s="20">
        <f t="shared" si="34"/>
        <v>0</v>
      </c>
      <c r="L50" s="20">
        <f t="shared" si="35"/>
        <v>0</v>
      </c>
      <c r="M50" s="20">
        <f t="shared" si="36"/>
        <v>0</v>
      </c>
      <c r="N50" s="20">
        <f t="shared" si="37"/>
        <v>0</v>
      </c>
      <c r="O50" s="92">
        <f t="shared" si="38"/>
        <v>0</v>
      </c>
      <c r="P50" s="163"/>
      <c r="Q50" s="95"/>
      <c r="R50" s="21"/>
      <c r="S50" s="21"/>
      <c r="T50" s="21"/>
      <c r="U50" s="21"/>
      <c r="V50" s="21"/>
      <c r="W50" s="95"/>
      <c r="X50" s="95"/>
      <c r="Y50" s="21"/>
      <c r="Z50" s="21"/>
      <c r="AA50" s="21"/>
      <c r="AB50" s="21"/>
      <c r="AC50" s="21"/>
      <c r="AD50" s="95"/>
      <c r="AE50" s="95"/>
      <c r="AF50" s="21"/>
      <c r="AG50" s="21"/>
      <c r="AH50" s="21"/>
      <c r="AI50" s="21"/>
      <c r="AJ50" s="21"/>
      <c r="AK50" s="95"/>
      <c r="AL50" s="95"/>
      <c r="AM50" s="21"/>
      <c r="AN50" s="21"/>
      <c r="AO50" s="21"/>
      <c r="AP50" s="21"/>
      <c r="AQ50" s="21"/>
      <c r="AR50" s="95"/>
      <c r="AS50" s="95"/>
      <c r="AT50" s="36"/>
    </row>
    <row r="51" spans="1:58" ht="20.100000000000001" customHeight="1" thickBot="1" x14ac:dyDescent="0.3">
      <c r="A51" s="52" t="str">
        <f>IFERROR(IF(config!E42="","",config!E42),"")</f>
        <v/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177"/>
      <c r="AT51" s="177"/>
      <c r="AV51" s="290" t="s">
        <v>219</v>
      </c>
      <c r="AW51" s="291"/>
      <c r="AX51" s="291"/>
      <c r="AY51" s="291"/>
      <c r="AZ51" s="291"/>
      <c r="BA51" s="291"/>
      <c r="BB51" s="291"/>
      <c r="BC51" s="291"/>
      <c r="BD51" s="291"/>
      <c r="BE51" s="291"/>
      <c r="BF51" s="292"/>
    </row>
    <row r="52" spans="1:58" ht="20.100000000000001" customHeight="1" thickBot="1" x14ac:dyDescent="0.3">
      <c r="A52" s="139" t="str">
        <f>IFERROR(IF(config!E43="","",config!E43),"")</f>
        <v>AGENTS ESPACES VERTS</v>
      </c>
      <c r="B52" s="139" t="str">
        <f>IFERROR(IF(config!F43="","",config!F43),"")</f>
        <v/>
      </c>
      <c r="C52" s="102" t="str">
        <f>IFERROR(IF(config!G43="","",config!G43),"")</f>
        <v/>
      </c>
      <c r="D52" s="103">
        <f t="shared" ref="D52:D63" si="39">COUNTIF(P52:AS52,"p")</f>
        <v>0</v>
      </c>
      <c r="E52" s="22">
        <f t="shared" ref="E52:E63" si="40">COUNTIF(P52:AS52,"PC")</f>
        <v>0</v>
      </c>
      <c r="F52" s="22">
        <f t="shared" ref="F52:F63" si="41">COUNTIF(P52:AS52,"f")</f>
        <v>0</v>
      </c>
      <c r="G52" s="22">
        <f t="shared" ref="G52:G63" si="42">COUNTIF(P52:AS52,"ast")</f>
        <v>0</v>
      </c>
      <c r="H52" s="22">
        <f t="shared" ref="H52:H63" si="43">COUNTIF(P52:AS52,"cA")</f>
        <v>0</v>
      </c>
      <c r="I52" s="22">
        <f t="shared" ref="I52:I63" si="44">COUNTIF(P52:AS52,"rtt")</f>
        <v>0</v>
      </c>
      <c r="J52" s="22">
        <f t="shared" ref="J52:J63" si="45">COUNTIF(P52:AS52,"cex")</f>
        <v>0</v>
      </c>
      <c r="K52" s="22">
        <f t="shared" ref="K52:K63" si="46">COUNTIF(P52:AS52,"res")</f>
        <v>0</v>
      </c>
      <c r="L52" s="22">
        <f t="shared" ref="L52:L63" si="47">COUNTIF(P52:AS52,"mA")</f>
        <v>0</v>
      </c>
      <c r="M52" s="22">
        <f t="shared" ref="M52:M63" si="48">COUNTIF(P52:AS52,"at")</f>
        <v>0</v>
      </c>
      <c r="N52" s="22">
        <f t="shared" ref="N52:N63" si="49">COUNTIF(P52:AS52,"TAD")</f>
        <v>0</v>
      </c>
      <c r="O52" s="106">
        <f t="shared" ref="O52:O63" si="50">COUNTIF(P52:AS52,"TP")</f>
        <v>0</v>
      </c>
      <c r="P52" s="148"/>
      <c r="Q52" s="86"/>
      <c r="R52" s="20"/>
      <c r="S52" s="20"/>
      <c r="T52" s="20"/>
      <c r="U52" s="20"/>
      <c r="V52" s="20"/>
      <c r="W52" s="86"/>
      <c r="X52" s="86"/>
      <c r="Y52" s="20"/>
      <c r="Z52" s="20"/>
      <c r="AA52" s="20"/>
      <c r="AB52" s="20"/>
      <c r="AC52" s="20"/>
      <c r="AD52" s="86"/>
      <c r="AE52" s="86"/>
      <c r="AF52" s="20"/>
      <c r="AG52" s="20"/>
      <c r="AH52" s="20"/>
      <c r="AI52" s="20"/>
      <c r="AJ52" s="20"/>
      <c r="AK52" s="86"/>
      <c r="AL52" s="86"/>
      <c r="AM52" s="20"/>
      <c r="AN52" s="20"/>
      <c r="AO52" s="20"/>
      <c r="AP52" s="20"/>
      <c r="AQ52" s="20"/>
      <c r="AR52" s="86"/>
      <c r="AS52" s="86"/>
      <c r="AT52" s="34"/>
      <c r="AV52" s="15" t="s">
        <v>194</v>
      </c>
      <c r="AW52" s="78" t="s">
        <v>195</v>
      </c>
      <c r="AX52" s="12" t="s">
        <v>196</v>
      </c>
      <c r="AY52" s="79" t="s">
        <v>197</v>
      </c>
      <c r="AZ52" s="10" t="s">
        <v>198</v>
      </c>
      <c r="BA52" s="80" t="s">
        <v>199</v>
      </c>
      <c r="BB52" s="11" t="s">
        <v>200</v>
      </c>
      <c r="BC52" s="81" t="s">
        <v>201</v>
      </c>
      <c r="BD52" s="82" t="s">
        <v>202</v>
      </c>
      <c r="BE52" s="83" t="s">
        <v>203</v>
      </c>
      <c r="BF52" s="16" t="s">
        <v>205</v>
      </c>
    </row>
    <row r="53" spans="1:58" s="37" customFormat="1" ht="20.100000000000001" customHeight="1" thickBot="1" x14ac:dyDescent="0.3">
      <c r="A53" s="139" t="str">
        <f>IFERROR(IF(config!E44="","",config!E44),"")</f>
        <v>N018514</v>
      </c>
      <c r="B53" s="139" t="str">
        <f>IFERROR(IF(config!F44="","",config!F44),"")</f>
        <v>DELANDE</v>
      </c>
      <c r="C53" s="102" t="str">
        <f>IFERROR(IF(config!G44="","",config!G44),"")</f>
        <v>Romain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122"/>
      <c r="Q53" s="94"/>
      <c r="R53" s="8"/>
      <c r="S53" s="8"/>
      <c r="T53" s="8"/>
      <c r="U53" s="8"/>
      <c r="V53" s="8"/>
      <c r="W53" s="94"/>
      <c r="X53" s="94"/>
      <c r="Y53" s="8"/>
      <c r="Z53" s="8"/>
      <c r="AA53" s="8"/>
      <c r="AB53" s="8"/>
      <c r="AC53" s="8"/>
      <c r="AD53" s="94"/>
      <c r="AE53" s="94"/>
      <c r="AF53" s="8"/>
      <c r="AG53" s="8"/>
      <c r="AH53" s="8"/>
      <c r="AI53" s="8"/>
      <c r="AJ53" s="8"/>
      <c r="AK53" s="94"/>
      <c r="AL53" s="94"/>
      <c r="AM53" s="8"/>
      <c r="AN53" s="8"/>
      <c r="AO53" s="8"/>
      <c r="AP53" s="8"/>
      <c r="AQ53" s="8"/>
      <c r="AR53" s="94"/>
      <c r="AS53" s="94"/>
      <c r="AT53" s="35"/>
      <c r="AV53" s="19">
        <f>COUNTIF(P52:AS63,"P")</f>
        <v>0</v>
      </c>
      <c r="AW53" s="19">
        <f>COUNTIF(P52:AS63,"PC")</f>
        <v>0</v>
      </c>
      <c r="AX53" s="19">
        <f>COUNTIF(P52:AS63,"F")</f>
        <v>0</v>
      </c>
      <c r="AY53" s="19">
        <f>COUNTIF(P52:AS63,"AST")</f>
        <v>0</v>
      </c>
      <c r="AZ53" s="19">
        <f>COUNTIF(P52:AS63,"CA")</f>
        <v>0</v>
      </c>
      <c r="BA53" s="19">
        <f>COUNTIF(P52:AS63,"RTT")</f>
        <v>0</v>
      </c>
      <c r="BB53" s="19">
        <f>COUNTIF(P52:AS63,"CEX")</f>
        <v>0</v>
      </c>
      <c r="BC53" s="19">
        <f>COUNTIF(P52:AS63,"RES")</f>
        <v>0</v>
      </c>
      <c r="BD53" s="19">
        <f>COUNTIF(P52:AS63,"MA")</f>
        <v>0</v>
      </c>
      <c r="BE53" s="19">
        <f>COUNTIF(P52:AS63,"AT")</f>
        <v>0</v>
      </c>
      <c r="BF53" s="19">
        <f>COUNTIF(P52:AS63,"TP")</f>
        <v>0</v>
      </c>
    </row>
    <row r="54" spans="1:58" ht="20.100000000000001" customHeight="1" thickBot="1" x14ac:dyDescent="0.3">
      <c r="A54" s="139" t="str">
        <f>IFERROR(IF(config!E45="","",config!E45),"")</f>
        <v>T029231</v>
      </c>
      <c r="B54" s="139" t="str">
        <f>IFERROR(IF(config!F45="","",config!F45),"")</f>
        <v>DA SILVA REIS</v>
      </c>
      <c r="C54" s="102" t="str">
        <f>IFERROR(IF(config!G45="","",config!G45),"")</f>
        <v>Alexandra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122"/>
      <c r="Q54" s="94"/>
      <c r="R54" s="8"/>
      <c r="S54" s="8"/>
      <c r="T54" s="8"/>
      <c r="U54" s="8"/>
      <c r="V54" s="8"/>
      <c r="W54" s="94"/>
      <c r="X54" s="94"/>
      <c r="Y54" s="8"/>
      <c r="Z54" s="8"/>
      <c r="AA54" s="8"/>
      <c r="AB54" s="8"/>
      <c r="AC54" s="8"/>
      <c r="AD54" s="94"/>
      <c r="AE54" s="94"/>
      <c r="AF54" s="8"/>
      <c r="AG54" s="8"/>
      <c r="AH54" s="8"/>
      <c r="AI54" s="8"/>
      <c r="AJ54" s="8"/>
      <c r="AK54" s="94"/>
      <c r="AL54" s="94"/>
      <c r="AM54" s="8"/>
      <c r="AN54" s="8"/>
      <c r="AO54" s="8"/>
      <c r="AP54" s="8"/>
      <c r="AQ54" s="8"/>
      <c r="AR54" s="94"/>
      <c r="AS54" s="94"/>
      <c r="AT54" s="35"/>
    </row>
    <row r="55" spans="1:58" ht="20.100000000000001" customHeight="1" thickBot="1" x14ac:dyDescent="0.3">
      <c r="A55" s="139" t="str">
        <f>IFERROR(IF(config!E46="","",config!E46),"")</f>
        <v>N011181</v>
      </c>
      <c r="B55" s="139" t="str">
        <f>IFERROR(IF(config!F46="","",config!F46),"")</f>
        <v>ELMAGROUD</v>
      </c>
      <c r="C55" s="102" t="str">
        <f>IFERROR(IF(config!G46="","",config!G46),"")</f>
        <v>Sofiane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122"/>
      <c r="Q55" s="94"/>
      <c r="R55" s="8"/>
      <c r="S55" s="8"/>
      <c r="T55" s="8"/>
      <c r="U55" s="8"/>
      <c r="V55" s="8"/>
      <c r="W55" s="94"/>
      <c r="X55" s="94"/>
      <c r="Y55" s="8"/>
      <c r="Z55" s="8"/>
      <c r="AA55" s="8"/>
      <c r="AB55" s="8"/>
      <c r="AC55" s="8"/>
      <c r="AD55" s="94"/>
      <c r="AE55" s="94"/>
      <c r="AF55" s="8"/>
      <c r="AG55" s="8"/>
      <c r="AH55" s="8"/>
      <c r="AI55" s="8"/>
      <c r="AJ55" s="8"/>
      <c r="AK55" s="94"/>
      <c r="AL55" s="94"/>
      <c r="AM55" s="8"/>
      <c r="AN55" s="8"/>
      <c r="AO55" s="8"/>
      <c r="AP55" s="8"/>
      <c r="AQ55" s="8"/>
      <c r="AR55" s="94"/>
      <c r="AS55" s="94"/>
      <c r="AT55" s="35"/>
    </row>
    <row r="56" spans="1:58" ht="20.100000000000001" customHeight="1" thickBot="1" x14ac:dyDescent="0.3">
      <c r="A56" s="139" t="str">
        <f>IFERROR(IF(config!E47="","",config!E47),"")</f>
        <v>C004163</v>
      </c>
      <c r="B56" s="139" t="str">
        <f>IFERROR(IF(config!F47="","",config!F47),"")</f>
        <v>ESTEVE</v>
      </c>
      <c r="C56" s="102" t="str">
        <f>IFERROR(IF(config!G47="","",config!G47),"")</f>
        <v>Thierry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122"/>
      <c r="Q56" s="94"/>
      <c r="R56" s="8"/>
      <c r="S56" s="8"/>
      <c r="T56" s="8"/>
      <c r="U56" s="8"/>
      <c r="V56" s="8"/>
      <c r="W56" s="94"/>
      <c r="X56" s="94"/>
      <c r="Y56" s="8"/>
      <c r="Z56" s="8"/>
      <c r="AA56" s="8"/>
      <c r="AB56" s="8"/>
      <c r="AC56" s="8"/>
      <c r="AD56" s="94"/>
      <c r="AE56" s="94"/>
      <c r="AF56" s="8"/>
      <c r="AG56" s="8"/>
      <c r="AH56" s="8"/>
      <c r="AI56" s="8"/>
      <c r="AJ56" s="8"/>
      <c r="AK56" s="94"/>
      <c r="AL56" s="94"/>
      <c r="AM56" s="8"/>
      <c r="AN56" s="8"/>
      <c r="AO56" s="8"/>
      <c r="AP56" s="8"/>
      <c r="AQ56" s="8"/>
      <c r="AR56" s="94"/>
      <c r="AS56" s="94"/>
      <c r="AT56" s="35"/>
    </row>
    <row r="57" spans="1:58" ht="20.100000000000001" customHeight="1" thickBot="1" x14ac:dyDescent="0.3">
      <c r="A57" s="139" t="str">
        <f>IFERROR(IF(config!E48="","",config!E48),"")</f>
        <v>C006428</v>
      </c>
      <c r="B57" s="139" t="str">
        <f>IFERROR(IF(config!F48="","",config!F48),"")</f>
        <v>KADRI</v>
      </c>
      <c r="C57" s="102" t="str">
        <f>IFERROR(IF(config!G48="","",config!G48),"")</f>
        <v>Houssine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122"/>
      <c r="Q57" s="94"/>
      <c r="R57" s="8"/>
      <c r="S57" s="8"/>
      <c r="T57" s="8"/>
      <c r="U57" s="8"/>
      <c r="V57" s="8"/>
      <c r="W57" s="94"/>
      <c r="X57" s="94"/>
      <c r="Y57" s="8"/>
      <c r="Z57" s="8"/>
      <c r="AA57" s="8"/>
      <c r="AB57" s="8"/>
      <c r="AC57" s="8"/>
      <c r="AD57" s="94"/>
      <c r="AE57" s="94"/>
      <c r="AF57" s="8"/>
      <c r="AG57" s="8"/>
      <c r="AH57" s="8"/>
      <c r="AI57" s="8"/>
      <c r="AJ57" s="8"/>
      <c r="AK57" s="94"/>
      <c r="AL57" s="94"/>
      <c r="AM57" s="8"/>
      <c r="AN57" s="8"/>
      <c r="AO57" s="8"/>
      <c r="AP57" s="8"/>
      <c r="AQ57" s="8"/>
      <c r="AR57" s="94"/>
      <c r="AS57" s="94"/>
      <c r="AT57" s="35"/>
    </row>
    <row r="58" spans="1:58" s="37" customFormat="1" ht="20.100000000000001" customHeight="1" thickBot="1" x14ac:dyDescent="0.3">
      <c r="A58" s="139" t="str">
        <f>IFERROR(IF(config!E49="","",config!E49),"")</f>
        <v>N023455</v>
      </c>
      <c r="B58" s="139" t="str">
        <f>IFERROR(IF(config!F49="","",config!F49),"")</f>
        <v>MALLET</v>
      </c>
      <c r="C58" s="102" t="str">
        <f>IFERROR(IF(config!G49="","",config!G49),"")</f>
        <v>Ludovic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122"/>
      <c r="Q58" s="94"/>
      <c r="R58" s="8"/>
      <c r="S58" s="8"/>
      <c r="T58" s="8"/>
      <c r="U58" s="8"/>
      <c r="V58" s="8"/>
      <c r="W58" s="94"/>
      <c r="X58" s="94"/>
      <c r="Y58" s="8"/>
      <c r="Z58" s="8"/>
      <c r="AA58" s="8"/>
      <c r="AB58" s="8"/>
      <c r="AC58" s="8"/>
      <c r="AD58" s="94"/>
      <c r="AE58" s="94"/>
      <c r="AF58" s="8"/>
      <c r="AG58" s="8"/>
      <c r="AH58" s="8"/>
      <c r="AI58" s="8"/>
      <c r="AJ58" s="8"/>
      <c r="AK58" s="94"/>
      <c r="AL58" s="94"/>
      <c r="AM58" s="8"/>
      <c r="AN58" s="8"/>
      <c r="AO58" s="8"/>
      <c r="AP58" s="8"/>
      <c r="AQ58" s="8"/>
      <c r="AR58" s="94"/>
      <c r="AS58" s="94"/>
      <c r="AT58" s="35"/>
    </row>
    <row r="59" spans="1:58" ht="20.100000000000001" customHeight="1" thickBot="1" x14ac:dyDescent="0.3">
      <c r="A59" s="139" t="str">
        <f>IFERROR(IF(config!E50="","",config!E50),"")</f>
        <v>C007461</v>
      </c>
      <c r="B59" s="139" t="str">
        <f>IFERROR(IF(config!F50="","",config!F50),"")</f>
        <v>MAURY</v>
      </c>
      <c r="C59" s="102" t="str">
        <f>IFERROR(IF(config!G50="","",config!G50),"")</f>
        <v>Xavier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122"/>
      <c r="Q59" s="94"/>
      <c r="R59" s="8"/>
      <c r="S59" s="8"/>
      <c r="T59" s="8"/>
      <c r="U59" s="8"/>
      <c r="V59" s="8"/>
      <c r="W59" s="94"/>
      <c r="X59" s="94"/>
      <c r="Y59" s="8"/>
      <c r="Z59" s="8"/>
      <c r="AA59" s="8"/>
      <c r="AB59" s="8"/>
      <c r="AC59" s="8"/>
      <c r="AD59" s="94"/>
      <c r="AE59" s="94"/>
      <c r="AF59" s="8"/>
      <c r="AG59" s="8"/>
      <c r="AH59" s="8"/>
      <c r="AI59" s="8"/>
      <c r="AJ59" s="8"/>
      <c r="AK59" s="94"/>
      <c r="AL59" s="94"/>
      <c r="AM59" s="8"/>
      <c r="AN59" s="8"/>
      <c r="AO59" s="8"/>
      <c r="AP59" s="8"/>
      <c r="AQ59" s="8"/>
      <c r="AR59" s="94"/>
      <c r="AS59" s="94"/>
      <c r="AT59" s="35"/>
    </row>
    <row r="60" spans="1:58" ht="20.100000000000001" customHeight="1" thickBot="1" x14ac:dyDescent="0.3">
      <c r="A60" s="139" t="str">
        <f>IFERROR(IF(config!E51="","",config!E51),"")</f>
        <v>T030790</v>
      </c>
      <c r="B60" s="139" t="str">
        <f>IFERROR(IF(config!F51="","",config!F51),"")</f>
        <v>MOINGT</v>
      </c>
      <c r="C60" s="102" t="str">
        <f>IFERROR(IF(config!G51="","",config!G51),"")</f>
        <v>Joffrey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122"/>
      <c r="Q60" s="94"/>
      <c r="R60" s="8"/>
      <c r="S60" s="8"/>
      <c r="T60" s="8"/>
      <c r="U60" s="8"/>
      <c r="V60" s="8"/>
      <c r="W60" s="94"/>
      <c r="X60" s="94"/>
      <c r="Y60" s="8"/>
      <c r="Z60" s="8"/>
      <c r="AA60" s="8"/>
      <c r="AB60" s="8"/>
      <c r="AC60" s="8"/>
      <c r="AD60" s="94"/>
      <c r="AE60" s="94"/>
      <c r="AF60" s="8"/>
      <c r="AG60" s="8"/>
      <c r="AH60" s="8"/>
      <c r="AI60" s="8"/>
      <c r="AJ60" s="8"/>
      <c r="AK60" s="94"/>
      <c r="AL60" s="94"/>
      <c r="AM60" s="8"/>
      <c r="AN60" s="8"/>
      <c r="AO60" s="8"/>
      <c r="AP60" s="8"/>
      <c r="AQ60" s="8"/>
      <c r="AR60" s="94"/>
      <c r="AS60" s="94"/>
      <c r="AT60" s="35"/>
    </row>
    <row r="61" spans="1:58" ht="20.100000000000001" customHeight="1" thickBot="1" x14ac:dyDescent="0.3">
      <c r="A61" s="139" t="str">
        <f>IFERROR(IF(config!E52="","",config!E52),"")</f>
        <v>T030619</v>
      </c>
      <c r="B61" s="139" t="str">
        <f>IFERROR(IF(config!F52="","",config!F52),"")</f>
        <v>REY</v>
      </c>
      <c r="C61" s="102" t="str">
        <f>IFERROR(IF(config!G52="","",config!G52),"")</f>
        <v>Adrien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122"/>
      <c r="Q61" s="94"/>
      <c r="R61" s="8"/>
      <c r="S61" s="8"/>
      <c r="T61" s="8"/>
      <c r="U61" s="8"/>
      <c r="V61" s="8"/>
      <c r="W61" s="94"/>
      <c r="X61" s="94"/>
      <c r="Y61" s="8"/>
      <c r="Z61" s="8"/>
      <c r="AA61" s="8"/>
      <c r="AB61" s="8"/>
      <c r="AC61" s="8"/>
      <c r="AD61" s="94"/>
      <c r="AE61" s="94"/>
      <c r="AF61" s="8"/>
      <c r="AG61" s="8"/>
      <c r="AH61" s="8"/>
      <c r="AI61" s="8"/>
      <c r="AJ61" s="8"/>
      <c r="AK61" s="94"/>
      <c r="AL61" s="94"/>
      <c r="AM61" s="8"/>
      <c r="AN61" s="8"/>
      <c r="AO61" s="8"/>
      <c r="AP61" s="8"/>
      <c r="AQ61" s="8"/>
      <c r="AR61" s="94"/>
      <c r="AS61" s="94"/>
      <c r="AT61" s="35"/>
    </row>
    <row r="62" spans="1:58" ht="20.100000000000001" customHeight="1" thickBot="1" x14ac:dyDescent="0.3">
      <c r="A62" s="139" t="str">
        <f>IFERROR(IF(config!E53="","",config!E53),"")</f>
        <v>N019681</v>
      </c>
      <c r="B62" s="139" t="str">
        <f>IFERROR(IF(config!F53="","",config!F53),"")</f>
        <v>TADJROUNA</v>
      </c>
      <c r="C62" s="102" t="str">
        <f>IFERROR(IF(config!G53="","",config!G53),"")</f>
        <v>Mohamed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92">
        <f t="shared" si="50"/>
        <v>0</v>
      </c>
      <c r="P62" s="122"/>
      <c r="Q62" s="94"/>
      <c r="R62" s="8"/>
      <c r="S62" s="8"/>
      <c r="T62" s="8"/>
      <c r="U62" s="8"/>
      <c r="V62" s="8"/>
      <c r="W62" s="94"/>
      <c r="X62" s="94"/>
      <c r="Y62" s="8"/>
      <c r="Z62" s="8"/>
      <c r="AA62" s="8"/>
      <c r="AB62" s="8"/>
      <c r="AC62" s="8"/>
      <c r="AD62" s="94"/>
      <c r="AE62" s="94"/>
      <c r="AF62" s="8"/>
      <c r="AG62" s="8"/>
      <c r="AH62" s="8"/>
      <c r="AI62" s="8"/>
      <c r="AJ62" s="8"/>
      <c r="AK62" s="94"/>
      <c r="AL62" s="94"/>
      <c r="AM62" s="8"/>
      <c r="AN62" s="8"/>
      <c r="AO62" s="8"/>
      <c r="AP62" s="8"/>
      <c r="AQ62" s="8"/>
      <c r="AR62" s="94"/>
      <c r="AS62" s="94"/>
      <c r="AT62" s="35"/>
    </row>
    <row r="63" spans="1:58" ht="20.100000000000001" customHeight="1" thickBot="1" x14ac:dyDescent="0.3">
      <c r="A63" s="211"/>
      <c r="B63" s="211"/>
      <c r="C63" s="212"/>
      <c r="D63" s="213">
        <f t="shared" si="39"/>
        <v>0</v>
      </c>
      <c r="E63" s="214">
        <f t="shared" si="40"/>
        <v>0</v>
      </c>
      <c r="F63" s="214">
        <f t="shared" si="41"/>
        <v>0</v>
      </c>
      <c r="G63" s="214">
        <f t="shared" si="42"/>
        <v>0</v>
      </c>
      <c r="H63" s="214">
        <f t="shared" si="43"/>
        <v>0</v>
      </c>
      <c r="I63" s="214">
        <f t="shared" si="44"/>
        <v>0</v>
      </c>
      <c r="J63" s="214">
        <f t="shared" si="45"/>
        <v>0</v>
      </c>
      <c r="K63" s="214">
        <f t="shared" si="46"/>
        <v>0</v>
      </c>
      <c r="L63" s="214">
        <f t="shared" si="47"/>
        <v>0</v>
      </c>
      <c r="M63" s="214">
        <f t="shared" si="48"/>
        <v>0</v>
      </c>
      <c r="N63" s="214">
        <f t="shared" si="49"/>
        <v>0</v>
      </c>
      <c r="O63" s="215">
        <f t="shared" si="50"/>
        <v>0</v>
      </c>
      <c r="P63" s="231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60"/>
    </row>
    <row r="64" spans="1:58" ht="20.100000000000001" customHeight="1" thickBot="1" x14ac:dyDescent="0.3">
      <c r="A64" s="302" t="str">
        <f>IFERROR(IF(config!E55="","",config!E55),"")</f>
        <v/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288"/>
      <c r="AO64" s="288"/>
      <c r="AP64" s="288"/>
      <c r="AQ64" s="288"/>
      <c r="AR64" s="288"/>
      <c r="AS64" s="288"/>
      <c r="AT64" s="247"/>
      <c r="AV64" s="290" t="s">
        <v>221</v>
      </c>
      <c r="AW64" s="291"/>
      <c r="AX64" s="291"/>
      <c r="AY64" s="291"/>
      <c r="AZ64" s="291"/>
      <c r="BA64" s="291"/>
      <c r="BB64" s="291"/>
      <c r="BC64" s="291"/>
      <c r="BD64" s="291"/>
      <c r="BE64" s="291"/>
      <c r="BF64" s="292"/>
    </row>
    <row r="65" spans="1:58" ht="20.100000000000001" customHeight="1" thickBot="1" x14ac:dyDescent="0.3">
      <c r="A65" s="171" t="str">
        <f>IFERROR(IF(config!E56="","",config!E56),"")</f>
        <v>COMMUN - MAGASINIER ET AGENTS ENTRETIEN</v>
      </c>
      <c r="B65" s="172" t="str">
        <f>IFERROR(IF(config!F56="","",config!F56),"")</f>
        <v/>
      </c>
      <c r="C65" s="173" t="str">
        <f>IFERROR(IF(config!G56="","",config!G56),"")</f>
        <v/>
      </c>
      <c r="D65" s="87">
        <f t="shared" ref="D65:D70" si="51">COUNTIF(P65:AS65,"p")</f>
        <v>0</v>
      </c>
      <c r="E65" s="20">
        <f t="shared" ref="E65:E70" si="52">COUNTIF(P65:AS65,"PC")</f>
        <v>0</v>
      </c>
      <c r="F65" s="20">
        <f t="shared" ref="F65:F70" si="53">COUNTIF(P65:AS65,"f")</f>
        <v>0</v>
      </c>
      <c r="G65" s="20">
        <f t="shared" ref="G65:G70" si="54">COUNTIF(P65:AS65,"ast")</f>
        <v>0</v>
      </c>
      <c r="H65" s="20">
        <f t="shared" ref="H65:H70" si="55">COUNTIF(P65:AS65,"cA")</f>
        <v>0</v>
      </c>
      <c r="I65" s="20">
        <f t="shared" ref="I65:I70" si="56">COUNTIF(P65:AS65,"rtt")</f>
        <v>0</v>
      </c>
      <c r="J65" s="20">
        <f t="shared" ref="J65:J70" si="57">COUNTIF(P65:AS65,"cex")</f>
        <v>0</v>
      </c>
      <c r="K65" s="20">
        <f t="shared" ref="K65:K70" si="58">COUNTIF(P65:AS65,"res")</f>
        <v>0</v>
      </c>
      <c r="L65" s="20">
        <f t="shared" ref="L65:L70" si="59">COUNTIF(P65:AS65,"mA")</f>
        <v>0</v>
      </c>
      <c r="M65" s="20">
        <f t="shared" ref="M65:M70" si="60">COUNTIF(P65:AS65,"at")</f>
        <v>0</v>
      </c>
      <c r="N65" s="20">
        <f t="shared" ref="N65:N70" si="61">COUNTIF(P65:AS65,"TAD")</f>
        <v>0</v>
      </c>
      <c r="O65" s="92">
        <f t="shared" ref="O65:O70" si="62">COUNTIF(P65:AS65,"TP")</f>
        <v>0</v>
      </c>
      <c r="P65" s="148"/>
      <c r="Q65" s="86"/>
      <c r="R65" s="20"/>
      <c r="S65" s="20"/>
      <c r="T65" s="20"/>
      <c r="U65" s="20"/>
      <c r="V65" s="20"/>
      <c r="W65" s="86"/>
      <c r="X65" s="86"/>
      <c r="Y65" s="20"/>
      <c r="Z65" s="20"/>
      <c r="AA65" s="20"/>
      <c r="AB65" s="20"/>
      <c r="AC65" s="20"/>
      <c r="AD65" s="86"/>
      <c r="AE65" s="86"/>
      <c r="AF65" s="20"/>
      <c r="AG65" s="20"/>
      <c r="AH65" s="20"/>
      <c r="AI65" s="20"/>
      <c r="AJ65" s="20"/>
      <c r="AK65" s="86"/>
      <c r="AL65" s="86"/>
      <c r="AM65" s="20"/>
      <c r="AN65" s="20"/>
      <c r="AO65" s="20"/>
      <c r="AP65" s="20"/>
      <c r="AQ65" s="20"/>
      <c r="AR65" s="86"/>
      <c r="AS65" s="86"/>
      <c r="AT65" s="34"/>
      <c r="AV65" s="15" t="s">
        <v>194</v>
      </c>
      <c r="AW65" s="78" t="s">
        <v>195</v>
      </c>
      <c r="AX65" s="12" t="s">
        <v>196</v>
      </c>
      <c r="AY65" s="79" t="s">
        <v>197</v>
      </c>
      <c r="AZ65" s="10" t="s">
        <v>198</v>
      </c>
      <c r="BA65" s="80" t="s">
        <v>199</v>
      </c>
      <c r="BB65" s="11" t="s">
        <v>200</v>
      </c>
      <c r="BC65" s="81" t="s">
        <v>201</v>
      </c>
      <c r="BD65" s="82" t="s">
        <v>202</v>
      </c>
      <c r="BE65" s="83" t="s">
        <v>203</v>
      </c>
      <c r="BF65" s="16" t="s">
        <v>205</v>
      </c>
    </row>
    <row r="66" spans="1:58" ht="20.100000000000001" customHeight="1" thickBot="1" x14ac:dyDescent="0.3">
      <c r="A66" s="31" t="str">
        <f>IFERROR(IF(config!E57="","",config!E57),"")</f>
        <v>N010342</v>
      </c>
      <c r="B66" s="42" t="str">
        <f>IFERROR(IF(config!F57="","",config!F57),"")</f>
        <v>VOL</v>
      </c>
      <c r="C66" s="70" t="str">
        <f>IFERROR(IF(config!G57="","",config!G57),"")</f>
        <v>Christophe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122"/>
      <c r="Q66" s="94"/>
      <c r="R66" s="8"/>
      <c r="S66" s="8"/>
      <c r="T66" s="8"/>
      <c r="U66" s="8"/>
      <c r="V66" s="8"/>
      <c r="W66" s="94"/>
      <c r="X66" s="94"/>
      <c r="Y66" s="8"/>
      <c r="Z66" s="8"/>
      <c r="AA66" s="8"/>
      <c r="AB66" s="8"/>
      <c r="AC66" s="8"/>
      <c r="AD66" s="94"/>
      <c r="AE66" s="94"/>
      <c r="AF66" s="8"/>
      <c r="AG66" s="8"/>
      <c r="AH66" s="8"/>
      <c r="AI66" s="8"/>
      <c r="AJ66" s="8"/>
      <c r="AK66" s="94"/>
      <c r="AL66" s="94"/>
      <c r="AM66" s="8"/>
      <c r="AN66" s="8"/>
      <c r="AO66" s="8"/>
      <c r="AP66" s="8"/>
      <c r="AQ66" s="8"/>
      <c r="AR66" s="94"/>
      <c r="AS66" s="94"/>
      <c r="AT66" s="35"/>
      <c r="AV66" s="19">
        <f>COUNTIF(P65:AS76,"P")</f>
        <v>0</v>
      </c>
      <c r="AW66" s="19">
        <f>COUNTIF(P65:AS76,"PC")</f>
        <v>0</v>
      </c>
      <c r="AX66" s="19">
        <f>COUNTIF(P65:AS76,"F")</f>
        <v>0</v>
      </c>
      <c r="AY66" s="19">
        <f>COUNTIF(P65:AS76,"AST")</f>
        <v>0</v>
      </c>
      <c r="AZ66" s="19">
        <f>COUNTIF(P65:AS76,"Ca")</f>
        <v>0</v>
      </c>
      <c r="BA66" s="19">
        <f>COUNTIF(P65:AS76,"RTT")</f>
        <v>0</v>
      </c>
      <c r="BB66" s="19">
        <f>COUNTIF(P65:AS76,"CEX")</f>
        <v>0</v>
      </c>
      <c r="BC66" s="19">
        <f>COUNTIF(P65:AS76,"RES")</f>
        <v>0</v>
      </c>
      <c r="BD66" s="19">
        <f>COUNTIF(P65:AS76,"MA")</f>
        <v>0</v>
      </c>
      <c r="BE66" s="19">
        <f>COUNTIF(P65:AS76,"AT")</f>
        <v>0</v>
      </c>
      <c r="BF66" s="19">
        <f>COUNTIF(P65:AS76,"TP")</f>
        <v>0</v>
      </c>
    </row>
    <row r="67" spans="1:58" ht="20.100000000000001" customHeight="1" thickBot="1" x14ac:dyDescent="0.3">
      <c r="A67" s="31" t="str">
        <f>IFERROR(IF(config!E58="","",config!E58),"")</f>
        <v>C003865</v>
      </c>
      <c r="B67" s="42" t="str">
        <f>IFERROR(IF(config!F58="","",config!F58),"")</f>
        <v xml:space="preserve">GENNA </v>
      </c>
      <c r="C67" s="70" t="str">
        <f>IFERROR(IF(config!G58="","",config!G58),"")</f>
        <v>Grégory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122"/>
      <c r="Q67" s="94"/>
      <c r="R67" s="8"/>
      <c r="S67" s="8"/>
      <c r="T67" s="8"/>
      <c r="U67" s="8"/>
      <c r="V67" s="8"/>
      <c r="W67" s="94"/>
      <c r="X67" s="94"/>
      <c r="Y67" s="8"/>
      <c r="Z67" s="8"/>
      <c r="AA67" s="8"/>
      <c r="AB67" s="8"/>
      <c r="AC67" s="8"/>
      <c r="AD67" s="94"/>
      <c r="AE67" s="94"/>
      <c r="AF67" s="8"/>
      <c r="AG67" s="8"/>
      <c r="AH67" s="8"/>
      <c r="AI67" s="8"/>
      <c r="AJ67" s="8"/>
      <c r="AK67" s="94"/>
      <c r="AL67" s="94"/>
      <c r="AM67" s="8"/>
      <c r="AN67" s="8"/>
      <c r="AO67" s="8"/>
      <c r="AP67" s="8"/>
      <c r="AQ67" s="8"/>
      <c r="AR67" s="94"/>
      <c r="AS67" s="94"/>
      <c r="AT67" s="35"/>
    </row>
    <row r="68" spans="1:58" ht="20.100000000000001" customHeight="1" thickBot="1" x14ac:dyDescent="0.3">
      <c r="A68" s="31" t="str">
        <f>IFERROR(IF(config!E59="","",config!E59),"")</f>
        <v>N010032</v>
      </c>
      <c r="B68" s="42" t="str">
        <f>IFERROR(IF(config!F59="","",config!F59),"")</f>
        <v>BERNARD</v>
      </c>
      <c r="C68" s="70" t="str">
        <f>IFERROR(IF(config!G59="","",config!G59),"")</f>
        <v xml:space="preserve"> Jean-Louis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122"/>
      <c r="Q68" s="94"/>
      <c r="R68" s="8"/>
      <c r="S68" s="8"/>
      <c r="T68" s="8"/>
      <c r="U68" s="8"/>
      <c r="V68" s="8"/>
      <c r="W68" s="94"/>
      <c r="X68" s="94"/>
      <c r="Y68" s="8"/>
      <c r="Z68" s="8"/>
      <c r="AA68" s="8"/>
      <c r="AB68" s="8"/>
      <c r="AC68" s="8"/>
      <c r="AD68" s="94"/>
      <c r="AE68" s="94"/>
      <c r="AF68" s="8"/>
      <c r="AG68" s="8"/>
      <c r="AH68" s="8"/>
      <c r="AI68" s="8"/>
      <c r="AJ68" s="8"/>
      <c r="AK68" s="94"/>
      <c r="AL68" s="94"/>
      <c r="AM68" s="8"/>
      <c r="AN68" s="8"/>
      <c r="AO68" s="8"/>
      <c r="AP68" s="8"/>
      <c r="AQ68" s="8"/>
      <c r="AR68" s="94"/>
      <c r="AS68" s="94"/>
      <c r="AT68" s="35"/>
    </row>
    <row r="69" spans="1:58" ht="20.100000000000001" customHeight="1" thickBot="1" x14ac:dyDescent="0.3">
      <c r="A69" s="31" t="str">
        <f>IFERROR(IF(config!E60="","",config!E60),"")</f>
        <v>N010563</v>
      </c>
      <c r="B69" s="42" t="str">
        <f>IFERROR(IF(config!F60="","",config!F60),"")</f>
        <v>HAUBRAICHE</v>
      </c>
      <c r="C69" s="70" t="str">
        <f>IFERROR(IF(config!G60="","",config!G60),"")</f>
        <v>Philippe</v>
      </c>
      <c r="D69" s="87">
        <f t="shared" si="51"/>
        <v>0</v>
      </c>
      <c r="E69" s="20">
        <f t="shared" si="52"/>
        <v>0</v>
      </c>
      <c r="F69" s="20">
        <f t="shared" si="53"/>
        <v>0</v>
      </c>
      <c r="G69" s="20">
        <f t="shared" si="54"/>
        <v>0</v>
      </c>
      <c r="H69" s="20">
        <f t="shared" si="55"/>
        <v>0</v>
      </c>
      <c r="I69" s="20">
        <f t="shared" si="56"/>
        <v>0</v>
      </c>
      <c r="J69" s="20">
        <f t="shared" si="57"/>
        <v>0</v>
      </c>
      <c r="K69" s="20">
        <f t="shared" si="58"/>
        <v>0</v>
      </c>
      <c r="L69" s="20">
        <f t="shared" si="59"/>
        <v>0</v>
      </c>
      <c r="M69" s="20">
        <f t="shared" si="60"/>
        <v>0</v>
      </c>
      <c r="N69" s="20">
        <f t="shared" si="61"/>
        <v>0</v>
      </c>
      <c r="O69" s="92">
        <f t="shared" si="62"/>
        <v>0</v>
      </c>
      <c r="P69" s="122"/>
      <c r="Q69" s="94"/>
      <c r="R69" s="8"/>
      <c r="S69" s="8"/>
      <c r="T69" s="8"/>
      <c r="U69" s="8"/>
      <c r="V69" s="8"/>
      <c r="W69" s="94"/>
      <c r="X69" s="94"/>
      <c r="Y69" s="8"/>
      <c r="Z69" s="8"/>
      <c r="AA69" s="8"/>
      <c r="AB69" s="8"/>
      <c r="AC69" s="8"/>
      <c r="AD69" s="94"/>
      <c r="AE69" s="94"/>
      <c r="AF69" s="8"/>
      <c r="AG69" s="8"/>
      <c r="AH69" s="8"/>
      <c r="AI69" s="8"/>
      <c r="AJ69" s="8"/>
      <c r="AK69" s="94"/>
      <c r="AL69" s="94"/>
      <c r="AM69" s="8"/>
      <c r="AN69" s="8"/>
      <c r="AO69" s="8"/>
      <c r="AP69" s="8"/>
      <c r="AQ69" s="8"/>
      <c r="AR69" s="94"/>
      <c r="AS69" s="94"/>
      <c r="AT69" s="35"/>
    </row>
    <row r="70" spans="1:58" ht="20.100000000000001" customHeight="1" thickBot="1" x14ac:dyDescent="0.3">
      <c r="A70" s="31" t="str">
        <f>IFERROR(IF(config!E69="","",config!E69),"")</f>
        <v/>
      </c>
      <c r="B70" s="42" t="str">
        <f>IFERROR(IF(config!F69="","",config!F69),"")</f>
        <v/>
      </c>
      <c r="C70" s="45" t="str">
        <f>IFERROR(IF(config!G69="","",config!G69),"")</f>
        <v/>
      </c>
      <c r="D70" s="88">
        <f t="shared" si="51"/>
        <v>0</v>
      </c>
      <c r="E70" s="89">
        <f t="shared" si="52"/>
        <v>0</v>
      </c>
      <c r="F70" s="89">
        <f t="shared" si="53"/>
        <v>0</v>
      </c>
      <c r="G70" s="89">
        <f t="shared" si="54"/>
        <v>0</v>
      </c>
      <c r="H70" s="89">
        <f t="shared" si="55"/>
        <v>0</v>
      </c>
      <c r="I70" s="89">
        <f t="shared" si="56"/>
        <v>0</v>
      </c>
      <c r="J70" s="89">
        <f t="shared" si="57"/>
        <v>0</v>
      </c>
      <c r="K70" s="89">
        <f t="shared" si="58"/>
        <v>0</v>
      </c>
      <c r="L70" s="89">
        <f t="shared" si="59"/>
        <v>0</v>
      </c>
      <c r="M70" s="89">
        <f t="shared" si="60"/>
        <v>0</v>
      </c>
      <c r="N70" s="89">
        <f t="shared" si="61"/>
        <v>0</v>
      </c>
      <c r="O70" s="93">
        <f t="shared" si="62"/>
        <v>0</v>
      </c>
      <c r="P70" s="163"/>
      <c r="Q70" s="95"/>
      <c r="R70" s="21"/>
      <c r="S70" s="21"/>
      <c r="T70" s="21"/>
      <c r="U70" s="21"/>
      <c r="V70" s="21"/>
      <c r="W70" s="95"/>
      <c r="X70" s="95"/>
      <c r="Y70" s="21"/>
      <c r="Z70" s="21"/>
      <c r="AA70" s="21"/>
      <c r="AB70" s="21"/>
      <c r="AC70" s="21"/>
      <c r="AD70" s="95"/>
      <c r="AE70" s="95"/>
      <c r="AF70" s="21"/>
      <c r="AG70" s="21"/>
      <c r="AH70" s="21"/>
      <c r="AI70" s="21"/>
      <c r="AJ70" s="21"/>
      <c r="AK70" s="95"/>
      <c r="AL70" s="95"/>
      <c r="AM70" s="21"/>
      <c r="AN70" s="21"/>
      <c r="AO70" s="21"/>
      <c r="AP70" s="21"/>
      <c r="AQ70" s="21"/>
      <c r="AR70" s="95"/>
      <c r="AS70" s="95"/>
      <c r="AT70" s="36"/>
    </row>
  </sheetData>
  <mergeCells count="8">
    <mergeCell ref="AV51:BF51"/>
    <mergeCell ref="AV64:BF64"/>
    <mergeCell ref="A5:AT7"/>
    <mergeCell ref="AV11:BF11"/>
    <mergeCell ref="A38:AS38"/>
    <mergeCell ref="A64:AS64"/>
    <mergeCell ref="D8:O8"/>
    <mergeCell ref="AV38:BF38"/>
  </mergeCells>
  <conditionalFormatting sqref="D10:O10">
    <cfRule type="cellIs" dxfId="835" priority="429" operator="equal">
      <formula>"repos"</formula>
    </cfRule>
    <cfRule type="cellIs" dxfId="834" priority="430" operator="equal">
      <formula>"permanence"</formula>
    </cfRule>
    <cfRule type="cellIs" dxfId="833" priority="431" operator="equal">
      <formula>"dimanche"</formula>
    </cfRule>
    <cfRule type="cellIs" dxfId="832" priority="432" operator="equal">
      <formula>"formation"</formula>
    </cfRule>
    <cfRule type="cellIs" dxfId="831" priority="433" operator="equal">
      <formula>"conges exc"</formula>
    </cfRule>
    <cfRule type="cellIs" dxfId="830" priority="434" operator="equal">
      <formula>"conges"</formula>
    </cfRule>
    <cfRule type="cellIs" dxfId="829" priority="435" operator="equal">
      <formula>"asa"</formula>
    </cfRule>
    <cfRule type="cellIs" dxfId="828" priority="436" operator="equal">
      <formula>"maladie / at"</formula>
    </cfRule>
    <cfRule type="cellIs" dxfId="827" priority="437" operator="equal">
      <formula>"presence"</formula>
    </cfRule>
  </conditionalFormatting>
  <conditionalFormatting sqref="D11:O20 D23:O24 D26:O29 D31:O36 D39:O50 D52:O63 D65:O70">
    <cfRule type="cellIs" dxfId="826" priority="438" operator="equal">
      <formula>0</formula>
    </cfRule>
  </conditionalFormatting>
  <conditionalFormatting sqref="P9:AT9">
    <cfRule type="expression" dxfId="825" priority="440">
      <formula>OR(P$9=1, P$9=7)</formula>
    </cfRule>
  </conditionalFormatting>
  <conditionalFormatting sqref="P9:AT10">
    <cfRule type="expression" dxfId="824" priority="439">
      <formula>OR(P$9=1,P$9=7)</formula>
    </cfRule>
  </conditionalFormatting>
  <conditionalFormatting sqref="P11:AT14 R15:R16 S12:S16 T15:T16">
    <cfRule type="containsText" dxfId="823" priority="135" operator="containsText" text="TP">
      <formula>NOT(ISERROR(SEARCH("TP",P11)))</formula>
    </cfRule>
    <cfRule type="containsText" dxfId="822" priority="137" operator="containsText" text="AT">
      <formula>NOT(ISERROR(SEARCH("AT",P11)))</formula>
    </cfRule>
    <cfRule type="containsText" dxfId="821" priority="138" operator="containsText" text="MA">
      <formula>NOT(ISERROR(SEARCH("MA",P11)))</formula>
    </cfRule>
    <cfRule type="containsText" dxfId="820" priority="139" operator="containsText" text="RES">
      <formula>NOT(ISERROR(SEARCH("RES",P11)))</formula>
    </cfRule>
    <cfRule type="containsText" dxfId="819" priority="140" operator="containsText" text="CEX">
      <formula>NOT(ISERROR(SEARCH("CEX",P11)))</formula>
    </cfRule>
    <cfRule type="containsText" dxfId="818" priority="141" operator="containsText" text="RTT">
      <formula>NOT(ISERROR(SEARCH("RTT",P11)))</formula>
    </cfRule>
    <cfRule type="beginsWith" dxfId="817" priority="142" operator="beginsWith" text="CA">
      <formula>LEFT(P11,LEN("CA"))="CA"</formula>
    </cfRule>
    <cfRule type="containsText" dxfId="816" priority="143" operator="containsText" text="AST">
      <formula>NOT(ISERROR(SEARCH("AST",P11)))</formula>
    </cfRule>
    <cfRule type="containsText" dxfId="815" priority="144" operator="containsText" text="F">
      <formula>NOT(ISERROR(SEARCH("F",P11)))</formula>
    </cfRule>
    <cfRule type="containsText" dxfId="814" priority="145" operator="containsText" text="PC">
      <formula>NOT(ISERROR(SEARCH("PC",P11)))</formula>
    </cfRule>
    <cfRule type="containsText" dxfId="813" priority="146" operator="containsText" text="P">
      <formula>NOT(ISERROR(SEARCH("P",P11)))</formula>
    </cfRule>
  </conditionalFormatting>
  <conditionalFormatting sqref="P11:AT20">
    <cfRule type="containsText" priority="136" operator="containsText" text="TAD">
      <formula>NOT(ISERROR(SEARCH("TAD",P11)))</formula>
    </cfRule>
  </conditionalFormatting>
  <conditionalFormatting sqref="P15:AT20">
    <cfRule type="containsText" dxfId="812" priority="417" operator="containsText" text="TP">
      <formula>NOT(ISERROR(SEARCH("TP",P15)))</formula>
    </cfRule>
    <cfRule type="containsText" dxfId="811" priority="419" operator="containsText" text="AT">
      <formula>NOT(ISERROR(SEARCH("AT",P15)))</formula>
    </cfRule>
    <cfRule type="containsText" dxfId="810" priority="420" operator="containsText" text="MA">
      <formula>NOT(ISERROR(SEARCH("MA",P15)))</formula>
    </cfRule>
    <cfRule type="containsText" dxfId="809" priority="421" operator="containsText" text="RES">
      <formula>NOT(ISERROR(SEARCH("RES",P15)))</formula>
    </cfRule>
    <cfRule type="containsText" dxfId="808" priority="422" operator="containsText" text="CEX">
      <formula>NOT(ISERROR(SEARCH("CEX",P15)))</formula>
    </cfRule>
    <cfRule type="containsText" dxfId="807" priority="423" operator="containsText" text="RTT">
      <formula>NOT(ISERROR(SEARCH("RTT",P15)))</formula>
    </cfRule>
    <cfRule type="beginsWith" dxfId="806" priority="424" operator="beginsWith" text="CA">
      <formula>LEFT(P15,LEN("CA"))="CA"</formula>
    </cfRule>
    <cfRule type="containsText" dxfId="805" priority="425" operator="containsText" text="AST">
      <formula>NOT(ISERROR(SEARCH("AST",P15)))</formula>
    </cfRule>
    <cfRule type="containsText" dxfId="804" priority="426" operator="containsText" text="F">
      <formula>NOT(ISERROR(SEARCH("F",P15)))</formula>
    </cfRule>
    <cfRule type="containsText" dxfId="803" priority="427" operator="containsText" text="PC">
      <formula>NOT(ISERROR(SEARCH("PC",P15)))</formula>
    </cfRule>
    <cfRule type="containsText" dxfId="802" priority="428" operator="containsText" text="P">
      <formula>NOT(ISERROR(SEARCH("P",P15)))</formula>
    </cfRule>
  </conditionalFormatting>
  <conditionalFormatting sqref="P23:AT24">
    <cfRule type="containsText" dxfId="801" priority="123" operator="containsText" text="TP">
      <formula>NOT(ISERROR(SEARCH("TP",P23)))</formula>
    </cfRule>
    <cfRule type="containsText" priority="124" operator="containsText" text="TAD">
      <formula>NOT(ISERROR(SEARCH("TAD",P23)))</formula>
    </cfRule>
    <cfRule type="containsText" dxfId="800" priority="125" operator="containsText" text="AT">
      <formula>NOT(ISERROR(SEARCH("AT",P23)))</formula>
    </cfRule>
    <cfRule type="containsText" dxfId="799" priority="126" operator="containsText" text="MA">
      <formula>NOT(ISERROR(SEARCH("MA",P23)))</formula>
    </cfRule>
    <cfRule type="containsText" dxfId="798" priority="127" operator="containsText" text="RES">
      <formula>NOT(ISERROR(SEARCH("RES",P23)))</formula>
    </cfRule>
    <cfRule type="containsText" dxfId="797" priority="128" operator="containsText" text="CEX">
      <formula>NOT(ISERROR(SEARCH("CEX",P23)))</formula>
    </cfRule>
    <cfRule type="containsText" dxfId="796" priority="129" operator="containsText" text="RTT">
      <formula>NOT(ISERROR(SEARCH("RTT",P23)))</formula>
    </cfRule>
    <cfRule type="beginsWith" dxfId="795" priority="130" operator="beginsWith" text="CA">
      <formula>LEFT(P23,LEN("CA"))="CA"</formula>
    </cfRule>
    <cfRule type="containsText" dxfId="794" priority="131" operator="containsText" text="AST">
      <formula>NOT(ISERROR(SEARCH("AST",P23)))</formula>
    </cfRule>
    <cfRule type="containsText" dxfId="793" priority="132" operator="containsText" text="F">
      <formula>NOT(ISERROR(SEARCH("F",P23)))</formula>
    </cfRule>
    <cfRule type="containsText" dxfId="792" priority="133" operator="containsText" text="PC">
      <formula>NOT(ISERROR(SEARCH("PC",P23)))</formula>
    </cfRule>
    <cfRule type="containsText" dxfId="791" priority="134" operator="containsText" text="P">
      <formula>NOT(ISERROR(SEARCH("P",P23)))</formula>
    </cfRule>
  </conditionalFormatting>
  <conditionalFormatting sqref="P26:AT29 P31:AT36">
    <cfRule type="containsText" dxfId="790" priority="51" operator="containsText" text="TP">
      <formula>NOT(ISERROR(SEARCH("TP",P26)))</formula>
    </cfRule>
    <cfRule type="containsText" priority="52" operator="containsText" text="TAD">
      <formula>NOT(ISERROR(SEARCH("TAD",P26)))</formula>
    </cfRule>
    <cfRule type="containsText" dxfId="789" priority="53" operator="containsText" text="AT">
      <formula>NOT(ISERROR(SEARCH("AT",P26)))</formula>
    </cfRule>
    <cfRule type="containsText" dxfId="788" priority="54" operator="containsText" text="MA">
      <formula>NOT(ISERROR(SEARCH("MA",P26)))</formula>
    </cfRule>
    <cfRule type="containsText" dxfId="787" priority="55" operator="containsText" text="RES">
      <formula>NOT(ISERROR(SEARCH("RES",P26)))</formula>
    </cfRule>
    <cfRule type="containsText" dxfId="786" priority="56" operator="containsText" text="CEX">
      <formula>NOT(ISERROR(SEARCH("CEX",P26)))</formula>
    </cfRule>
    <cfRule type="containsText" dxfId="785" priority="57" operator="containsText" text="RTT">
      <formula>NOT(ISERROR(SEARCH("RTT",P26)))</formula>
    </cfRule>
    <cfRule type="beginsWith" dxfId="784" priority="58" operator="beginsWith" text="CA">
      <formula>LEFT(P26,LEN("CA"))="CA"</formula>
    </cfRule>
    <cfRule type="containsText" dxfId="783" priority="59" operator="containsText" text="AST">
      <formula>NOT(ISERROR(SEARCH("AST",P26)))</formula>
    </cfRule>
    <cfRule type="containsText" dxfId="782" priority="60" operator="containsText" text="F">
      <formula>NOT(ISERROR(SEARCH("F",P26)))</formula>
    </cfRule>
    <cfRule type="containsText" dxfId="781" priority="61" operator="containsText" text="PC">
      <formula>NOT(ISERROR(SEARCH("PC",P26)))</formula>
    </cfRule>
    <cfRule type="containsText" dxfId="780" priority="62" operator="containsText" text="P">
      <formula>NOT(ISERROR(SEARCH("P",P26)))</formula>
    </cfRule>
  </conditionalFormatting>
  <conditionalFormatting sqref="P39:AT50">
    <cfRule type="containsText" dxfId="779" priority="317" operator="containsText" text="TP">
      <formula>NOT(ISERROR(SEARCH("TP",P39)))</formula>
    </cfRule>
    <cfRule type="containsText" priority="318" operator="containsText" text="TAD">
      <formula>NOT(ISERROR(SEARCH("TAD",P39)))</formula>
    </cfRule>
    <cfRule type="containsText" dxfId="778" priority="319" operator="containsText" text="AT">
      <formula>NOT(ISERROR(SEARCH("AT",P39)))</formula>
    </cfRule>
    <cfRule type="containsText" dxfId="777" priority="320" operator="containsText" text="MA">
      <formula>NOT(ISERROR(SEARCH("MA",P39)))</formula>
    </cfRule>
    <cfRule type="containsText" dxfId="776" priority="321" operator="containsText" text="RES">
      <formula>NOT(ISERROR(SEARCH("RES",P39)))</formula>
    </cfRule>
    <cfRule type="containsText" dxfId="775" priority="322" operator="containsText" text="CEX">
      <formula>NOT(ISERROR(SEARCH("CEX",P39)))</formula>
    </cfRule>
    <cfRule type="containsText" dxfId="774" priority="323" operator="containsText" text="RTT">
      <formula>NOT(ISERROR(SEARCH("RTT",P39)))</formula>
    </cfRule>
    <cfRule type="beginsWith" dxfId="773" priority="324" operator="beginsWith" text="CA">
      <formula>LEFT(P39,LEN("CA"))="CA"</formula>
    </cfRule>
    <cfRule type="containsText" dxfId="772" priority="325" operator="containsText" text="AST">
      <formula>NOT(ISERROR(SEARCH("AST",P39)))</formula>
    </cfRule>
    <cfRule type="containsText" dxfId="771" priority="326" operator="containsText" text="F">
      <formula>NOT(ISERROR(SEARCH("F",P39)))</formula>
    </cfRule>
    <cfRule type="containsText" dxfId="770" priority="327" operator="containsText" text="PC">
      <formula>NOT(ISERROR(SEARCH("PC",P39)))</formula>
    </cfRule>
    <cfRule type="containsText" dxfId="769" priority="328" operator="containsText" text="P">
      <formula>NOT(ISERROR(SEARCH("P",P39)))</formula>
    </cfRule>
  </conditionalFormatting>
  <conditionalFormatting sqref="P52:AT63">
    <cfRule type="containsText" dxfId="768" priority="63" operator="containsText" text="TP">
      <formula>NOT(ISERROR(SEARCH("TP",P52)))</formula>
    </cfRule>
    <cfRule type="containsText" priority="64" operator="containsText" text="TAD">
      <formula>NOT(ISERROR(SEARCH("TAD",P52)))</formula>
    </cfRule>
    <cfRule type="containsText" dxfId="767" priority="65" operator="containsText" text="AT">
      <formula>NOT(ISERROR(SEARCH("AT",P52)))</formula>
    </cfRule>
    <cfRule type="containsText" dxfId="766" priority="66" operator="containsText" text="MA">
      <formula>NOT(ISERROR(SEARCH("MA",P52)))</formula>
    </cfRule>
    <cfRule type="containsText" dxfId="765" priority="67" operator="containsText" text="RES">
      <formula>NOT(ISERROR(SEARCH("RES",P52)))</formula>
    </cfRule>
    <cfRule type="containsText" dxfId="764" priority="68" operator="containsText" text="CEX">
      <formula>NOT(ISERROR(SEARCH("CEX",P52)))</formula>
    </cfRule>
    <cfRule type="containsText" dxfId="763" priority="69" operator="containsText" text="RTT">
      <formula>NOT(ISERROR(SEARCH("RTT",P52)))</formula>
    </cfRule>
    <cfRule type="beginsWith" dxfId="762" priority="70" operator="beginsWith" text="CA">
      <formula>LEFT(P52,LEN("CA"))="CA"</formula>
    </cfRule>
    <cfRule type="containsText" dxfId="761" priority="71" operator="containsText" text="AST">
      <formula>NOT(ISERROR(SEARCH("AST",P52)))</formula>
    </cfRule>
    <cfRule type="containsText" dxfId="760" priority="72" operator="containsText" text="F">
      <formula>NOT(ISERROR(SEARCH("F",P52)))</formula>
    </cfRule>
    <cfRule type="containsText" dxfId="759" priority="73" operator="containsText" text="PC">
      <formula>NOT(ISERROR(SEARCH("PC",P52)))</formula>
    </cfRule>
    <cfRule type="containsText" dxfId="758" priority="74" operator="containsText" text="P">
      <formula>NOT(ISERROR(SEARCH("P",P52)))</formula>
    </cfRule>
  </conditionalFormatting>
  <conditionalFormatting sqref="P65:AT70">
    <cfRule type="containsText" dxfId="757" priority="3" operator="containsText" text="TP">
      <formula>NOT(ISERROR(SEARCH("TP",P65)))</formula>
    </cfRule>
    <cfRule type="containsText" priority="4" operator="containsText" text="TAD">
      <formula>NOT(ISERROR(SEARCH("TAD",P65)))</formula>
    </cfRule>
    <cfRule type="containsText" dxfId="756" priority="5" operator="containsText" text="AT">
      <formula>NOT(ISERROR(SEARCH("AT",P65)))</formula>
    </cfRule>
    <cfRule type="containsText" dxfId="755" priority="6" operator="containsText" text="MA">
      <formula>NOT(ISERROR(SEARCH("MA",P65)))</formula>
    </cfRule>
    <cfRule type="containsText" dxfId="754" priority="7" operator="containsText" text="RES">
      <formula>NOT(ISERROR(SEARCH("RES",P65)))</formula>
    </cfRule>
    <cfRule type="containsText" dxfId="753" priority="8" operator="containsText" text="CEX">
      <formula>NOT(ISERROR(SEARCH("CEX",P65)))</formula>
    </cfRule>
    <cfRule type="containsText" dxfId="752" priority="9" operator="containsText" text="RTT">
      <formula>NOT(ISERROR(SEARCH("RTT",P65)))</formula>
    </cfRule>
    <cfRule type="beginsWith" dxfId="751" priority="10" operator="beginsWith" text="CA">
      <formula>LEFT(P65,LEN("CA"))="CA"</formula>
    </cfRule>
    <cfRule type="containsText" dxfId="750" priority="11" operator="containsText" text="AST">
      <formula>NOT(ISERROR(SEARCH("AST",P65)))</formula>
    </cfRule>
    <cfRule type="containsText" dxfId="749" priority="12" operator="containsText" text="F">
      <formula>NOT(ISERROR(SEARCH("F",P65)))</formula>
    </cfRule>
    <cfRule type="containsText" dxfId="748" priority="13" operator="containsText" text="PC">
      <formula>NOT(ISERROR(SEARCH("PC",P65)))</formula>
    </cfRule>
    <cfRule type="containsText" dxfId="747" priority="14" operator="containsText" text="P">
      <formula>NOT(ISERROR(SEARCH("P",P65)))</formula>
    </cfRule>
  </conditionalFormatting>
  <conditionalFormatting sqref="S20">
    <cfRule type="colorScale" priority="413">
      <colorScale>
        <cfvo type="min"/>
        <cfvo type="max"/>
        <color rgb="FFFF7128"/>
        <color rgb="FFFFEF9C"/>
      </colorScale>
    </cfRule>
  </conditionalFormatting>
  <conditionalFormatting sqref="T24">
    <cfRule type="colorScale" priority="232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414">
      <colorScale>
        <cfvo type="min"/>
        <cfvo type="max"/>
        <color rgb="FFFF7128"/>
        <color rgb="FFFFEF9C"/>
      </colorScale>
    </cfRule>
  </conditionalFormatting>
  <conditionalFormatting sqref="V20:W20">
    <cfRule type="colorScale" priority="415">
      <colorScale>
        <cfvo type="min"/>
        <cfvo type="max"/>
        <color rgb="FFFF7128"/>
        <color rgb="FFFFEF9C"/>
      </colorScale>
    </cfRule>
  </conditionalFormatting>
  <conditionalFormatting sqref="X20:Y20">
    <cfRule type="colorScale" priority="416">
      <colorScale>
        <cfvo type="min"/>
        <cfvo type="max"/>
        <color rgb="FFFF7128"/>
        <color rgb="FFFFEF9C"/>
      </colorScale>
    </cfRule>
  </conditionalFormatting>
  <conditionalFormatting sqref="AH24">
    <cfRule type="colorScale" priority="219">
      <colorScale>
        <cfvo type="min"/>
        <cfvo type="max"/>
        <color rgb="FFFF7128"/>
        <color rgb="FFFFEF9C"/>
      </colorScale>
    </cfRule>
  </conditionalFormatting>
  <conditionalFormatting sqref="AH20:AT20">
    <cfRule type="colorScale" priority="441">
      <colorScale>
        <cfvo type="min"/>
        <cfvo type="max"/>
        <color rgb="FFFF7128"/>
        <color rgb="FFFFEF9C"/>
      </colorScale>
    </cfRule>
  </conditionalFormatting>
  <conditionalFormatting sqref="AO24">
    <cfRule type="colorScale" priority="2">
      <colorScale>
        <cfvo type="min"/>
        <cfvo type="max"/>
        <color rgb="FFFF7128"/>
        <color rgb="FFFFEF9C"/>
      </colorScale>
    </cfRule>
  </conditionalFormatting>
  <conditionalFormatting sqref="AT24">
    <cfRule type="colorScale" priority="1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T10" xr:uid="{00000000-0002-0000-0800-000000000000}">
      <formula1>"P,M,A,C,CEX,F,R,T,8H"</formula1>
    </dataValidation>
    <dataValidation type="list" allowBlank="1" showInputMessage="1" showErrorMessage="1" sqref="T79" xr:uid="{00000000-0002-0000-0800-000001000000}">
      <formula1>$D$9:$O$9</formula1>
    </dataValidation>
    <dataValidation type="list" allowBlank="1" showInputMessage="1" showErrorMessage="1" sqref="P11:AT20 P23:AT24 P26:AT29 P31:AT36 P39:AT50 P52:AT63 P65:AT70" xr:uid="{00000000-0002-0000-0800-000002000000}">
      <formula1>"P, PC, F, AST, CA, RTT, CEX, RES, MA, AT, TAD, TP"</formula1>
    </dataValidation>
  </dataValidations>
  <pageMargins left="0.25" right="0.25" top="0.75" bottom="0.75" header="0.3" footer="0.3"/>
  <pageSetup paperSize="8" scale="4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78"/>
  <sheetViews>
    <sheetView zoomScale="85" zoomScaleNormal="85" workbookViewId="0">
      <pane xSplit="2" ySplit="10" topLeftCell="C34" activePane="bottomRight" state="frozen"/>
      <selection pane="topRight" activeCell="AQ41" sqref="AQ41"/>
      <selection pane="bottomLeft" activeCell="AQ41" sqref="AQ41"/>
      <selection pane="bottomRight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5" width="4.28515625" style="19" customWidth="1"/>
    <col min="46" max="46" width="11.42578125" style="19" customWidth="1"/>
    <col min="47" max="47" width="4.42578125" style="19" bestFit="1" customWidth="1"/>
    <col min="48" max="55" width="3.140625" style="19" bestFit="1" customWidth="1"/>
    <col min="56" max="56" width="3.5703125" style="19" customWidth="1"/>
    <col min="57" max="57" width="3.140625" style="19" customWidth="1"/>
    <col min="58" max="58" width="11.42578125" style="19" customWidth="1"/>
    <col min="59" max="16384" width="11.42578125" style="19"/>
  </cols>
  <sheetData>
    <row r="1" spans="1:57" ht="15" customHeight="1" x14ac:dyDescent="0.25">
      <c r="A1" s="27">
        <f>config!B13</f>
        <v>46266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27">
        <f>config!C13</f>
        <v>46295</v>
      </c>
    </row>
    <row r="3" spans="1:57" ht="15" customHeight="1" x14ac:dyDescent="0.25">
      <c r="A3" s="27"/>
    </row>
    <row r="4" spans="1:57" ht="56.25" customHeight="1" x14ac:dyDescent="0.25">
      <c r="A4" s="27"/>
      <c r="P4" s="28">
        <f>A1</f>
        <v>46266</v>
      </c>
      <c r="Q4" s="28">
        <f t="shared" ref="Q4:AS4" si="0">P4+1</f>
        <v>46267</v>
      </c>
      <c r="R4" s="28">
        <f t="shared" si="0"/>
        <v>46268</v>
      </c>
      <c r="S4" s="28">
        <f t="shared" si="0"/>
        <v>46269</v>
      </c>
      <c r="T4" s="28">
        <f t="shared" si="0"/>
        <v>46270</v>
      </c>
      <c r="U4" s="28">
        <f t="shared" si="0"/>
        <v>46271</v>
      </c>
      <c r="V4" s="28">
        <f t="shared" si="0"/>
        <v>46272</v>
      </c>
      <c r="W4" s="28">
        <f t="shared" si="0"/>
        <v>46273</v>
      </c>
      <c r="X4" s="28">
        <f t="shared" si="0"/>
        <v>46274</v>
      </c>
      <c r="Y4" s="28">
        <f t="shared" si="0"/>
        <v>46275</v>
      </c>
      <c r="Z4" s="28">
        <f t="shared" si="0"/>
        <v>46276</v>
      </c>
      <c r="AA4" s="28">
        <f t="shared" si="0"/>
        <v>46277</v>
      </c>
      <c r="AB4" s="28">
        <f t="shared" si="0"/>
        <v>46278</v>
      </c>
      <c r="AC4" s="28">
        <f t="shared" si="0"/>
        <v>46279</v>
      </c>
      <c r="AD4" s="28">
        <f t="shared" si="0"/>
        <v>46280</v>
      </c>
      <c r="AE4" s="28">
        <f t="shared" si="0"/>
        <v>46281</v>
      </c>
      <c r="AF4" s="28">
        <f t="shared" si="0"/>
        <v>46282</v>
      </c>
      <c r="AG4" s="28">
        <f t="shared" si="0"/>
        <v>46283</v>
      </c>
      <c r="AH4" s="28">
        <f t="shared" si="0"/>
        <v>46284</v>
      </c>
      <c r="AI4" s="28">
        <f t="shared" si="0"/>
        <v>46285</v>
      </c>
      <c r="AJ4" s="28">
        <f t="shared" si="0"/>
        <v>46286</v>
      </c>
      <c r="AK4" s="28">
        <f t="shared" si="0"/>
        <v>46287</v>
      </c>
      <c r="AL4" s="28">
        <f t="shared" si="0"/>
        <v>46288</v>
      </c>
      <c r="AM4" s="28">
        <f t="shared" si="0"/>
        <v>46289</v>
      </c>
      <c r="AN4" s="28">
        <f t="shared" si="0"/>
        <v>46290</v>
      </c>
      <c r="AO4" s="28">
        <f t="shared" si="0"/>
        <v>46291</v>
      </c>
      <c r="AP4" s="28">
        <f t="shared" si="0"/>
        <v>46292</v>
      </c>
      <c r="AQ4" s="28">
        <f t="shared" si="0"/>
        <v>46293</v>
      </c>
      <c r="AR4" s="28">
        <f t="shared" si="0"/>
        <v>46294</v>
      </c>
      <c r="AS4" s="28">
        <f t="shared" si="0"/>
        <v>46295</v>
      </c>
      <c r="AT4" s="27"/>
      <c r="AU4" s="27"/>
      <c r="AV4" s="27"/>
      <c r="AW4" s="27"/>
      <c r="AX4" s="27"/>
      <c r="AY4" s="27"/>
      <c r="AZ4" s="27"/>
      <c r="BA4" s="27"/>
    </row>
    <row r="5" spans="1:57" x14ac:dyDescent="0.25">
      <c r="A5" s="295" t="str">
        <f>TEXT(A1,"mmmmmmmmmmmm")</f>
        <v>septembre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</row>
    <row r="6" spans="1:57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</row>
    <row r="7" spans="1:57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</row>
    <row r="8" spans="1:57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21"/>
      <c r="AJ8" s="164"/>
      <c r="AK8" s="121"/>
      <c r="AL8" s="121"/>
      <c r="AM8" s="121"/>
      <c r="AN8" s="121"/>
      <c r="AO8" s="121"/>
      <c r="AP8" s="121"/>
      <c r="AQ8" s="121"/>
      <c r="AR8" s="121"/>
      <c r="AS8" s="121"/>
    </row>
    <row r="9" spans="1:57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44">
        <f t="shared" ref="P9:AS9" si="1">IFERROR(WEEKDAY(P4),"")</f>
        <v>3</v>
      </c>
      <c r="Q9" s="44">
        <f t="shared" si="1"/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28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24">
        <f t="shared" si="1"/>
        <v>4</v>
      </c>
      <c r="AT9" s="26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25">
        <f t="shared" ref="P10:AS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6"/>
    </row>
    <row r="11" spans="1:57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87"/>
      <c r="Q11" s="20"/>
      <c r="R11" s="20"/>
      <c r="S11" s="20"/>
      <c r="T11" s="86"/>
      <c r="U11" s="86"/>
      <c r="V11" s="20"/>
      <c r="W11" s="20"/>
      <c r="X11" s="20"/>
      <c r="Y11" s="20"/>
      <c r="Z11" s="20"/>
      <c r="AA11" s="86"/>
      <c r="AB11" s="86"/>
      <c r="AC11" s="20"/>
      <c r="AD11" s="20"/>
      <c r="AE11" s="20"/>
      <c r="AF11" s="20"/>
      <c r="AG11" s="20"/>
      <c r="AH11" s="86"/>
      <c r="AI11" s="86"/>
      <c r="AJ11" s="20"/>
      <c r="AK11" s="20"/>
      <c r="AL11" s="20"/>
      <c r="AM11" s="20"/>
      <c r="AN11" s="20"/>
      <c r="AO11" s="86"/>
      <c r="AP11" s="86"/>
      <c r="AQ11" s="20"/>
      <c r="AR11" s="20"/>
      <c r="AS11" s="34"/>
      <c r="AU11" s="290" t="s">
        <v>217</v>
      </c>
      <c r="AV11" s="291"/>
      <c r="AW11" s="291"/>
      <c r="AX11" s="291"/>
      <c r="AY11" s="291"/>
      <c r="AZ11" s="291"/>
      <c r="BA11" s="291"/>
      <c r="BB11" s="291"/>
      <c r="BC11" s="291"/>
      <c r="BD11" s="291"/>
      <c r="BE11" s="292"/>
    </row>
    <row r="12" spans="1:57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90"/>
      <c r="Q12" s="8"/>
      <c r="R12" s="8"/>
      <c r="S12" s="8"/>
      <c r="T12" s="94"/>
      <c r="U12" s="94"/>
      <c r="V12" s="8"/>
      <c r="W12" s="8"/>
      <c r="X12" s="8"/>
      <c r="Y12" s="8"/>
      <c r="Z12" s="8"/>
      <c r="AA12" s="94"/>
      <c r="AB12" s="94"/>
      <c r="AC12" s="8"/>
      <c r="AD12" s="8"/>
      <c r="AE12" s="8"/>
      <c r="AF12" s="8"/>
      <c r="AG12" s="8"/>
      <c r="AH12" s="94"/>
      <c r="AI12" s="94"/>
      <c r="AJ12" s="8"/>
      <c r="AK12" s="8"/>
      <c r="AL12" s="8"/>
      <c r="AM12" s="8"/>
      <c r="AN12" s="8"/>
      <c r="AO12" s="94"/>
      <c r="AP12" s="94"/>
      <c r="AQ12" s="8"/>
      <c r="AR12" s="8"/>
      <c r="AS12" s="35"/>
      <c r="AU12" s="15" t="s">
        <v>194</v>
      </c>
      <c r="AV12" s="78" t="s">
        <v>195</v>
      </c>
      <c r="AW12" s="12" t="s">
        <v>196</v>
      </c>
      <c r="AX12" s="79" t="s">
        <v>197</v>
      </c>
      <c r="AY12" s="10" t="s">
        <v>198</v>
      </c>
      <c r="AZ12" s="80" t="s">
        <v>199</v>
      </c>
      <c r="BA12" s="11" t="s">
        <v>200</v>
      </c>
      <c r="BB12" s="81" t="s">
        <v>201</v>
      </c>
      <c r="BC12" s="82" t="s">
        <v>202</v>
      </c>
      <c r="BD12" s="83" t="s">
        <v>203</v>
      </c>
      <c r="BE12" s="16" t="s">
        <v>205</v>
      </c>
    </row>
    <row r="13" spans="1:57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90"/>
      <c r="Q13" s="8"/>
      <c r="R13" s="8"/>
      <c r="S13" s="8"/>
      <c r="T13" s="94"/>
      <c r="U13" s="94"/>
      <c r="V13" s="8"/>
      <c r="W13" s="8"/>
      <c r="X13" s="8"/>
      <c r="Y13" s="8"/>
      <c r="Z13" s="8"/>
      <c r="AA13" s="94"/>
      <c r="AB13" s="94"/>
      <c r="AC13" s="8"/>
      <c r="AD13" s="8"/>
      <c r="AE13" s="8"/>
      <c r="AF13" s="8"/>
      <c r="AG13" s="8"/>
      <c r="AH13" s="94"/>
      <c r="AI13" s="94"/>
      <c r="AJ13" s="8"/>
      <c r="AK13" s="8"/>
      <c r="AL13" s="8"/>
      <c r="AM13" s="8"/>
      <c r="AN13" s="8"/>
      <c r="AO13" s="94"/>
      <c r="AP13" s="94"/>
      <c r="AQ13" s="8"/>
      <c r="AR13" s="8"/>
      <c r="AS13" s="35"/>
      <c r="AU13" s="19">
        <f>COUNTIF(P11:AS29,"p")</f>
        <v>0</v>
      </c>
      <c r="AV13" s="19">
        <f>COUNTIF(P11:AS29,"PC")</f>
        <v>0</v>
      </c>
      <c r="AW13" s="19">
        <f>COUNTIF(P11:AS29,"f")</f>
        <v>0</v>
      </c>
      <c r="AX13" s="19">
        <f>COUNTIF(P11:AS29,"ast")</f>
        <v>0</v>
      </c>
      <c r="AY13" s="19">
        <f>COUNTIF(P11:AS29,"ca")</f>
        <v>0</v>
      </c>
      <c r="AZ13" s="19">
        <f>COUNTIF(P11:AS29,"rtt")</f>
        <v>0</v>
      </c>
      <c r="BA13" s="19">
        <f>COUNTIF(P11:AS29,"CEX")</f>
        <v>0</v>
      </c>
      <c r="BB13" s="19">
        <f>COUNTIF(P11:AS29,"RES")</f>
        <v>0</v>
      </c>
      <c r="BC13" s="19">
        <f>COUNTIF(P11:AS29,"MA")</f>
        <v>0</v>
      </c>
      <c r="BD13" s="19">
        <f>COUNTIF(P11:AS29,"AT")</f>
        <v>0</v>
      </c>
      <c r="BE13" s="19">
        <f>COUNTIF(P11:AS29,"TP")</f>
        <v>0</v>
      </c>
    </row>
    <row r="14" spans="1:57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90"/>
      <c r="Q14" s="8"/>
      <c r="R14" s="8"/>
      <c r="S14" s="8"/>
      <c r="T14" s="94"/>
      <c r="U14" s="94"/>
      <c r="V14" s="8"/>
      <c r="W14" s="8"/>
      <c r="X14" s="8"/>
      <c r="Y14" s="8"/>
      <c r="Z14" s="8"/>
      <c r="AA14" s="94"/>
      <c r="AB14" s="94"/>
      <c r="AC14" s="8"/>
      <c r="AD14" s="8"/>
      <c r="AE14" s="8"/>
      <c r="AF14" s="8"/>
      <c r="AG14" s="8"/>
      <c r="AH14" s="94"/>
      <c r="AI14" s="94"/>
      <c r="AJ14" s="8"/>
      <c r="AK14" s="8"/>
      <c r="AL14" s="8"/>
      <c r="AM14" s="8"/>
      <c r="AN14" s="8"/>
      <c r="AO14" s="94"/>
      <c r="AP14" s="94"/>
      <c r="AQ14" s="8"/>
      <c r="AR14" s="8"/>
      <c r="AS14" s="35"/>
    </row>
    <row r="15" spans="1:57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90"/>
      <c r="Q15" s="8"/>
      <c r="R15" s="8"/>
      <c r="S15" s="8"/>
      <c r="T15" s="94"/>
      <c r="U15" s="94"/>
      <c r="V15" s="8"/>
      <c r="W15" s="8"/>
      <c r="X15" s="8"/>
      <c r="Y15" s="8"/>
      <c r="Z15" s="8"/>
      <c r="AA15" s="94"/>
      <c r="AB15" s="94"/>
      <c r="AC15" s="8"/>
      <c r="AD15" s="8"/>
      <c r="AE15" s="8"/>
      <c r="AF15" s="8"/>
      <c r="AG15" s="8"/>
      <c r="AH15" s="94"/>
      <c r="AI15" s="94"/>
      <c r="AJ15" s="8"/>
      <c r="AK15" s="8"/>
      <c r="AL15" s="8"/>
      <c r="AM15" s="8"/>
      <c r="AN15" s="8"/>
      <c r="AO15" s="94"/>
      <c r="AP15" s="94"/>
      <c r="AQ15" s="8"/>
      <c r="AR15" s="8"/>
      <c r="AS15" s="35"/>
    </row>
    <row r="16" spans="1:57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90"/>
      <c r="Q16" s="8"/>
      <c r="R16" s="8"/>
      <c r="S16" s="8"/>
      <c r="T16" s="94"/>
      <c r="U16" s="94"/>
      <c r="V16" s="8"/>
      <c r="W16" s="8"/>
      <c r="X16" s="8"/>
      <c r="Y16" s="8"/>
      <c r="Z16" s="8"/>
      <c r="AA16" s="94"/>
      <c r="AB16" s="94"/>
      <c r="AC16" s="8"/>
      <c r="AD16" s="8"/>
      <c r="AE16" s="8"/>
      <c r="AF16" s="8"/>
      <c r="AG16" s="8"/>
      <c r="AH16" s="94"/>
      <c r="AI16" s="94"/>
      <c r="AJ16" s="8"/>
      <c r="AK16" s="8"/>
      <c r="AL16" s="8"/>
      <c r="AM16" s="8"/>
      <c r="AN16" s="8"/>
      <c r="AO16" s="94"/>
      <c r="AP16" s="94"/>
      <c r="AQ16" s="8"/>
      <c r="AR16" s="8"/>
      <c r="AS16" s="35"/>
    </row>
    <row r="17" spans="1:46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90"/>
      <c r="Q17" s="8"/>
      <c r="R17" s="8"/>
      <c r="S17" s="8"/>
      <c r="T17" s="94"/>
      <c r="U17" s="94"/>
      <c r="V17" s="8"/>
      <c r="W17" s="8"/>
      <c r="X17" s="8"/>
      <c r="Y17" s="8"/>
      <c r="Z17" s="8"/>
      <c r="AA17" s="94"/>
      <c r="AB17" s="94"/>
      <c r="AC17" s="8"/>
      <c r="AD17" s="8"/>
      <c r="AE17" s="8"/>
      <c r="AF17" s="8"/>
      <c r="AG17" s="8"/>
      <c r="AH17" s="94"/>
      <c r="AI17" s="94"/>
      <c r="AJ17" s="8"/>
      <c r="AK17" s="8"/>
      <c r="AL17" s="8"/>
      <c r="AM17" s="8"/>
      <c r="AN17" s="8"/>
      <c r="AO17" s="94"/>
      <c r="AP17" s="94"/>
      <c r="AQ17" s="8"/>
      <c r="AR17" s="8"/>
      <c r="AS17" s="35"/>
    </row>
    <row r="18" spans="1:46" ht="20.100000000000001" customHeight="1" thickBot="1" x14ac:dyDescent="0.3">
      <c r="A18" s="263"/>
      <c r="B18" s="264"/>
      <c r="C18" s="265"/>
      <c r="D18" s="266">
        <f t="shared" si="3"/>
        <v>0</v>
      </c>
      <c r="E18" s="267">
        <f t="shared" si="4"/>
        <v>0</v>
      </c>
      <c r="F18" s="267">
        <f t="shared" si="5"/>
        <v>0</v>
      </c>
      <c r="G18" s="267">
        <f t="shared" si="6"/>
        <v>0</v>
      </c>
      <c r="H18" s="267">
        <f t="shared" si="7"/>
        <v>0</v>
      </c>
      <c r="I18" s="267">
        <f t="shared" si="8"/>
        <v>0</v>
      </c>
      <c r="J18" s="267">
        <f t="shared" si="9"/>
        <v>0</v>
      </c>
      <c r="K18" s="267">
        <f t="shared" si="10"/>
        <v>0</v>
      </c>
      <c r="L18" s="267">
        <f t="shared" si="11"/>
        <v>0</v>
      </c>
      <c r="M18" s="267">
        <f t="shared" si="12"/>
        <v>0</v>
      </c>
      <c r="N18" s="267">
        <f t="shared" si="13"/>
        <v>0</v>
      </c>
      <c r="O18" s="268">
        <f t="shared" si="14"/>
        <v>0</v>
      </c>
      <c r="P18" s="269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1"/>
    </row>
    <row r="19" spans="1:46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90"/>
      <c r="Q19" s="8"/>
      <c r="R19" s="8"/>
      <c r="S19" s="8"/>
      <c r="T19" s="94"/>
      <c r="U19" s="94"/>
      <c r="V19" s="8"/>
      <c r="W19" s="8"/>
      <c r="X19" s="8"/>
      <c r="Y19" s="8"/>
      <c r="Z19" s="8"/>
      <c r="AA19" s="94"/>
      <c r="AB19" s="94"/>
      <c r="AC19" s="8"/>
      <c r="AD19" s="8"/>
      <c r="AE19" s="8"/>
      <c r="AF19" s="8"/>
      <c r="AG19" s="8"/>
      <c r="AH19" s="94"/>
      <c r="AI19" s="94"/>
      <c r="AJ19" s="8"/>
      <c r="AK19" s="8"/>
      <c r="AL19" s="8"/>
      <c r="AM19" s="8"/>
      <c r="AN19" s="8"/>
      <c r="AO19" s="94"/>
      <c r="AP19" s="94"/>
      <c r="AQ19" s="8"/>
      <c r="AR19" s="8"/>
      <c r="AS19" s="35"/>
    </row>
    <row r="20" spans="1:46" ht="20.100000000000001" customHeight="1" thickBot="1" x14ac:dyDescent="0.3">
      <c r="A20" s="31" t="str">
        <f>IFERROR(IF(config!E12="","",config!E12),"")</f>
        <v>N017539</v>
      </c>
      <c r="B20" s="42" t="str">
        <f>IFERROR(IF(config!F12="","",config!F12),"")</f>
        <v>VRBOVSKA</v>
      </c>
      <c r="C20" s="70" t="str">
        <f>IFERROR(IF(config!G12="","",config!G12),"")</f>
        <v>Xavier</v>
      </c>
      <c r="D20" s="88">
        <f t="shared" si="3"/>
        <v>0</v>
      </c>
      <c r="E20" s="89">
        <f t="shared" si="4"/>
        <v>0</v>
      </c>
      <c r="F20" s="89">
        <f t="shared" si="5"/>
        <v>0</v>
      </c>
      <c r="G20" s="89">
        <f t="shared" si="6"/>
        <v>0</v>
      </c>
      <c r="H20" s="89">
        <f t="shared" si="7"/>
        <v>0</v>
      </c>
      <c r="I20" s="89">
        <f t="shared" si="8"/>
        <v>0</v>
      </c>
      <c r="J20" s="89">
        <f t="shared" si="9"/>
        <v>0</v>
      </c>
      <c r="K20" s="89">
        <f t="shared" si="10"/>
        <v>0</v>
      </c>
      <c r="L20" s="89">
        <f t="shared" si="11"/>
        <v>0</v>
      </c>
      <c r="M20" s="89">
        <f t="shared" si="12"/>
        <v>0</v>
      </c>
      <c r="N20" s="89">
        <f t="shared" si="13"/>
        <v>0</v>
      </c>
      <c r="O20" s="93">
        <f t="shared" si="14"/>
        <v>0</v>
      </c>
      <c r="P20" s="91"/>
      <c r="Q20" s="21"/>
      <c r="R20" s="21"/>
      <c r="S20" s="21"/>
      <c r="T20" s="95"/>
      <c r="U20" s="95"/>
      <c r="V20" s="21"/>
      <c r="W20" s="21"/>
      <c r="X20" s="21"/>
      <c r="Y20" s="21"/>
      <c r="Z20" s="21"/>
      <c r="AA20" s="95"/>
      <c r="AB20" s="95"/>
      <c r="AC20" s="21"/>
      <c r="AD20" s="21"/>
      <c r="AE20" s="21"/>
      <c r="AF20" s="21"/>
      <c r="AG20" s="21"/>
      <c r="AH20" s="95"/>
      <c r="AI20" s="95"/>
      <c r="AJ20" s="21"/>
      <c r="AK20" s="21"/>
      <c r="AL20" s="21"/>
      <c r="AM20" s="21"/>
      <c r="AN20" s="21"/>
      <c r="AO20" s="95"/>
      <c r="AP20" s="95"/>
      <c r="AQ20" s="21"/>
      <c r="AR20" s="21"/>
      <c r="AS20" s="36"/>
    </row>
    <row r="21" spans="1:46" ht="20.100000000000001" customHeight="1" thickBot="1" x14ac:dyDescent="0.3">
      <c r="A21" s="191" t="str">
        <f>IFERROR(IF(config!E13="","",config!E13),"")</f>
        <v>MAINTENANCE</v>
      </c>
      <c r="B21" s="99"/>
      <c r="C21" s="99"/>
      <c r="D21" s="192"/>
      <c r="E21" s="193"/>
      <c r="F21" s="193"/>
      <c r="G21" s="193"/>
      <c r="H21" s="193"/>
      <c r="I21" s="193"/>
      <c r="J21" s="193"/>
      <c r="K21" s="194"/>
      <c r="L21" s="195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100"/>
      <c r="AR21" s="100"/>
      <c r="AS21" s="100"/>
    </row>
    <row r="22" spans="1:46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</row>
    <row r="23" spans="1:46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92">
        <f>COUNTIF(P23:AS23,"TP")</f>
        <v>0</v>
      </c>
      <c r="P23" s="87"/>
      <c r="Q23" s="20"/>
      <c r="R23" s="20"/>
      <c r="S23" s="20"/>
      <c r="T23" s="86"/>
      <c r="U23" s="86"/>
      <c r="V23" s="20"/>
      <c r="W23" s="20"/>
      <c r="X23" s="20"/>
      <c r="Y23" s="20"/>
      <c r="Z23" s="20"/>
      <c r="AA23" s="86"/>
      <c r="AB23" s="86"/>
      <c r="AC23" s="20"/>
      <c r="AD23" s="20"/>
      <c r="AE23" s="20"/>
      <c r="AF23" s="20"/>
      <c r="AG23" s="20"/>
      <c r="AH23" s="86"/>
      <c r="AI23" s="86"/>
      <c r="AJ23" s="20"/>
      <c r="AK23" s="20"/>
      <c r="AL23" s="20"/>
      <c r="AM23" s="20"/>
      <c r="AN23" s="20"/>
      <c r="AO23" s="86"/>
      <c r="AP23" s="86"/>
      <c r="AQ23" s="20"/>
      <c r="AR23" s="20"/>
      <c r="AS23" s="34"/>
    </row>
    <row r="24" spans="1:46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7">
        <f>COUNTIF(P24:AS24,"p")</f>
        <v>0</v>
      </c>
      <c r="E24" s="20">
        <f>COUNTIF(P24:AS24,"PC")</f>
        <v>0</v>
      </c>
      <c r="F24" s="20">
        <f>COUNTIF(P24:AS24,"f")</f>
        <v>0</v>
      </c>
      <c r="G24" s="20">
        <f>COUNTIF(P24:AS24,"ast")</f>
        <v>0</v>
      </c>
      <c r="H24" s="20">
        <f>COUNTIF(P24:AS24,"cA")</f>
        <v>0</v>
      </c>
      <c r="I24" s="20">
        <f>COUNTIF(P24:AS24,"rtt")</f>
        <v>0</v>
      </c>
      <c r="J24" s="20">
        <f>COUNTIF(P24:AS24,"cex")</f>
        <v>0</v>
      </c>
      <c r="K24" s="20">
        <f>COUNTIF(P24:AS24,"res")</f>
        <v>0</v>
      </c>
      <c r="L24" s="20">
        <f>COUNTIF(P24:AS24,"mA")</f>
        <v>0</v>
      </c>
      <c r="M24" s="20">
        <f>COUNTIF(P24:AS24,"at")</f>
        <v>0</v>
      </c>
      <c r="N24" s="20">
        <f>COUNTIF(P24:AS24,"TAD")</f>
        <v>0</v>
      </c>
      <c r="O24" s="92">
        <f>COUNTIF(P24:AS24,"TP")</f>
        <v>0</v>
      </c>
      <c r="P24" s="91"/>
      <c r="Q24" s="21"/>
      <c r="R24" s="21"/>
      <c r="S24" s="21"/>
      <c r="T24" s="95"/>
      <c r="U24" s="95"/>
      <c r="V24" s="21"/>
      <c r="W24" s="21"/>
      <c r="X24" s="21"/>
      <c r="Y24" s="21"/>
      <c r="Z24" s="21"/>
      <c r="AA24" s="95"/>
      <c r="AB24" s="95"/>
      <c r="AC24" s="21"/>
      <c r="AD24" s="21"/>
      <c r="AE24" s="21"/>
      <c r="AF24" s="21"/>
      <c r="AG24" s="21"/>
      <c r="AH24" s="95"/>
      <c r="AI24" s="95"/>
      <c r="AJ24" s="21"/>
      <c r="AK24" s="21"/>
      <c r="AL24" s="21"/>
      <c r="AM24" s="21"/>
      <c r="AN24" s="21"/>
      <c r="AO24" s="95"/>
      <c r="AP24" s="95"/>
      <c r="AQ24" s="21"/>
      <c r="AR24" s="21"/>
      <c r="AS24" s="36"/>
    </row>
    <row r="25" spans="1:46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</row>
    <row r="26" spans="1:46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92">
        <f>COUNTIF(P26:AS26,"TP")</f>
        <v>0</v>
      </c>
      <c r="P26" s="87"/>
      <c r="Q26" s="20"/>
      <c r="R26" s="20"/>
      <c r="S26" s="20"/>
      <c r="T26" s="86"/>
      <c r="U26" s="86"/>
      <c r="V26" s="20"/>
      <c r="W26" s="20"/>
      <c r="X26" s="20"/>
      <c r="Y26" s="20"/>
      <c r="Z26" s="20"/>
      <c r="AA26" s="86"/>
      <c r="AB26" s="86"/>
      <c r="AC26" s="20"/>
      <c r="AD26" s="20"/>
      <c r="AE26" s="20"/>
      <c r="AF26" s="20"/>
      <c r="AG26" s="20"/>
      <c r="AH26" s="86"/>
      <c r="AI26" s="86"/>
      <c r="AJ26" s="20"/>
      <c r="AK26" s="20"/>
      <c r="AL26" s="20"/>
      <c r="AM26" s="20"/>
      <c r="AN26" s="20"/>
      <c r="AO26" s="86"/>
      <c r="AP26" s="86"/>
      <c r="AQ26" s="20"/>
      <c r="AR26" s="20"/>
      <c r="AS26" s="34"/>
    </row>
    <row r="27" spans="1:46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92">
        <f>COUNTIF(P27:AS27,"TP")</f>
        <v>0</v>
      </c>
      <c r="P27" s="90"/>
      <c r="Q27" s="8"/>
      <c r="R27" s="8"/>
      <c r="S27" s="8"/>
      <c r="T27" s="94"/>
      <c r="U27" s="94"/>
      <c r="V27" s="8"/>
      <c r="W27" s="8"/>
      <c r="X27" s="8"/>
      <c r="Y27" s="8"/>
      <c r="Z27" s="8"/>
      <c r="AA27" s="94"/>
      <c r="AB27" s="94"/>
      <c r="AC27" s="8"/>
      <c r="AD27" s="8"/>
      <c r="AE27" s="8"/>
      <c r="AF27" s="8"/>
      <c r="AG27" s="8"/>
      <c r="AH27" s="94"/>
      <c r="AI27" s="94"/>
      <c r="AJ27" s="8"/>
      <c r="AK27" s="8"/>
      <c r="AL27" s="8"/>
      <c r="AM27" s="8"/>
      <c r="AN27" s="8"/>
      <c r="AO27" s="94"/>
      <c r="AP27" s="94"/>
      <c r="AQ27" s="8"/>
      <c r="AR27" s="8"/>
      <c r="AS27" s="35"/>
    </row>
    <row r="28" spans="1:46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92">
        <f>COUNTIF(P28:AS28,"TP")</f>
        <v>0</v>
      </c>
      <c r="P28" s="90"/>
      <c r="Q28" s="8"/>
      <c r="R28" s="8"/>
      <c r="S28" s="8"/>
      <c r="T28" s="94"/>
      <c r="U28" s="94"/>
      <c r="V28" s="8"/>
      <c r="W28" s="8"/>
      <c r="X28" s="8"/>
      <c r="Y28" s="8"/>
      <c r="Z28" s="8"/>
      <c r="AA28" s="94"/>
      <c r="AB28" s="94"/>
      <c r="AC28" s="8"/>
      <c r="AD28" s="8"/>
      <c r="AE28" s="8"/>
      <c r="AF28" s="8"/>
      <c r="AG28" s="8"/>
      <c r="AH28" s="94"/>
      <c r="AI28" s="94"/>
      <c r="AJ28" s="8"/>
      <c r="AK28" s="8"/>
      <c r="AL28" s="8"/>
      <c r="AM28" s="8"/>
      <c r="AN28" s="8"/>
      <c r="AO28" s="94"/>
      <c r="AP28" s="94"/>
      <c r="AQ28" s="8"/>
      <c r="AR28" s="8"/>
      <c r="AS28" s="35"/>
    </row>
    <row r="29" spans="1:46" ht="20.100000000000001" customHeight="1" thickBot="1" x14ac:dyDescent="0.3">
      <c r="A29" s="31" t="str">
        <f>IFERROR(IF(config!E21="","",config!E21),"")</f>
        <v>C005216</v>
      </c>
      <c r="B29" s="42" t="str">
        <f>IFERROR(IF(config!F21="","",config!F21),"")</f>
        <v>PIEL</v>
      </c>
      <c r="C29" s="70" t="str">
        <f>IFERROR(IF(config!G21="","",config!G21),"")</f>
        <v>Frédy</v>
      </c>
      <c r="D29" s="87">
        <f>COUNTIF(P29:AS29,"p")</f>
        <v>0</v>
      </c>
      <c r="E29" s="20">
        <f>COUNTIF(P29:AS29,"PC")</f>
        <v>0</v>
      </c>
      <c r="F29" s="20">
        <f>COUNTIF(P29:AS29,"f")</f>
        <v>0</v>
      </c>
      <c r="G29" s="20">
        <f>COUNTIF(P29:AS29,"ast")</f>
        <v>0</v>
      </c>
      <c r="H29" s="20">
        <f>COUNTIF(P29:AS29,"cA")</f>
        <v>0</v>
      </c>
      <c r="I29" s="20">
        <f>COUNTIF(P29:AS29,"rtt")</f>
        <v>0</v>
      </c>
      <c r="J29" s="20">
        <f>COUNTIF(P29:AS29,"cex")</f>
        <v>0</v>
      </c>
      <c r="K29" s="20">
        <f>COUNTIF(P29:AS29,"res")</f>
        <v>0</v>
      </c>
      <c r="L29" s="20">
        <f>COUNTIF(P29:AS29,"mA")</f>
        <v>0</v>
      </c>
      <c r="M29" s="20">
        <f>COUNTIF(P29:AS29,"at")</f>
        <v>0</v>
      </c>
      <c r="N29" s="20">
        <f>COUNTIF(P29:AS29,"TAD")</f>
        <v>0</v>
      </c>
      <c r="O29" s="92">
        <f>COUNTIF(P29:AS29,"TP")</f>
        <v>0</v>
      </c>
      <c r="P29" s="163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126"/>
    </row>
    <row r="30" spans="1:46" ht="20.100000000000001" customHeight="1" thickBot="1" x14ac:dyDescent="0.3">
      <c r="A30" s="220" t="str">
        <f>IFERROR(IF(config!E22="","",config!E22),"")</f>
        <v>PROPRETE</v>
      </c>
      <c r="B30" s="221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72"/>
      <c r="AR30" s="272"/>
      <c r="AS30" s="272"/>
      <c r="AT30" s="262"/>
    </row>
    <row r="31" spans="1:46" ht="20.100000000000001" customHeight="1" thickBot="1" x14ac:dyDescent="0.3">
      <c r="A31" s="31" t="str">
        <f>IFERROR(IF(config!E23="","",config!E23),"")</f>
        <v>JN020502</v>
      </c>
      <c r="B31" s="42" t="str">
        <f>IFERROR(IF(config!F23="","",config!F23),"")</f>
        <v>GOURVIAT</v>
      </c>
      <c r="C31" s="70" t="str">
        <f>IFERROR(IF(config!G23="","",config!G23),"")</f>
        <v>Annabelle</v>
      </c>
      <c r="D31" s="87">
        <f t="shared" ref="D31:D36" si="15">COUNTIF(P31:AS31,"p")</f>
        <v>0</v>
      </c>
      <c r="E31" s="20">
        <f t="shared" ref="E31:E36" si="16">COUNTIF(P31:AS31,"PC")</f>
        <v>0</v>
      </c>
      <c r="F31" s="20">
        <f t="shared" ref="F31:F36" si="17">COUNTIF(P31:AS31,"f")</f>
        <v>0</v>
      </c>
      <c r="G31" s="20">
        <f t="shared" ref="G31:G36" si="18">COUNTIF(P31:AS31,"ast")</f>
        <v>0</v>
      </c>
      <c r="H31" s="20">
        <f t="shared" ref="H31:H36" si="19">COUNTIF(P31:AS31,"cA")</f>
        <v>0</v>
      </c>
      <c r="I31" s="20">
        <f t="shared" ref="I31:I36" si="20">COUNTIF(P31:AS31,"rtt")</f>
        <v>0</v>
      </c>
      <c r="J31" s="20">
        <f t="shared" ref="J31:J36" si="21">COUNTIF(P31:AS31,"cex")</f>
        <v>0</v>
      </c>
      <c r="K31" s="20">
        <f t="shared" ref="K31:K36" si="22">COUNTIF(P31:AS31,"res")</f>
        <v>0</v>
      </c>
      <c r="L31" s="20">
        <f t="shared" ref="L31:L36" si="23">COUNTIF(P31:AS31,"mA")</f>
        <v>0</v>
      </c>
      <c r="M31" s="20">
        <f t="shared" ref="M31:M36" si="24">COUNTIF(P31:AS31,"at")</f>
        <v>0</v>
      </c>
      <c r="N31" s="20">
        <f t="shared" ref="N31:N36" si="25">COUNTIF(P31:AS31,"TAD")</f>
        <v>0</v>
      </c>
      <c r="O31" s="92">
        <f t="shared" ref="O31:O36" si="26">COUNTIF(P31:AS31,"TP")</f>
        <v>0</v>
      </c>
      <c r="P31" s="87"/>
      <c r="Q31" s="20"/>
      <c r="R31" s="20"/>
      <c r="S31" s="20"/>
      <c r="T31" s="86"/>
      <c r="U31" s="86"/>
      <c r="V31" s="20"/>
      <c r="W31" s="20"/>
      <c r="X31" s="20"/>
      <c r="Y31" s="20"/>
      <c r="Z31" s="20"/>
      <c r="AA31" s="86"/>
      <c r="AB31" s="86"/>
      <c r="AC31" s="20"/>
      <c r="AD31" s="20"/>
      <c r="AE31" s="20"/>
      <c r="AF31" s="20"/>
      <c r="AG31" s="20"/>
      <c r="AH31" s="86"/>
      <c r="AI31" s="86"/>
      <c r="AJ31" s="20"/>
      <c r="AK31" s="20"/>
      <c r="AL31" s="20"/>
      <c r="AM31" s="20"/>
      <c r="AN31" s="20"/>
      <c r="AO31" s="86"/>
      <c r="AP31" s="86"/>
      <c r="AQ31" s="20"/>
      <c r="AR31" s="20"/>
      <c r="AS31" s="20"/>
    </row>
    <row r="32" spans="1:46" ht="20.100000000000001" customHeight="1" thickBot="1" x14ac:dyDescent="0.3">
      <c r="A32" s="31" t="str">
        <f>IFERROR(IF(config!E24="","",config!E24),"")</f>
        <v>JT032516</v>
      </c>
      <c r="B32" s="42" t="str">
        <f>IFERROR(IF(config!F24="","",config!F24),"")</f>
        <v>LARTIGUE</v>
      </c>
      <c r="C32" s="70" t="str">
        <f>IFERROR(IF(config!G24="","",config!G24),"")</f>
        <v>Laura</v>
      </c>
      <c r="D32" s="87">
        <f t="shared" si="15"/>
        <v>0</v>
      </c>
      <c r="E32" s="20">
        <f t="shared" si="16"/>
        <v>0</v>
      </c>
      <c r="F32" s="20">
        <f t="shared" si="17"/>
        <v>0</v>
      </c>
      <c r="G32" s="20">
        <f t="shared" si="18"/>
        <v>0</v>
      </c>
      <c r="H32" s="20">
        <f t="shared" si="19"/>
        <v>0</v>
      </c>
      <c r="I32" s="20">
        <f t="shared" si="20"/>
        <v>0</v>
      </c>
      <c r="J32" s="20">
        <f t="shared" si="21"/>
        <v>0</v>
      </c>
      <c r="K32" s="20">
        <f t="shared" si="22"/>
        <v>0</v>
      </c>
      <c r="L32" s="20">
        <f t="shared" si="23"/>
        <v>0</v>
      </c>
      <c r="M32" s="20">
        <f t="shared" si="24"/>
        <v>0</v>
      </c>
      <c r="N32" s="20">
        <f t="shared" si="25"/>
        <v>0</v>
      </c>
      <c r="O32" s="92">
        <f t="shared" si="26"/>
        <v>0</v>
      </c>
      <c r="P32" s="90"/>
      <c r="Q32" s="8"/>
      <c r="R32" s="8"/>
      <c r="S32" s="8"/>
      <c r="T32" s="94"/>
      <c r="U32" s="94"/>
      <c r="V32" s="8"/>
      <c r="W32" s="8"/>
      <c r="X32" s="8"/>
      <c r="Y32" s="8"/>
      <c r="Z32" s="8"/>
      <c r="AA32" s="94"/>
      <c r="AB32" s="94"/>
      <c r="AC32" s="8"/>
      <c r="AD32" s="8"/>
      <c r="AE32" s="8"/>
      <c r="AF32" s="8"/>
      <c r="AG32" s="8"/>
      <c r="AH32" s="94"/>
      <c r="AI32" s="94"/>
      <c r="AJ32" s="8"/>
      <c r="AK32" s="8"/>
      <c r="AL32" s="8"/>
      <c r="AM32" s="8"/>
      <c r="AN32" s="8"/>
      <c r="AO32" s="94"/>
      <c r="AP32" s="94"/>
      <c r="AQ32" s="8"/>
      <c r="AR32" s="8"/>
      <c r="AS32" s="8"/>
    </row>
    <row r="33" spans="1:57" ht="20.100000000000001" customHeight="1" thickBot="1" x14ac:dyDescent="0.3">
      <c r="A33" s="31" t="str">
        <f>IFERROR(IF(config!E25="","",config!E25),"")</f>
        <v>JN010897</v>
      </c>
      <c r="B33" s="42" t="str">
        <f>IFERROR(IF(config!F25="","",config!F25),"")</f>
        <v>TRIQUENEAUX</v>
      </c>
      <c r="C33" s="70" t="str">
        <f>IFERROR(IF(config!G25="","",config!G25),"")</f>
        <v>Benoit</v>
      </c>
      <c r="D33" s="87">
        <f t="shared" si="15"/>
        <v>0</v>
      </c>
      <c r="E33" s="20">
        <f t="shared" si="16"/>
        <v>0</v>
      </c>
      <c r="F33" s="20">
        <f t="shared" si="17"/>
        <v>0</v>
      </c>
      <c r="G33" s="20">
        <f t="shared" si="18"/>
        <v>0</v>
      </c>
      <c r="H33" s="20">
        <f t="shared" si="19"/>
        <v>0</v>
      </c>
      <c r="I33" s="20">
        <f t="shared" si="20"/>
        <v>0</v>
      </c>
      <c r="J33" s="20">
        <f t="shared" si="21"/>
        <v>0</v>
      </c>
      <c r="K33" s="20">
        <f t="shared" si="22"/>
        <v>0</v>
      </c>
      <c r="L33" s="20">
        <f t="shared" si="23"/>
        <v>0</v>
      </c>
      <c r="M33" s="20">
        <f t="shared" si="24"/>
        <v>0</v>
      </c>
      <c r="N33" s="20">
        <f t="shared" si="25"/>
        <v>0</v>
      </c>
      <c r="O33" s="92">
        <f t="shared" si="26"/>
        <v>0</v>
      </c>
      <c r="P33" s="90"/>
      <c r="Q33" s="8"/>
      <c r="R33" s="8"/>
      <c r="S33" s="8"/>
      <c r="T33" s="94"/>
      <c r="U33" s="94"/>
      <c r="V33" s="8"/>
      <c r="W33" s="8"/>
      <c r="X33" s="8"/>
      <c r="Y33" s="8"/>
      <c r="Z33" s="8"/>
      <c r="AA33" s="94"/>
      <c r="AB33" s="94"/>
      <c r="AC33" s="8"/>
      <c r="AD33" s="8"/>
      <c r="AE33" s="8"/>
      <c r="AF33" s="8"/>
      <c r="AG33" s="8"/>
      <c r="AH33" s="94"/>
      <c r="AI33" s="94"/>
      <c r="AJ33" s="8"/>
      <c r="AK33" s="8"/>
      <c r="AL33" s="8"/>
      <c r="AM33" s="8"/>
      <c r="AN33" s="8"/>
      <c r="AO33" s="94"/>
      <c r="AP33" s="94"/>
      <c r="AQ33" s="8"/>
      <c r="AR33" s="8"/>
      <c r="AS33" s="8"/>
    </row>
    <row r="34" spans="1:57" ht="20.100000000000001" customHeight="1" thickBot="1" x14ac:dyDescent="0.3">
      <c r="A34" s="31" t="str">
        <f>IFERROR(IF(config!E26="","",config!E26),"")</f>
        <v>JN010381</v>
      </c>
      <c r="B34" s="42" t="str">
        <f>IFERROR(IF(config!F26="","",config!F26),"")</f>
        <v>ESPERON</v>
      </c>
      <c r="C34" s="70" t="str">
        <f>IFERROR(IF(config!G26="","",config!G26),"")</f>
        <v>Alain</v>
      </c>
      <c r="D34" s="87">
        <f t="shared" si="15"/>
        <v>0</v>
      </c>
      <c r="E34" s="20">
        <f t="shared" si="16"/>
        <v>0</v>
      </c>
      <c r="F34" s="20">
        <f t="shared" si="17"/>
        <v>0</v>
      </c>
      <c r="G34" s="20">
        <f t="shared" si="18"/>
        <v>0</v>
      </c>
      <c r="H34" s="20">
        <f t="shared" si="19"/>
        <v>0</v>
      </c>
      <c r="I34" s="20">
        <f t="shared" si="20"/>
        <v>0</v>
      </c>
      <c r="J34" s="20">
        <f t="shared" si="21"/>
        <v>0</v>
      </c>
      <c r="K34" s="20">
        <f t="shared" si="22"/>
        <v>0</v>
      </c>
      <c r="L34" s="20">
        <f t="shared" si="23"/>
        <v>0</v>
      </c>
      <c r="M34" s="20">
        <f t="shared" si="24"/>
        <v>0</v>
      </c>
      <c r="N34" s="20">
        <f t="shared" si="25"/>
        <v>0</v>
      </c>
      <c r="O34" s="92">
        <f t="shared" si="26"/>
        <v>0</v>
      </c>
      <c r="P34" s="90"/>
      <c r="Q34" s="8"/>
      <c r="R34" s="8"/>
      <c r="S34" s="8"/>
      <c r="T34" s="94"/>
      <c r="U34" s="94"/>
      <c r="V34" s="8"/>
      <c r="W34" s="8"/>
      <c r="X34" s="8"/>
      <c r="Y34" s="8"/>
      <c r="Z34" s="8"/>
      <c r="AA34" s="94"/>
      <c r="AB34" s="94"/>
      <c r="AC34" s="8"/>
      <c r="AD34" s="8"/>
      <c r="AE34" s="8"/>
      <c r="AF34" s="8"/>
      <c r="AG34" s="8"/>
      <c r="AH34" s="94"/>
      <c r="AI34" s="94"/>
      <c r="AJ34" s="8"/>
      <c r="AK34" s="8"/>
      <c r="AL34" s="8"/>
      <c r="AM34" s="8"/>
      <c r="AN34" s="8"/>
      <c r="AO34" s="94"/>
      <c r="AP34" s="94"/>
      <c r="AQ34" s="8"/>
      <c r="AR34" s="8"/>
      <c r="AS34" s="8"/>
    </row>
    <row r="35" spans="1:57" ht="20.100000000000001" customHeight="1" thickBot="1" x14ac:dyDescent="0.3">
      <c r="A35" s="31" t="str">
        <f>IFERROR(IF(config!E27="","",config!E27),"")</f>
        <v>JN010750</v>
      </c>
      <c r="B35" s="42" t="str">
        <f>IFERROR(IF(config!F27="","",config!F27),"")</f>
        <v>ROUGLAN</v>
      </c>
      <c r="C35" s="70" t="str">
        <f>IFERROR(IF(config!G27="","",config!G27),"")</f>
        <v>William</v>
      </c>
      <c r="D35" s="87">
        <f t="shared" si="15"/>
        <v>0</v>
      </c>
      <c r="E35" s="20">
        <f t="shared" si="16"/>
        <v>0</v>
      </c>
      <c r="F35" s="20">
        <f t="shared" si="17"/>
        <v>0</v>
      </c>
      <c r="G35" s="20">
        <f t="shared" si="18"/>
        <v>0</v>
      </c>
      <c r="H35" s="20">
        <f t="shared" si="19"/>
        <v>0</v>
      </c>
      <c r="I35" s="20">
        <f t="shared" si="20"/>
        <v>0</v>
      </c>
      <c r="J35" s="20">
        <f t="shared" si="21"/>
        <v>0</v>
      </c>
      <c r="K35" s="20">
        <f t="shared" si="22"/>
        <v>0</v>
      </c>
      <c r="L35" s="20">
        <f t="shared" si="23"/>
        <v>0</v>
      </c>
      <c r="M35" s="20">
        <f t="shared" si="24"/>
        <v>0</v>
      </c>
      <c r="N35" s="20">
        <f t="shared" si="25"/>
        <v>0</v>
      </c>
      <c r="O35" s="92">
        <f t="shared" si="26"/>
        <v>0</v>
      </c>
      <c r="P35" s="90"/>
      <c r="Q35" s="8"/>
      <c r="R35" s="8"/>
      <c r="S35" s="8"/>
      <c r="T35" s="94"/>
      <c r="U35" s="94"/>
      <c r="V35" s="8"/>
      <c r="W35" s="8"/>
      <c r="X35" s="8"/>
      <c r="Y35" s="8"/>
      <c r="Z35" s="8"/>
      <c r="AA35" s="94"/>
      <c r="AB35" s="94"/>
      <c r="AC35" s="8"/>
      <c r="AD35" s="8"/>
      <c r="AE35" s="8"/>
      <c r="AF35" s="8"/>
      <c r="AG35" s="8"/>
      <c r="AH35" s="94"/>
      <c r="AI35" s="94"/>
      <c r="AJ35" s="8"/>
      <c r="AK35" s="8"/>
      <c r="AL35" s="8"/>
      <c r="AM35" s="8"/>
      <c r="AN35" s="8"/>
      <c r="AO35" s="94"/>
      <c r="AP35" s="94"/>
      <c r="AQ35" s="8"/>
      <c r="AR35" s="8"/>
      <c r="AS35" s="8"/>
    </row>
    <row r="36" spans="1:57" ht="20.100000000000001" customHeight="1" thickBot="1" x14ac:dyDescent="0.3">
      <c r="A36" s="31" t="str">
        <f>IFERROR(IF(config!E28="","",config!E28),"")</f>
        <v>JN010461</v>
      </c>
      <c r="B36" s="42" t="str">
        <f>IFERROR(IF(config!F28="","",config!F28),"")</f>
        <v>NOURRI</v>
      </c>
      <c r="C36" s="70" t="str">
        <f>IFERROR(IF(config!G28="","",config!G28),"")</f>
        <v>Danny</v>
      </c>
      <c r="D36" s="87">
        <f t="shared" si="15"/>
        <v>0</v>
      </c>
      <c r="E36" s="20">
        <f t="shared" si="16"/>
        <v>0</v>
      </c>
      <c r="F36" s="20">
        <f t="shared" si="17"/>
        <v>0</v>
      </c>
      <c r="G36" s="20">
        <f t="shared" si="18"/>
        <v>0</v>
      </c>
      <c r="H36" s="20">
        <f t="shared" si="19"/>
        <v>0</v>
      </c>
      <c r="I36" s="20">
        <f t="shared" si="20"/>
        <v>0</v>
      </c>
      <c r="J36" s="20">
        <f t="shared" si="21"/>
        <v>0</v>
      </c>
      <c r="K36" s="20">
        <f t="shared" si="22"/>
        <v>0</v>
      </c>
      <c r="L36" s="20">
        <f t="shared" si="23"/>
        <v>0</v>
      </c>
      <c r="M36" s="20">
        <f t="shared" si="24"/>
        <v>0</v>
      </c>
      <c r="N36" s="20">
        <f t="shared" si="25"/>
        <v>0</v>
      </c>
      <c r="O36" s="92">
        <f t="shared" si="26"/>
        <v>0</v>
      </c>
      <c r="P36" s="91"/>
      <c r="Q36" s="21"/>
      <c r="R36" s="21"/>
      <c r="S36" s="21"/>
      <c r="T36" s="95"/>
      <c r="U36" s="95"/>
      <c r="V36" s="21"/>
      <c r="W36" s="21"/>
      <c r="X36" s="21"/>
      <c r="Y36" s="21"/>
      <c r="Z36" s="21"/>
      <c r="AA36" s="95"/>
      <c r="AB36" s="95"/>
      <c r="AC36" s="21"/>
      <c r="AD36" s="21"/>
      <c r="AE36" s="21"/>
      <c r="AF36" s="21"/>
      <c r="AG36" s="21"/>
      <c r="AH36" s="95"/>
      <c r="AI36" s="95"/>
      <c r="AJ36" s="21"/>
      <c r="AK36" s="21"/>
      <c r="AL36" s="21"/>
      <c r="AM36" s="21"/>
      <c r="AN36" s="21"/>
      <c r="AO36" s="95"/>
      <c r="AP36" s="95"/>
      <c r="AQ36" s="21"/>
      <c r="AR36" s="21"/>
      <c r="AS36" s="21"/>
    </row>
    <row r="37" spans="1:57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</row>
    <row r="38" spans="1:57" ht="20.100000000000001" customHeight="1" thickBot="1" x14ac:dyDescent="0.3">
      <c r="A38" s="305" t="str">
        <f>IFERROR(IF(config!E30="","",config!E30),"")</f>
        <v>AGENTS VOIRIE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U38" s="290" t="s">
        <v>218</v>
      </c>
      <c r="AV38" s="291"/>
      <c r="AW38" s="291"/>
      <c r="AX38" s="291"/>
      <c r="AY38" s="291"/>
      <c r="AZ38" s="291"/>
      <c r="BA38" s="291"/>
      <c r="BB38" s="291"/>
      <c r="BC38" s="291"/>
      <c r="BD38" s="291"/>
      <c r="BE38" s="292"/>
    </row>
    <row r="39" spans="1:57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87"/>
      <c r="Q39" s="20"/>
      <c r="R39" s="20"/>
      <c r="S39" s="20"/>
      <c r="T39" s="86"/>
      <c r="U39" s="86"/>
      <c r="V39" s="20"/>
      <c r="W39" s="20"/>
      <c r="X39" s="20"/>
      <c r="Y39" s="20"/>
      <c r="Z39" s="20"/>
      <c r="AA39" s="86"/>
      <c r="AB39" s="86"/>
      <c r="AC39" s="20"/>
      <c r="AD39" s="20"/>
      <c r="AE39" s="20"/>
      <c r="AF39" s="20"/>
      <c r="AG39" s="20"/>
      <c r="AH39" s="86"/>
      <c r="AI39" s="86"/>
      <c r="AJ39" s="20"/>
      <c r="AK39" s="20"/>
      <c r="AL39" s="20"/>
      <c r="AM39" s="20"/>
      <c r="AN39" s="20"/>
      <c r="AO39" s="86"/>
      <c r="AP39" s="86"/>
      <c r="AQ39" s="20"/>
      <c r="AR39" s="20"/>
      <c r="AS39" s="34"/>
      <c r="AU39" s="15" t="s">
        <v>194</v>
      </c>
      <c r="AV39" s="78" t="s">
        <v>195</v>
      </c>
      <c r="AW39" s="12" t="s">
        <v>196</v>
      </c>
      <c r="AX39" s="79" t="s">
        <v>197</v>
      </c>
      <c r="AY39" s="10" t="s">
        <v>198</v>
      </c>
      <c r="AZ39" s="80" t="s">
        <v>199</v>
      </c>
      <c r="BA39" s="11" t="s">
        <v>200</v>
      </c>
      <c r="BB39" s="81" t="s">
        <v>201</v>
      </c>
      <c r="BC39" s="82" t="s">
        <v>202</v>
      </c>
      <c r="BD39" s="83" t="s">
        <v>203</v>
      </c>
      <c r="BE39" s="16" t="s">
        <v>205</v>
      </c>
    </row>
    <row r="40" spans="1:57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90"/>
      <c r="Q40" s="8"/>
      <c r="R40" s="8"/>
      <c r="S40" s="8"/>
      <c r="T40" s="94"/>
      <c r="U40" s="94"/>
      <c r="V40" s="8"/>
      <c r="W40" s="8"/>
      <c r="X40" s="8"/>
      <c r="Y40" s="8"/>
      <c r="Z40" s="8"/>
      <c r="AA40" s="94"/>
      <c r="AB40" s="94"/>
      <c r="AC40" s="8"/>
      <c r="AD40" s="8"/>
      <c r="AE40" s="8"/>
      <c r="AF40" s="8"/>
      <c r="AG40" s="8"/>
      <c r="AH40" s="94"/>
      <c r="AI40" s="94"/>
      <c r="AJ40" s="8"/>
      <c r="AK40" s="8"/>
      <c r="AL40" s="8"/>
      <c r="AM40" s="8"/>
      <c r="AN40" s="8"/>
      <c r="AO40" s="94"/>
      <c r="AP40" s="94"/>
      <c r="AQ40" s="8"/>
      <c r="AR40" s="8"/>
      <c r="AS40" s="35"/>
      <c r="AU40" s="19">
        <f>COUNTIF(P39:AS49,"p")</f>
        <v>0</v>
      </c>
      <c r="AV40" s="19">
        <f>COUNTIF(P39:AS49,"pc")</f>
        <v>0</v>
      </c>
      <c r="AW40" s="19">
        <f>COUNTIF(P39:AS49,"f")</f>
        <v>0</v>
      </c>
      <c r="AX40" s="19">
        <f>COUNTIF(P39:AS49,"ast")</f>
        <v>0</v>
      </c>
      <c r="AY40" s="19">
        <f>COUNTIF(P39:AS49,"cA")</f>
        <v>0</v>
      </c>
      <c r="AZ40" s="19">
        <f>COUNTIF(P39:AS49,"rtt")</f>
        <v>0</v>
      </c>
      <c r="BA40" s="19">
        <f>COUNTIF(P39:AS49,"cex")</f>
        <v>0</v>
      </c>
      <c r="BB40" s="19">
        <f>COUNTIF(P39:AS49,"RES")</f>
        <v>0</v>
      </c>
      <c r="BC40" s="19">
        <f>COUNTIF(P39:AS49,"MA")</f>
        <v>0</v>
      </c>
      <c r="BD40" s="19">
        <f>COUNTIF(P39:AS49,"at")</f>
        <v>0</v>
      </c>
      <c r="BE40" s="19">
        <f>COUNTIF(P39:AS49,"TP")</f>
        <v>0</v>
      </c>
    </row>
    <row r="41" spans="1:57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90"/>
      <c r="Q41" s="8"/>
      <c r="R41" s="8"/>
      <c r="S41" s="8"/>
      <c r="T41" s="94"/>
      <c r="U41" s="94"/>
      <c r="V41" s="8"/>
      <c r="W41" s="8"/>
      <c r="X41" s="8"/>
      <c r="Y41" s="8"/>
      <c r="Z41" s="8"/>
      <c r="AA41" s="94"/>
      <c r="AB41" s="94"/>
      <c r="AC41" s="8"/>
      <c r="AD41" s="8"/>
      <c r="AE41" s="8"/>
      <c r="AF41" s="8"/>
      <c r="AG41" s="8"/>
      <c r="AH41" s="94"/>
      <c r="AI41" s="94"/>
      <c r="AJ41" s="8"/>
      <c r="AK41" s="8"/>
      <c r="AL41" s="8"/>
      <c r="AM41" s="8"/>
      <c r="AN41" s="8"/>
      <c r="AO41" s="94"/>
      <c r="AP41" s="94"/>
      <c r="AQ41" s="8"/>
      <c r="AR41" s="8"/>
      <c r="AS41" s="35"/>
    </row>
    <row r="42" spans="1:57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90"/>
      <c r="Q42" s="8"/>
      <c r="R42" s="8"/>
      <c r="S42" s="8"/>
      <c r="T42" s="94"/>
      <c r="U42" s="94"/>
      <c r="V42" s="8"/>
      <c r="W42" s="8"/>
      <c r="X42" s="8"/>
      <c r="Y42" s="8"/>
      <c r="Z42" s="8"/>
      <c r="AA42" s="94"/>
      <c r="AB42" s="94"/>
      <c r="AC42" s="8"/>
      <c r="AD42" s="8"/>
      <c r="AE42" s="8"/>
      <c r="AF42" s="8"/>
      <c r="AG42" s="8"/>
      <c r="AH42" s="94"/>
      <c r="AI42" s="94"/>
      <c r="AJ42" s="8"/>
      <c r="AK42" s="8"/>
      <c r="AL42" s="8"/>
      <c r="AM42" s="8"/>
      <c r="AN42" s="8"/>
      <c r="AO42" s="94"/>
      <c r="AP42" s="94"/>
      <c r="AQ42" s="8"/>
      <c r="AR42" s="8"/>
      <c r="AS42" s="35"/>
    </row>
    <row r="43" spans="1:57" ht="20.100000000000001" customHeight="1" thickBot="1" x14ac:dyDescent="0.3">
      <c r="A43" s="32" t="str">
        <f>IFERROR(IF(config!#REF!="","",config!#REF!),"")</f>
        <v/>
      </c>
      <c r="B43" s="39" t="str">
        <f>IFERROR(IF(config!#REF!="","",config!#REF!),"")</f>
        <v/>
      </c>
      <c r="C43" s="69" t="str">
        <f>IFERROR(IF(config!#REF!="","",config!#REF!),"")</f>
        <v/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90"/>
      <c r="Q43" s="8"/>
      <c r="R43" s="8"/>
      <c r="S43" s="8"/>
      <c r="T43" s="94"/>
      <c r="U43" s="94"/>
      <c r="V43" s="8"/>
      <c r="W43" s="8"/>
      <c r="X43" s="8"/>
      <c r="Y43" s="8"/>
      <c r="Z43" s="8"/>
      <c r="AA43" s="94"/>
      <c r="AB43" s="94"/>
      <c r="AC43" s="8"/>
      <c r="AD43" s="8"/>
      <c r="AE43" s="8"/>
      <c r="AF43" s="8"/>
      <c r="AG43" s="8"/>
      <c r="AH43" s="94"/>
      <c r="AI43" s="94"/>
      <c r="AJ43" s="8"/>
      <c r="AK43" s="8"/>
      <c r="AL43" s="8"/>
      <c r="AM43" s="8"/>
      <c r="AN43" s="8"/>
      <c r="AO43" s="94"/>
      <c r="AP43" s="94"/>
      <c r="AQ43" s="8"/>
      <c r="AR43" s="8"/>
      <c r="AS43" s="35"/>
    </row>
    <row r="44" spans="1:57" ht="20.100000000000001" customHeight="1" thickBot="1" x14ac:dyDescent="0.3">
      <c r="A44" s="32" t="str">
        <f>IFERROR(IF(config!E35="","",config!E35),"")</f>
        <v>C002986</v>
      </c>
      <c r="B44" s="39" t="str">
        <f>IFERROR(IF(config!F35="","",config!F35),"")</f>
        <v>LABORIE</v>
      </c>
      <c r="C44" s="69" t="str">
        <f>IFERROR(IF(config!G35="","",config!G35),"")</f>
        <v>Jean-Louis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90"/>
      <c r="Q44" s="8"/>
      <c r="R44" s="8"/>
      <c r="S44" s="8"/>
      <c r="T44" s="94"/>
      <c r="U44" s="94"/>
      <c r="V44" s="8"/>
      <c r="W44" s="8"/>
      <c r="X44" s="8"/>
      <c r="Y44" s="8"/>
      <c r="Z44" s="8"/>
      <c r="AA44" s="94"/>
      <c r="AB44" s="94"/>
      <c r="AC44" s="8"/>
      <c r="AD44" s="8"/>
      <c r="AE44" s="8"/>
      <c r="AF44" s="8"/>
      <c r="AG44" s="8"/>
      <c r="AH44" s="94"/>
      <c r="AI44" s="94"/>
      <c r="AJ44" s="8"/>
      <c r="AK44" s="8"/>
      <c r="AL44" s="8"/>
      <c r="AM44" s="8"/>
      <c r="AN44" s="8"/>
      <c r="AO44" s="94"/>
      <c r="AP44" s="94"/>
      <c r="AQ44" s="8"/>
      <c r="AR44" s="8"/>
      <c r="AS44" s="35"/>
    </row>
    <row r="45" spans="1:57" ht="20.100000000000001" customHeight="1" thickBot="1" x14ac:dyDescent="0.3">
      <c r="A45" s="32" t="str">
        <f>IFERROR(IF(config!E36="","",config!E36),"")</f>
        <v>C007317</v>
      </c>
      <c r="B45" s="39" t="str">
        <f>IFERROR(IF(config!F36="","",config!F36),"")</f>
        <v>LARRIEU</v>
      </c>
      <c r="C45" s="69" t="str">
        <f>IFERROR(IF(config!G36="","",config!G36),"")</f>
        <v>Cédric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0</v>
      </c>
      <c r="N45" s="20">
        <f t="shared" si="37"/>
        <v>0</v>
      </c>
      <c r="O45" s="92">
        <f t="shared" si="38"/>
        <v>0</v>
      </c>
      <c r="P45" s="90"/>
      <c r="Q45" s="8"/>
      <c r="R45" s="8"/>
      <c r="S45" s="8"/>
      <c r="T45" s="94"/>
      <c r="U45" s="94"/>
      <c r="V45" s="8"/>
      <c r="W45" s="8"/>
      <c r="X45" s="8"/>
      <c r="Y45" s="8"/>
      <c r="Z45" s="8"/>
      <c r="AA45" s="94"/>
      <c r="AB45" s="94"/>
      <c r="AC45" s="8"/>
      <c r="AD45" s="8"/>
      <c r="AE45" s="8"/>
      <c r="AF45" s="8"/>
      <c r="AG45" s="8"/>
      <c r="AH45" s="94"/>
      <c r="AI45" s="94"/>
      <c r="AJ45" s="8"/>
      <c r="AK45" s="8"/>
      <c r="AL45" s="8"/>
      <c r="AM45" s="8"/>
      <c r="AN45" s="8"/>
      <c r="AO45" s="94"/>
      <c r="AP45" s="94"/>
      <c r="AQ45" s="8"/>
      <c r="AR45" s="8"/>
      <c r="AS45" s="35"/>
    </row>
    <row r="46" spans="1:57" ht="20.100000000000001" customHeight="1" thickBot="1" x14ac:dyDescent="0.3">
      <c r="A46" s="32" t="str">
        <f>IFERROR(IF(config!E37="","",config!E37),"")</f>
        <v>C004309</v>
      </c>
      <c r="B46" s="39" t="str">
        <f>IFERROR(IF(config!F37="","",config!F37),"")</f>
        <v>LEVIGNAT</v>
      </c>
      <c r="C46" s="69" t="str">
        <f>IFERROR(IF(config!G37="","",config!G37),"")</f>
        <v>Didier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90"/>
      <c r="Q46" s="8"/>
      <c r="R46" s="8"/>
      <c r="S46" s="8"/>
      <c r="T46" s="94"/>
      <c r="U46" s="94"/>
      <c r="V46" s="8"/>
      <c r="W46" s="8"/>
      <c r="X46" s="8"/>
      <c r="Y46" s="8"/>
      <c r="Z46" s="8"/>
      <c r="AA46" s="94"/>
      <c r="AB46" s="94"/>
      <c r="AC46" s="8"/>
      <c r="AD46" s="8"/>
      <c r="AE46" s="8"/>
      <c r="AF46" s="8"/>
      <c r="AG46" s="8"/>
      <c r="AH46" s="94"/>
      <c r="AI46" s="94"/>
      <c r="AJ46" s="8"/>
      <c r="AK46" s="8"/>
      <c r="AL46" s="8"/>
      <c r="AM46" s="8"/>
      <c r="AN46" s="8"/>
      <c r="AO46" s="94"/>
      <c r="AP46" s="94"/>
      <c r="AQ46" s="8"/>
      <c r="AR46" s="8"/>
      <c r="AS46" s="35"/>
    </row>
    <row r="47" spans="1:57" ht="20.100000000000001" customHeight="1" thickBot="1" x14ac:dyDescent="0.3">
      <c r="A47" s="32" t="str">
        <f>IFERROR(IF(config!E38="","",config!E38),"")</f>
        <v>C005624</v>
      </c>
      <c r="B47" s="39" t="str">
        <f>IFERROR(IF(config!F38="","",config!F38),"")</f>
        <v>MARTIN-HERNANDEZ</v>
      </c>
      <c r="C47" s="69" t="str">
        <f>IFERROR(IF(config!G38="","",config!G38),"")</f>
        <v>Pierre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90"/>
      <c r="Q47" s="8"/>
      <c r="R47" s="8"/>
      <c r="S47" s="8"/>
      <c r="T47" s="94"/>
      <c r="U47" s="94"/>
      <c r="V47" s="8"/>
      <c r="W47" s="8"/>
      <c r="X47" s="8"/>
      <c r="Y47" s="8"/>
      <c r="Z47" s="8"/>
      <c r="AA47" s="94"/>
      <c r="AB47" s="94"/>
      <c r="AC47" s="8"/>
      <c r="AD47" s="8"/>
      <c r="AE47" s="8"/>
      <c r="AF47" s="8"/>
      <c r="AG47" s="8"/>
      <c r="AH47" s="94"/>
      <c r="AI47" s="94"/>
      <c r="AJ47" s="8"/>
      <c r="AK47" s="8"/>
      <c r="AL47" s="8"/>
      <c r="AM47" s="8"/>
      <c r="AN47" s="8"/>
      <c r="AO47" s="94"/>
      <c r="AP47" s="94"/>
      <c r="AQ47" s="8"/>
      <c r="AR47" s="8"/>
      <c r="AS47" s="35"/>
    </row>
    <row r="48" spans="1:57" ht="20.100000000000001" customHeight="1" thickBot="1" x14ac:dyDescent="0.3">
      <c r="A48" s="32" t="str">
        <f>IFERROR(IF(config!E39="","",config!E39),"")</f>
        <v>C007758</v>
      </c>
      <c r="B48" s="39" t="str">
        <f>IFERROR(IF(config!F39="","",config!F39),"")</f>
        <v>PIERRE</v>
      </c>
      <c r="C48" s="69" t="str">
        <f>IFERROR(IF(config!G39="","",config!G39),"")</f>
        <v>Frantzy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90"/>
      <c r="Q48" s="8"/>
      <c r="R48" s="8"/>
      <c r="S48" s="8"/>
      <c r="T48" s="94"/>
      <c r="U48" s="94"/>
      <c r="V48" s="8"/>
      <c r="W48" s="8"/>
      <c r="X48" s="8"/>
      <c r="Y48" s="8"/>
      <c r="Z48" s="8"/>
      <c r="AA48" s="94"/>
      <c r="AB48" s="94"/>
      <c r="AC48" s="8"/>
      <c r="AD48" s="8"/>
      <c r="AE48" s="8"/>
      <c r="AF48" s="8"/>
      <c r="AG48" s="8"/>
      <c r="AH48" s="94"/>
      <c r="AI48" s="94"/>
      <c r="AJ48" s="8"/>
      <c r="AK48" s="8"/>
      <c r="AL48" s="8"/>
      <c r="AM48" s="8"/>
      <c r="AN48" s="8"/>
      <c r="AO48" s="94"/>
      <c r="AP48" s="94"/>
      <c r="AQ48" s="8"/>
      <c r="AR48" s="8"/>
      <c r="AS48" s="35"/>
    </row>
    <row r="49" spans="1:57" ht="20.100000000000001" customHeight="1" thickBot="1" x14ac:dyDescent="0.3">
      <c r="A49" s="31" t="str">
        <f>IFERROR(IF(config!E40="","",config!E40),"")</f>
        <v>C004609</v>
      </c>
      <c r="B49" s="42" t="str">
        <f>IFERROR(IF(config!F40="","",config!F40),"")</f>
        <v>SOLA</v>
      </c>
      <c r="C49" s="70" t="str">
        <f>IFERROR(IF(config!G40="","",config!G40),"")</f>
        <v>Xavier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91"/>
      <c r="Q49" s="21"/>
      <c r="R49" s="21"/>
      <c r="S49" s="21"/>
      <c r="T49" s="95"/>
      <c r="U49" s="95"/>
      <c r="V49" s="21"/>
      <c r="W49" s="21"/>
      <c r="X49" s="21"/>
      <c r="Y49" s="21"/>
      <c r="Z49" s="21"/>
      <c r="AA49" s="95"/>
      <c r="AB49" s="95"/>
      <c r="AC49" s="21"/>
      <c r="AD49" s="21"/>
      <c r="AE49" s="21"/>
      <c r="AF49" s="21"/>
      <c r="AG49" s="21"/>
      <c r="AH49" s="95"/>
      <c r="AI49" s="95"/>
      <c r="AJ49" s="21"/>
      <c r="AK49" s="21"/>
      <c r="AL49" s="21"/>
      <c r="AM49" s="21"/>
      <c r="AN49" s="21"/>
      <c r="AO49" s="95"/>
      <c r="AP49" s="95"/>
      <c r="AQ49" s="21"/>
      <c r="AR49" s="21"/>
      <c r="AS49" s="36"/>
    </row>
    <row r="50" spans="1:57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U50" s="290" t="s">
        <v>219</v>
      </c>
      <c r="AV50" s="291"/>
      <c r="AW50" s="291"/>
      <c r="AX50" s="291"/>
      <c r="AY50" s="291"/>
      <c r="AZ50" s="291"/>
      <c r="BA50" s="291"/>
      <c r="BB50" s="291"/>
      <c r="BC50" s="291"/>
      <c r="BD50" s="291"/>
      <c r="BE50" s="292"/>
    </row>
    <row r="51" spans="1:57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87">
        <f t="shared" ref="D51:D62" si="39">COUNTIF(P51:AS51,"p")</f>
        <v>0</v>
      </c>
      <c r="E51" s="20">
        <f t="shared" ref="E51:E62" si="40">COUNTIF(P51:AS51,"PC")</f>
        <v>0</v>
      </c>
      <c r="F51" s="20">
        <f t="shared" ref="F51:F62" si="41">COUNTIF(P51:AS51,"f")</f>
        <v>0</v>
      </c>
      <c r="G51" s="20">
        <f t="shared" ref="G51:G62" si="42">COUNTIF(P51:AS51,"ast")</f>
        <v>0</v>
      </c>
      <c r="H51" s="20">
        <f t="shared" ref="H51:H62" si="43">COUNTIF(P51:AS51,"cA")</f>
        <v>0</v>
      </c>
      <c r="I51" s="20">
        <f t="shared" ref="I51:I62" si="44">COUNTIF(P51:AS51,"rtt")</f>
        <v>0</v>
      </c>
      <c r="J51" s="20">
        <f t="shared" ref="J51:J62" si="45">COUNTIF(P51:AS51,"cex")</f>
        <v>0</v>
      </c>
      <c r="K51" s="20">
        <f t="shared" ref="K51:K62" si="46">COUNTIF(P51:AS51,"res")</f>
        <v>0</v>
      </c>
      <c r="L51" s="20">
        <f t="shared" ref="L51:L62" si="47">COUNTIF(P51:AS51,"mA")</f>
        <v>0</v>
      </c>
      <c r="M51" s="20">
        <f t="shared" ref="M51:M62" si="48">COUNTIF(P51:AS51,"at")</f>
        <v>0</v>
      </c>
      <c r="N51" s="20">
        <f t="shared" ref="N51:N62" si="49">COUNTIF(P51:AS51,"TAD")</f>
        <v>0</v>
      </c>
      <c r="O51" s="92">
        <f t="shared" ref="O51:O62" si="50">COUNTIF(P51:AS51,"TP")</f>
        <v>0</v>
      </c>
      <c r="P51" s="87"/>
      <c r="Q51" s="20"/>
      <c r="R51" s="20"/>
      <c r="S51" s="20"/>
      <c r="T51" s="86"/>
      <c r="U51" s="86"/>
      <c r="V51" s="20"/>
      <c r="W51" s="20"/>
      <c r="X51" s="20"/>
      <c r="Y51" s="20"/>
      <c r="Z51" s="20"/>
      <c r="AA51" s="86"/>
      <c r="AB51" s="86"/>
      <c r="AC51" s="20"/>
      <c r="AD51" s="20"/>
      <c r="AE51" s="20"/>
      <c r="AF51" s="20"/>
      <c r="AG51" s="20"/>
      <c r="AH51" s="86"/>
      <c r="AI51" s="86"/>
      <c r="AJ51" s="20"/>
      <c r="AK51" s="20"/>
      <c r="AL51" s="20"/>
      <c r="AM51" s="20"/>
      <c r="AN51" s="20"/>
      <c r="AO51" s="86"/>
      <c r="AP51" s="86"/>
      <c r="AQ51" s="20"/>
      <c r="AR51" s="20"/>
      <c r="AS51" s="34"/>
      <c r="AU51" s="15" t="s">
        <v>194</v>
      </c>
      <c r="AV51" s="78" t="s">
        <v>195</v>
      </c>
      <c r="AW51" s="12" t="s">
        <v>196</v>
      </c>
      <c r="AX51" s="79" t="s">
        <v>197</v>
      </c>
      <c r="AY51" s="10" t="s">
        <v>198</v>
      </c>
      <c r="AZ51" s="80" t="s">
        <v>199</v>
      </c>
      <c r="BA51" s="11" t="s">
        <v>200</v>
      </c>
      <c r="BB51" s="81" t="s">
        <v>201</v>
      </c>
      <c r="BC51" s="82" t="s">
        <v>202</v>
      </c>
      <c r="BD51" s="83" t="s">
        <v>203</v>
      </c>
      <c r="BE51" s="16" t="s">
        <v>205</v>
      </c>
    </row>
    <row r="52" spans="1:57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90"/>
      <c r="Q52" s="8"/>
      <c r="R52" s="8"/>
      <c r="S52" s="8"/>
      <c r="T52" s="94"/>
      <c r="U52" s="94"/>
      <c r="V52" s="8"/>
      <c r="W52" s="8"/>
      <c r="X52" s="8"/>
      <c r="Y52" s="8"/>
      <c r="Z52" s="8"/>
      <c r="AA52" s="94"/>
      <c r="AB52" s="94"/>
      <c r="AC52" s="8"/>
      <c r="AD52" s="8"/>
      <c r="AE52" s="8"/>
      <c r="AF52" s="8"/>
      <c r="AG52" s="8"/>
      <c r="AH52" s="94"/>
      <c r="AI52" s="94"/>
      <c r="AJ52" s="8"/>
      <c r="AK52" s="8"/>
      <c r="AL52" s="8"/>
      <c r="AM52" s="8"/>
      <c r="AN52" s="8"/>
      <c r="AO52" s="94"/>
      <c r="AP52" s="94"/>
      <c r="AQ52" s="8"/>
      <c r="AR52" s="8"/>
      <c r="AS52" s="35"/>
      <c r="AU52" s="19">
        <f>COUNTIF(P51:AS62,"P")</f>
        <v>0</v>
      </c>
      <c r="AV52" s="19">
        <f>COUNTIF(P51:AS62,"PC")</f>
        <v>0</v>
      </c>
      <c r="AW52" s="19">
        <f>COUNTIF(P51:AS62,"F")</f>
        <v>0</v>
      </c>
      <c r="AX52" s="19">
        <f>COUNTIF(P51:AS62,"AST")</f>
        <v>0</v>
      </c>
      <c r="AY52" s="19">
        <f>COUNTIF(P51:AS62,"CA")</f>
        <v>0</v>
      </c>
      <c r="AZ52" s="19">
        <f>COUNTIF(P51:AS62,"RTT")</f>
        <v>0</v>
      </c>
      <c r="BA52" s="19">
        <f>COUNTIF(P51:AS62,"CEX")</f>
        <v>0</v>
      </c>
      <c r="BB52" s="19">
        <f>COUNTIF(P51:AS62,"RES")</f>
        <v>0</v>
      </c>
      <c r="BC52" s="19">
        <f>COUNTIF(P51:AS62,"MA")</f>
        <v>0</v>
      </c>
      <c r="BD52" s="19">
        <f>COUNTIF(P51:AS62,"AT")</f>
        <v>0</v>
      </c>
      <c r="BE52" s="19">
        <f>COUNTIF(P51:AS62,"TP")</f>
        <v>0</v>
      </c>
    </row>
    <row r="53" spans="1:57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90"/>
      <c r="Q53" s="8"/>
      <c r="R53" s="8"/>
      <c r="S53" s="8"/>
      <c r="T53" s="94"/>
      <c r="U53" s="94"/>
      <c r="V53" s="8"/>
      <c r="W53" s="8"/>
      <c r="X53" s="8"/>
      <c r="Y53" s="8"/>
      <c r="Z53" s="8"/>
      <c r="AA53" s="94"/>
      <c r="AB53" s="94"/>
      <c r="AC53" s="8"/>
      <c r="AD53" s="8"/>
      <c r="AE53" s="8"/>
      <c r="AF53" s="8"/>
      <c r="AG53" s="8"/>
      <c r="AH53" s="94"/>
      <c r="AI53" s="94"/>
      <c r="AJ53" s="8"/>
      <c r="AK53" s="8"/>
      <c r="AL53" s="8"/>
      <c r="AM53" s="8"/>
      <c r="AN53" s="8"/>
      <c r="AO53" s="94"/>
      <c r="AP53" s="94"/>
      <c r="AQ53" s="8"/>
      <c r="AR53" s="8"/>
      <c r="AS53" s="35"/>
    </row>
    <row r="54" spans="1:57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90"/>
      <c r="Q54" s="8"/>
      <c r="R54" s="8"/>
      <c r="S54" s="8"/>
      <c r="T54" s="94"/>
      <c r="U54" s="94"/>
      <c r="V54" s="8"/>
      <c r="W54" s="8"/>
      <c r="X54" s="8"/>
      <c r="Y54" s="8"/>
      <c r="Z54" s="8"/>
      <c r="AA54" s="94"/>
      <c r="AB54" s="94"/>
      <c r="AC54" s="8"/>
      <c r="AD54" s="8"/>
      <c r="AE54" s="8"/>
      <c r="AF54" s="8"/>
      <c r="AG54" s="8"/>
      <c r="AH54" s="94"/>
      <c r="AI54" s="94"/>
      <c r="AJ54" s="8"/>
      <c r="AK54" s="8"/>
      <c r="AL54" s="8"/>
      <c r="AM54" s="8"/>
      <c r="AN54" s="8"/>
      <c r="AO54" s="94"/>
      <c r="AP54" s="94"/>
      <c r="AQ54" s="8"/>
      <c r="AR54" s="8"/>
      <c r="AS54" s="35"/>
    </row>
    <row r="55" spans="1:57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90"/>
      <c r="Q55" s="8"/>
      <c r="R55" s="8"/>
      <c r="S55" s="8"/>
      <c r="T55" s="94"/>
      <c r="U55" s="94"/>
      <c r="V55" s="8"/>
      <c r="W55" s="8"/>
      <c r="X55" s="8"/>
      <c r="Y55" s="8"/>
      <c r="Z55" s="8"/>
      <c r="AA55" s="94"/>
      <c r="AB55" s="94"/>
      <c r="AC55" s="8"/>
      <c r="AD55" s="8"/>
      <c r="AE55" s="8"/>
      <c r="AF55" s="8"/>
      <c r="AG55" s="8"/>
      <c r="AH55" s="94"/>
      <c r="AI55" s="94"/>
      <c r="AJ55" s="8"/>
      <c r="AK55" s="8"/>
      <c r="AL55" s="8"/>
      <c r="AM55" s="8"/>
      <c r="AN55" s="8"/>
      <c r="AO55" s="94"/>
      <c r="AP55" s="94"/>
      <c r="AQ55" s="8"/>
      <c r="AR55" s="8"/>
      <c r="AS55" s="35"/>
    </row>
    <row r="56" spans="1:57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90"/>
      <c r="Q56" s="8"/>
      <c r="R56" s="8"/>
      <c r="S56" s="8"/>
      <c r="T56" s="94"/>
      <c r="U56" s="94"/>
      <c r="V56" s="8"/>
      <c r="W56" s="8"/>
      <c r="X56" s="8"/>
      <c r="Y56" s="8"/>
      <c r="Z56" s="8"/>
      <c r="AA56" s="94"/>
      <c r="AB56" s="94"/>
      <c r="AC56" s="8"/>
      <c r="AD56" s="8"/>
      <c r="AE56" s="8"/>
      <c r="AF56" s="8"/>
      <c r="AG56" s="8"/>
      <c r="AH56" s="94"/>
      <c r="AI56" s="94"/>
      <c r="AJ56" s="8"/>
      <c r="AK56" s="8"/>
      <c r="AL56" s="8"/>
      <c r="AM56" s="8"/>
      <c r="AN56" s="8"/>
      <c r="AO56" s="94"/>
      <c r="AP56" s="94"/>
      <c r="AQ56" s="8"/>
      <c r="AR56" s="8"/>
      <c r="AS56" s="35"/>
    </row>
    <row r="57" spans="1:57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90"/>
      <c r="Q57" s="8"/>
      <c r="R57" s="8"/>
      <c r="S57" s="8"/>
      <c r="T57" s="94"/>
      <c r="U57" s="94"/>
      <c r="V57" s="8"/>
      <c r="W57" s="8"/>
      <c r="X57" s="8"/>
      <c r="Y57" s="8"/>
      <c r="Z57" s="8"/>
      <c r="AA57" s="94"/>
      <c r="AB57" s="94"/>
      <c r="AC57" s="8"/>
      <c r="AD57" s="8"/>
      <c r="AE57" s="8"/>
      <c r="AF57" s="8"/>
      <c r="AG57" s="8"/>
      <c r="AH57" s="94"/>
      <c r="AI57" s="94"/>
      <c r="AJ57" s="8"/>
      <c r="AK57" s="8"/>
      <c r="AL57" s="8"/>
      <c r="AM57" s="8"/>
      <c r="AN57" s="8"/>
      <c r="AO57" s="94"/>
      <c r="AP57" s="94"/>
      <c r="AQ57" s="8"/>
      <c r="AR57" s="8"/>
      <c r="AS57" s="35"/>
    </row>
    <row r="58" spans="1:57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90"/>
      <c r="Q58" s="8"/>
      <c r="R58" s="8"/>
      <c r="S58" s="8"/>
      <c r="T58" s="94"/>
      <c r="U58" s="94"/>
      <c r="V58" s="8"/>
      <c r="W58" s="8"/>
      <c r="X58" s="8"/>
      <c r="Y58" s="8"/>
      <c r="Z58" s="8"/>
      <c r="AA58" s="94"/>
      <c r="AB58" s="94"/>
      <c r="AC58" s="8"/>
      <c r="AD58" s="8"/>
      <c r="AE58" s="8"/>
      <c r="AF58" s="8"/>
      <c r="AG58" s="8"/>
      <c r="AH58" s="94"/>
      <c r="AI58" s="94"/>
      <c r="AJ58" s="8"/>
      <c r="AK58" s="8"/>
      <c r="AL58" s="8"/>
      <c r="AM58" s="8"/>
      <c r="AN58" s="8"/>
      <c r="AO58" s="94"/>
      <c r="AP58" s="94"/>
      <c r="AQ58" s="8"/>
      <c r="AR58" s="8"/>
      <c r="AS58" s="35"/>
    </row>
    <row r="59" spans="1:57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90"/>
      <c r="Q59" s="8"/>
      <c r="R59" s="8"/>
      <c r="S59" s="8"/>
      <c r="T59" s="94"/>
      <c r="U59" s="94"/>
      <c r="V59" s="8"/>
      <c r="W59" s="8"/>
      <c r="X59" s="8"/>
      <c r="Y59" s="8"/>
      <c r="Z59" s="8"/>
      <c r="AA59" s="94"/>
      <c r="AB59" s="94"/>
      <c r="AC59" s="8"/>
      <c r="AD59" s="8"/>
      <c r="AE59" s="8"/>
      <c r="AF59" s="8"/>
      <c r="AG59" s="8"/>
      <c r="AH59" s="94"/>
      <c r="AI59" s="94"/>
      <c r="AJ59" s="8"/>
      <c r="AK59" s="8"/>
      <c r="AL59" s="8"/>
      <c r="AM59" s="8"/>
      <c r="AN59" s="8"/>
      <c r="AO59" s="94"/>
      <c r="AP59" s="94"/>
      <c r="AQ59" s="8"/>
      <c r="AR59" s="8"/>
      <c r="AS59" s="35"/>
    </row>
    <row r="60" spans="1:57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90"/>
      <c r="Q60" s="8"/>
      <c r="R60" s="8"/>
      <c r="S60" s="8"/>
      <c r="T60" s="94"/>
      <c r="U60" s="94"/>
      <c r="V60" s="8"/>
      <c r="W60" s="8"/>
      <c r="X60" s="8"/>
      <c r="Y60" s="8"/>
      <c r="Z60" s="8"/>
      <c r="AA60" s="94"/>
      <c r="AB60" s="94"/>
      <c r="AC60" s="8"/>
      <c r="AD60" s="8"/>
      <c r="AE60" s="8"/>
      <c r="AF60" s="8"/>
      <c r="AG60" s="8"/>
      <c r="AH60" s="94"/>
      <c r="AI60" s="94"/>
      <c r="AJ60" s="8"/>
      <c r="AK60" s="8"/>
      <c r="AL60" s="8"/>
      <c r="AM60" s="8"/>
      <c r="AN60" s="8"/>
      <c r="AO60" s="94"/>
      <c r="AP60" s="94"/>
      <c r="AQ60" s="8"/>
      <c r="AR60" s="8"/>
      <c r="AS60" s="35"/>
    </row>
    <row r="61" spans="1:57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90"/>
      <c r="Q61" s="8"/>
      <c r="R61" s="8"/>
      <c r="S61" s="8"/>
      <c r="T61" s="94"/>
      <c r="U61" s="94"/>
      <c r="V61" s="8"/>
      <c r="W61" s="8"/>
      <c r="X61" s="8"/>
      <c r="Y61" s="8"/>
      <c r="Z61" s="8"/>
      <c r="AA61" s="94"/>
      <c r="AB61" s="94"/>
      <c r="AC61" s="8"/>
      <c r="AD61" s="8"/>
      <c r="AE61" s="8"/>
      <c r="AF61" s="8"/>
      <c r="AG61" s="8"/>
      <c r="AH61" s="94"/>
      <c r="AI61" s="94"/>
      <c r="AJ61" s="8"/>
      <c r="AK61" s="8"/>
      <c r="AL61" s="8"/>
      <c r="AM61" s="8"/>
      <c r="AN61" s="8"/>
      <c r="AO61" s="94"/>
      <c r="AP61" s="94"/>
      <c r="AQ61" s="8"/>
      <c r="AR61" s="8"/>
      <c r="AS61" s="35"/>
    </row>
    <row r="62" spans="1:57" ht="20.100000000000001" customHeight="1" thickBot="1" x14ac:dyDescent="0.3">
      <c r="A62" s="139" t="str">
        <f>IFERROR(IF(config!E54="","",config!E54),"")</f>
        <v>N019975</v>
      </c>
      <c r="B62" s="139" t="str">
        <f>IFERROR(IF(config!F54="","",config!F54),"")</f>
        <v>VILLENEUVE</v>
      </c>
      <c r="C62" s="102" t="str">
        <f>IFERROR(IF(config!G54="","",config!G54),"")</f>
        <v>Fabrice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92">
        <f t="shared" si="50"/>
        <v>0</v>
      </c>
      <c r="P62" s="91"/>
      <c r="Q62" s="21"/>
      <c r="R62" s="21"/>
      <c r="S62" s="21"/>
      <c r="T62" s="95"/>
      <c r="U62" s="95"/>
      <c r="V62" s="21"/>
      <c r="W62" s="21"/>
      <c r="X62" s="21"/>
      <c r="Y62" s="21"/>
      <c r="Z62" s="21"/>
      <c r="AA62" s="95"/>
      <c r="AB62" s="95"/>
      <c r="AC62" s="21"/>
      <c r="AD62" s="21"/>
      <c r="AE62" s="21"/>
      <c r="AF62" s="21"/>
      <c r="AG62" s="21"/>
      <c r="AH62" s="95"/>
      <c r="AI62" s="95"/>
      <c r="AJ62" s="21"/>
      <c r="AK62" s="21"/>
      <c r="AL62" s="21"/>
      <c r="AM62" s="21"/>
      <c r="AN62" s="21"/>
      <c r="AO62" s="95"/>
      <c r="AP62" s="95"/>
      <c r="AQ62" s="21"/>
      <c r="AR62" s="21"/>
      <c r="AS62" s="36"/>
    </row>
    <row r="63" spans="1:57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9"/>
      <c r="AU63" s="290" t="s">
        <v>221</v>
      </c>
      <c r="AV63" s="291"/>
      <c r="AW63" s="291"/>
      <c r="AX63" s="291"/>
      <c r="AY63" s="291"/>
      <c r="AZ63" s="291"/>
      <c r="BA63" s="291"/>
      <c r="BB63" s="291"/>
      <c r="BC63" s="291"/>
      <c r="BD63" s="291"/>
      <c r="BE63" s="292"/>
    </row>
    <row r="64" spans="1:57" ht="20.100000000000001" customHeight="1" thickBot="1" x14ac:dyDescent="0.3">
      <c r="A64" s="136" t="str">
        <f>IFERROR(IF(config!E56="","",config!E56),"")</f>
        <v>COMMUN - MAGASINIER ET AGENTS ENTRETIEN</v>
      </c>
      <c r="B64" s="137" t="str">
        <f>IFERROR(IF(config!F56="","",config!F56),"")</f>
        <v/>
      </c>
      <c r="C64" s="138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87"/>
      <c r="Q64" s="20"/>
      <c r="R64" s="20"/>
      <c r="S64" s="20"/>
      <c r="T64" s="86"/>
      <c r="U64" s="86"/>
      <c r="V64" s="20"/>
      <c r="W64" s="20"/>
      <c r="X64" s="20"/>
      <c r="Y64" s="20"/>
      <c r="Z64" s="20"/>
      <c r="AA64" s="86"/>
      <c r="AB64" s="86"/>
      <c r="AC64" s="20"/>
      <c r="AD64" s="20"/>
      <c r="AE64" s="20"/>
      <c r="AF64" s="20"/>
      <c r="AG64" s="20"/>
      <c r="AH64" s="86"/>
      <c r="AI64" s="86"/>
      <c r="AJ64" s="20"/>
      <c r="AK64" s="20"/>
      <c r="AL64" s="20"/>
      <c r="AM64" s="20"/>
      <c r="AN64" s="20"/>
      <c r="AO64" s="86"/>
      <c r="AP64" s="86"/>
      <c r="AQ64" s="20"/>
      <c r="AR64" s="20"/>
      <c r="AS64" s="34"/>
      <c r="AU64" s="15" t="s">
        <v>194</v>
      </c>
      <c r="AV64" s="78" t="s">
        <v>195</v>
      </c>
      <c r="AW64" s="12" t="s">
        <v>196</v>
      </c>
      <c r="AX64" s="79" t="s">
        <v>197</v>
      </c>
      <c r="AY64" s="10" t="s">
        <v>198</v>
      </c>
      <c r="AZ64" s="80" t="s">
        <v>199</v>
      </c>
      <c r="BA64" s="11" t="s">
        <v>200</v>
      </c>
      <c r="BB64" s="81" t="s">
        <v>201</v>
      </c>
      <c r="BC64" s="82" t="s">
        <v>202</v>
      </c>
      <c r="BD64" s="83" t="s">
        <v>203</v>
      </c>
      <c r="BE64" s="16" t="s">
        <v>205</v>
      </c>
    </row>
    <row r="65" spans="1:57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90"/>
      <c r="Q65" s="8"/>
      <c r="R65" s="8"/>
      <c r="S65" s="8"/>
      <c r="T65" s="94"/>
      <c r="U65" s="94"/>
      <c r="V65" s="8"/>
      <c r="W65" s="8"/>
      <c r="X65" s="8"/>
      <c r="Y65" s="8"/>
      <c r="Z65" s="8"/>
      <c r="AA65" s="94"/>
      <c r="AB65" s="94"/>
      <c r="AC65" s="8"/>
      <c r="AD65" s="8"/>
      <c r="AE65" s="8"/>
      <c r="AF65" s="8"/>
      <c r="AG65" s="8"/>
      <c r="AH65" s="94"/>
      <c r="AI65" s="94"/>
      <c r="AJ65" s="8"/>
      <c r="AK65" s="8"/>
      <c r="AL65" s="8"/>
      <c r="AM65" s="8"/>
      <c r="AN65" s="8"/>
      <c r="AO65" s="94"/>
      <c r="AP65" s="94"/>
      <c r="AQ65" s="8"/>
      <c r="AR65" s="8"/>
      <c r="AS65" s="35"/>
      <c r="AU65" s="19">
        <f>COUNTIF(P64:AS75,"P")</f>
        <v>0</v>
      </c>
      <c r="AV65" s="19">
        <f>COUNTIF(P64:AS75,"PC")</f>
        <v>0</v>
      </c>
      <c r="AW65" s="19">
        <f>COUNTIF(P64:AS75,"F")</f>
        <v>0</v>
      </c>
      <c r="AX65" s="19">
        <f>COUNTIF(P64:AS75,"AST")</f>
        <v>0</v>
      </c>
      <c r="AY65" s="19">
        <f>COUNTIF(P64:AS75,"Ca")</f>
        <v>0</v>
      </c>
      <c r="AZ65" s="19">
        <f>COUNTIF(P64:AS75,"RTT")</f>
        <v>0</v>
      </c>
      <c r="BA65" s="19">
        <f>COUNTIF(P64:AS75,"CEX")</f>
        <v>0</v>
      </c>
      <c r="BB65" s="19">
        <f>COUNTIF(P64:AS75,"RES")</f>
        <v>0</v>
      </c>
      <c r="BC65" s="19">
        <f>COUNTIF(P64:AS75,"MA")</f>
        <v>0</v>
      </c>
      <c r="BD65" s="19">
        <f>COUNTIF(P64:AS75,"AT")</f>
        <v>0</v>
      </c>
      <c r="BE65" s="19">
        <f>COUNTIF(P64:AS75,"TP")</f>
        <v>0</v>
      </c>
    </row>
    <row r="66" spans="1:57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90"/>
      <c r="Q66" s="8"/>
      <c r="R66" s="8"/>
      <c r="S66" s="8"/>
      <c r="T66" s="94"/>
      <c r="U66" s="94"/>
      <c r="V66" s="8"/>
      <c r="W66" s="8"/>
      <c r="X66" s="8"/>
      <c r="Y66" s="8"/>
      <c r="Z66" s="8"/>
      <c r="AA66" s="94"/>
      <c r="AB66" s="94"/>
      <c r="AC66" s="8"/>
      <c r="AD66" s="8"/>
      <c r="AE66" s="8"/>
      <c r="AF66" s="8"/>
      <c r="AG66" s="8"/>
      <c r="AH66" s="94"/>
      <c r="AI66" s="94"/>
      <c r="AJ66" s="8"/>
      <c r="AK66" s="8"/>
      <c r="AL66" s="8"/>
      <c r="AM66" s="8"/>
      <c r="AN66" s="8"/>
      <c r="AO66" s="94"/>
      <c r="AP66" s="94"/>
      <c r="AQ66" s="8"/>
      <c r="AR66" s="8"/>
      <c r="AS66" s="35"/>
    </row>
    <row r="67" spans="1:57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90"/>
      <c r="Q67" s="8"/>
      <c r="R67" s="8"/>
      <c r="S67" s="8"/>
      <c r="T67" s="94"/>
      <c r="U67" s="94"/>
      <c r="V67" s="8"/>
      <c r="W67" s="8"/>
      <c r="X67" s="8"/>
      <c r="Y67" s="8"/>
      <c r="Z67" s="8"/>
      <c r="AA67" s="94"/>
      <c r="AB67" s="94"/>
      <c r="AC67" s="8"/>
      <c r="AD67" s="8"/>
      <c r="AE67" s="8"/>
      <c r="AF67" s="8"/>
      <c r="AG67" s="8"/>
      <c r="AH67" s="94"/>
      <c r="AI67" s="94"/>
      <c r="AJ67" s="8"/>
      <c r="AK67" s="8"/>
      <c r="AL67" s="8"/>
      <c r="AM67" s="8"/>
      <c r="AN67" s="8"/>
      <c r="AO67" s="94"/>
      <c r="AP67" s="94"/>
      <c r="AQ67" s="8"/>
      <c r="AR67" s="8"/>
      <c r="AS67" s="35"/>
    </row>
    <row r="68" spans="1:57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90"/>
      <c r="Q68" s="8"/>
      <c r="R68" s="8"/>
      <c r="S68" s="8"/>
      <c r="T68" s="94"/>
      <c r="U68" s="94"/>
      <c r="V68" s="8"/>
      <c r="W68" s="8"/>
      <c r="X68" s="8"/>
      <c r="Y68" s="8"/>
      <c r="Z68" s="8"/>
      <c r="AA68" s="94"/>
      <c r="AB68" s="94"/>
      <c r="AC68" s="8"/>
      <c r="AD68" s="8"/>
      <c r="AE68" s="8"/>
      <c r="AF68" s="8"/>
      <c r="AG68" s="8"/>
      <c r="AH68" s="94"/>
      <c r="AI68" s="94"/>
      <c r="AJ68" s="8"/>
      <c r="AK68" s="8"/>
      <c r="AL68" s="8"/>
      <c r="AM68" s="8"/>
      <c r="AN68" s="8"/>
      <c r="AO68" s="94"/>
      <c r="AP68" s="94"/>
      <c r="AQ68" s="8"/>
      <c r="AR68" s="8"/>
      <c r="AS68" s="35"/>
    </row>
    <row r="69" spans="1:57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7">
        <f t="shared" si="51"/>
        <v>0</v>
      </c>
      <c r="E69" s="20">
        <f t="shared" si="52"/>
        <v>0</v>
      </c>
      <c r="F69" s="20">
        <f t="shared" si="53"/>
        <v>0</v>
      </c>
      <c r="G69" s="20">
        <f t="shared" si="54"/>
        <v>0</v>
      </c>
      <c r="H69" s="20">
        <f t="shared" si="55"/>
        <v>0</v>
      </c>
      <c r="I69" s="20">
        <f t="shared" si="56"/>
        <v>0</v>
      </c>
      <c r="J69" s="20">
        <f t="shared" si="57"/>
        <v>0</v>
      </c>
      <c r="K69" s="20">
        <f t="shared" si="58"/>
        <v>0</v>
      </c>
      <c r="L69" s="20">
        <f t="shared" si="59"/>
        <v>0</v>
      </c>
      <c r="M69" s="20">
        <f t="shared" si="60"/>
        <v>0</v>
      </c>
      <c r="N69" s="20">
        <f t="shared" si="61"/>
        <v>0</v>
      </c>
      <c r="O69" s="92">
        <f t="shared" si="62"/>
        <v>0</v>
      </c>
      <c r="P69" s="91"/>
      <c r="Q69" s="21"/>
      <c r="R69" s="21"/>
      <c r="S69" s="21"/>
      <c r="T69" s="95"/>
      <c r="U69" s="95"/>
      <c r="V69" s="21"/>
      <c r="W69" s="21"/>
      <c r="X69" s="21"/>
      <c r="Y69" s="21"/>
      <c r="Z69" s="21"/>
      <c r="AA69" s="95"/>
      <c r="AB69" s="95"/>
      <c r="AC69" s="21"/>
      <c r="AD69" s="21"/>
      <c r="AE69" s="21"/>
      <c r="AF69" s="21"/>
      <c r="AG69" s="21"/>
      <c r="AH69" s="95"/>
      <c r="AI69" s="95"/>
      <c r="AJ69" s="21"/>
      <c r="AK69" s="21"/>
      <c r="AL69" s="21"/>
      <c r="AM69" s="21"/>
      <c r="AN69" s="21"/>
      <c r="AO69" s="95"/>
      <c r="AP69" s="95"/>
      <c r="AQ69" s="21"/>
      <c r="AR69" s="21"/>
      <c r="AS69" s="36"/>
    </row>
    <row r="78" spans="1:57" x14ac:dyDescent="0.25">
      <c r="T78" s="19" t="s">
        <v>194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746" priority="277" operator="equal">
      <formula>"repos"</formula>
    </cfRule>
    <cfRule type="cellIs" dxfId="745" priority="278" operator="equal">
      <formula>"permanence"</formula>
    </cfRule>
    <cfRule type="cellIs" dxfId="744" priority="279" operator="equal">
      <formula>"dimanche"</formula>
    </cfRule>
    <cfRule type="cellIs" dxfId="743" priority="280" operator="equal">
      <formula>"formation"</formula>
    </cfRule>
    <cfRule type="cellIs" dxfId="742" priority="281" operator="equal">
      <formula>"conges exc"</formula>
    </cfRule>
    <cfRule type="cellIs" dxfId="741" priority="282" operator="equal">
      <formula>"conges"</formula>
    </cfRule>
    <cfRule type="cellIs" dxfId="740" priority="283" operator="equal">
      <formula>"asa"</formula>
    </cfRule>
    <cfRule type="cellIs" dxfId="739" priority="284" operator="equal">
      <formula>"maladie / at"</formula>
    </cfRule>
    <cfRule type="cellIs" dxfId="738" priority="285" operator="equal">
      <formula>"presence"</formula>
    </cfRule>
  </conditionalFormatting>
  <conditionalFormatting sqref="D11:O20 D23:O24 D26:O29 D31:O36 D39:O49 D51:O62 D64:O69">
    <cfRule type="cellIs" dxfId="737" priority="286" operator="equal">
      <formula>0</formula>
    </cfRule>
  </conditionalFormatting>
  <conditionalFormatting sqref="P23 P24:U24 R23 T23:U23 AA23:AB24 AH23:AS24">
    <cfRule type="containsText" dxfId="736" priority="261" operator="containsText" text="AST">
      <formula>NOT(ISERROR(SEARCH("AST",P23)))</formula>
    </cfRule>
    <cfRule type="containsText" dxfId="735" priority="262" operator="containsText" text="F">
      <formula>NOT(ISERROR(SEARCH("F",P23)))</formula>
    </cfRule>
    <cfRule type="containsText" dxfId="734" priority="263" operator="containsText" text="MI">
      <formula>NOT(ISERROR(SEARCH("MI",P23)))</formula>
    </cfRule>
    <cfRule type="containsText" dxfId="733" priority="264" operator="containsText" text="P">
      <formula>NOT(ISERROR(SEARCH("P",P23)))</formula>
    </cfRule>
    <cfRule type="containsText" dxfId="732" priority="260" operator="containsText" text="C">
      <formula>NOT(ISERROR(SEARCH("C",P23)))</formula>
    </cfRule>
  </conditionalFormatting>
  <conditionalFormatting sqref="P23:S24 T24:AB24 AH23:AS24">
    <cfRule type="containsText" dxfId="731" priority="228" operator="containsText" text="AT">
      <formula>NOT(ISERROR(SEARCH("AT",P23)))</formula>
    </cfRule>
    <cfRule type="containsText" dxfId="730" priority="229" operator="containsText" text="MA">
      <formula>NOT(ISERROR(SEARCH("MA",P23)))</formula>
    </cfRule>
    <cfRule type="containsText" dxfId="729" priority="230" operator="containsText" text="RES">
      <formula>NOT(ISERROR(SEARCH("RES",P23)))</formula>
    </cfRule>
    <cfRule type="containsText" dxfId="728" priority="231" operator="containsText" text="CEX">
      <formula>NOT(ISERROR(SEARCH("CEX",P23)))</formula>
    </cfRule>
    <cfRule type="containsText" dxfId="727" priority="232" operator="containsText" text="RTT">
      <formula>NOT(ISERROR(SEARCH("RTT",P23)))</formula>
    </cfRule>
  </conditionalFormatting>
  <conditionalFormatting sqref="P26:S28 P29:AS29 P31:AS36 P51:S62 AQ51:AS62">
    <cfRule type="beginsWith" dxfId="726" priority="176" operator="beginsWith" text="CA">
      <formula>LEFT(P26,LEN("CA"))="CA"</formula>
    </cfRule>
    <cfRule type="containsText" dxfId="725" priority="177" operator="containsText" text="AST">
      <formula>NOT(ISERROR(SEARCH("AST",P26)))</formula>
    </cfRule>
    <cfRule type="containsText" dxfId="724" priority="178" operator="containsText" text="F">
      <formula>NOT(ISERROR(SEARCH("F",P26)))</formula>
    </cfRule>
    <cfRule type="containsText" dxfId="723" priority="179" operator="containsText" text="PC">
      <formula>NOT(ISERROR(SEARCH("PC",P26)))</formula>
    </cfRule>
    <cfRule type="containsText" dxfId="722" priority="180" operator="containsText" text="P">
      <formula>NOT(ISERROR(SEARCH("P",P26)))</formula>
    </cfRule>
  </conditionalFormatting>
  <conditionalFormatting sqref="P39:S45 P46:AS46 P47:S49">
    <cfRule type="beginsWith" dxfId="721" priority="164" operator="beginsWith" text="CA">
      <formula>LEFT(P39,LEN("CA"))="CA"</formula>
    </cfRule>
    <cfRule type="containsText" dxfId="720" priority="165" operator="containsText" text="AST">
      <formula>NOT(ISERROR(SEARCH("AST",P39)))</formula>
    </cfRule>
    <cfRule type="containsText" dxfId="719" priority="166" operator="containsText" text="F">
      <formula>NOT(ISERROR(SEARCH("F",P39)))</formula>
    </cfRule>
    <cfRule type="containsText" dxfId="718" priority="167" operator="containsText" text="PC">
      <formula>NOT(ISERROR(SEARCH("PC",P39)))</formula>
    </cfRule>
    <cfRule type="containsText" dxfId="717" priority="168" operator="containsText" text="P">
      <formula>NOT(ISERROR(SEARCH("P",P39)))</formula>
    </cfRule>
  </conditionalFormatting>
  <conditionalFormatting sqref="P65:U69 V66:AS69">
    <cfRule type="containsText" priority="111" operator="containsText" text="TAD">
      <formula>NOT(ISERROR(SEARCH("TAD",P65)))</formula>
    </cfRule>
  </conditionalFormatting>
  <conditionalFormatting sqref="P64:Z64 AA64:AS69">
    <cfRule type="containsText" dxfId="716" priority="110" operator="containsText" text="TP">
      <formula>NOT(ISERROR(SEARCH("TP",P64)))</formula>
    </cfRule>
    <cfRule type="containsText" dxfId="715" priority="112" operator="containsText" text="AT">
      <formula>NOT(ISERROR(SEARCH("AT",P64)))</formula>
    </cfRule>
    <cfRule type="containsText" dxfId="714" priority="113" operator="containsText" text="MA">
      <formula>NOT(ISERROR(SEARCH("MA",P64)))</formula>
    </cfRule>
    <cfRule type="containsText" dxfId="713" priority="114" operator="containsText" text="RES">
      <formula>NOT(ISERROR(SEARCH("RES",P64)))</formula>
    </cfRule>
    <cfRule type="containsText" dxfId="712" priority="115" operator="containsText" text="CEX">
      <formula>NOT(ISERROR(SEARCH("CEX",P64)))</formula>
    </cfRule>
    <cfRule type="containsText" dxfId="711" priority="116" operator="containsText" text="RTT">
      <formula>NOT(ISERROR(SEARCH("RTT",P64)))</formula>
    </cfRule>
  </conditionalFormatting>
  <conditionalFormatting sqref="P64:Z64 P65:S69 AJ64:AN64">
    <cfRule type="beginsWith" dxfId="710" priority="117" operator="beginsWith" text="CA">
      <formula>LEFT(P64,LEN("CA"))="CA"</formula>
    </cfRule>
    <cfRule type="containsText" dxfId="709" priority="118" operator="containsText" text="AST">
      <formula>NOT(ISERROR(SEARCH("AST",P64)))</formula>
    </cfRule>
    <cfRule type="containsText" dxfId="708" priority="119" operator="containsText" text="F">
      <formula>NOT(ISERROR(SEARCH("F",P64)))</formula>
    </cfRule>
    <cfRule type="containsText" dxfId="707" priority="120" operator="containsText" text="PC">
      <formula>NOT(ISERROR(SEARCH("PC",P64)))</formula>
    </cfRule>
    <cfRule type="containsText" dxfId="706" priority="121" operator="containsText" text="P">
      <formula>NOT(ISERROR(SEARCH("P",P64)))</formula>
    </cfRule>
  </conditionalFormatting>
  <conditionalFormatting sqref="P23:AB24 P51:AS62 AH23:AS24">
    <cfRule type="containsText" dxfId="705" priority="216" operator="containsText" text="TP">
      <formula>NOT(ISERROR(SEARCH("TP",P23)))</formula>
    </cfRule>
  </conditionalFormatting>
  <conditionalFormatting sqref="P64:AN64 V65:AN65 Z66 AJ64:AJ65">
    <cfRule type="containsText" priority="68" operator="containsText" text="TAD">
      <formula>NOT(ISERROR(SEARCH("TAD",P64)))</formula>
    </cfRule>
  </conditionalFormatting>
  <conditionalFormatting sqref="P9:AS9">
    <cfRule type="expression" dxfId="704" priority="288">
      <formula>OR(P$9=1, P$9=7)</formula>
    </cfRule>
  </conditionalFormatting>
  <conditionalFormatting sqref="P9:AS10">
    <cfRule type="expression" dxfId="703" priority="287">
      <formula>OR(P$9=1,P$9=7)</formula>
    </cfRule>
  </conditionalFormatting>
  <conditionalFormatting sqref="P11:AS20">
    <cfRule type="containsText" dxfId="702" priority="265" operator="containsText" text="TP">
      <formula>NOT(ISERROR(SEARCH("TP",P11)))</formula>
    </cfRule>
    <cfRule type="containsText" priority="266" operator="containsText" text="TAD">
      <formula>NOT(ISERROR(SEARCH("TAD",P11)))</formula>
    </cfRule>
    <cfRule type="containsText" dxfId="701" priority="267" operator="containsText" text="AT">
      <formula>NOT(ISERROR(SEARCH("AT",P11)))</formula>
    </cfRule>
    <cfRule type="containsText" dxfId="700" priority="268" operator="containsText" text="MA">
      <formula>NOT(ISERROR(SEARCH("MA",P11)))</formula>
    </cfRule>
    <cfRule type="containsText" dxfId="699" priority="269" operator="containsText" text="RES">
      <formula>NOT(ISERROR(SEARCH("RES",P11)))</formula>
    </cfRule>
    <cfRule type="containsText" dxfId="698" priority="270" operator="containsText" text="CEX">
      <formula>NOT(ISERROR(SEARCH("CEX",P11)))</formula>
    </cfRule>
    <cfRule type="containsText" dxfId="697" priority="271" operator="containsText" text="RTT">
      <formula>NOT(ISERROR(SEARCH("RTT",P11)))</formula>
    </cfRule>
    <cfRule type="beginsWith" dxfId="696" priority="272" operator="beginsWith" text="CA">
      <formula>LEFT(P11,LEN("CA"))="CA"</formula>
    </cfRule>
    <cfRule type="containsText" dxfId="695" priority="273" operator="containsText" text="AST">
      <formula>NOT(ISERROR(SEARCH("AST",P11)))</formula>
    </cfRule>
    <cfRule type="containsText" dxfId="694" priority="274" operator="containsText" text="F">
      <formula>NOT(ISERROR(SEARCH("F",P11)))</formula>
    </cfRule>
    <cfRule type="containsText" dxfId="693" priority="275" operator="containsText" text="PC">
      <formula>NOT(ISERROR(SEARCH("PC",P11)))</formula>
    </cfRule>
    <cfRule type="containsText" dxfId="692" priority="276" operator="containsText" text="P">
      <formula>NOT(ISERROR(SEARCH("P",P11)))</formula>
    </cfRule>
  </conditionalFormatting>
  <conditionalFormatting sqref="P23:AS24">
    <cfRule type="containsText" priority="46" operator="containsText" text="TAD">
      <formula>NOT(ISERROR(SEARCH("TAD",P23)))</formula>
    </cfRule>
  </conditionalFormatting>
  <conditionalFormatting sqref="P26:AS29 P31:AS36 P51:AS62">
    <cfRule type="containsText" priority="170" operator="containsText" text="TAD">
      <formula>NOT(ISERROR(SEARCH("TAD",P26)))</formula>
    </cfRule>
    <cfRule type="containsText" dxfId="691" priority="171" operator="containsText" text="AT">
      <formula>NOT(ISERROR(SEARCH("AT",P26)))</formula>
    </cfRule>
    <cfRule type="containsText" dxfId="690" priority="172" operator="containsText" text="MA">
      <formula>NOT(ISERROR(SEARCH("MA",P26)))</formula>
    </cfRule>
    <cfRule type="containsText" dxfId="689" priority="173" operator="containsText" text="RES">
      <formula>NOT(ISERROR(SEARCH("RES",P26)))</formula>
    </cfRule>
    <cfRule type="containsText" dxfId="688" priority="174" operator="containsText" text="CEX">
      <formula>NOT(ISERROR(SEARCH("CEX",P26)))</formula>
    </cfRule>
    <cfRule type="containsText" dxfId="687" priority="175" operator="containsText" text="RTT">
      <formula>NOT(ISERROR(SEARCH("RTT",P26)))</formula>
    </cfRule>
  </conditionalFormatting>
  <conditionalFormatting sqref="P26:AS29 P31:AS36">
    <cfRule type="containsText" dxfId="686" priority="169" operator="containsText" text="TP">
      <formula>NOT(ISERROR(SEARCH("TP",P26)))</formula>
    </cfRule>
  </conditionalFormatting>
  <conditionalFormatting sqref="P39:AS49">
    <cfRule type="containsText" dxfId="685" priority="137" operator="containsText" text="TP">
      <formula>NOT(ISERROR(SEARCH("TP",P39)))</formula>
    </cfRule>
    <cfRule type="containsText" priority="138" operator="containsText" text="TAD">
      <formula>NOT(ISERROR(SEARCH("TAD",P39)))</formula>
    </cfRule>
    <cfRule type="containsText" dxfId="684" priority="139" operator="containsText" text="AT">
      <formula>NOT(ISERROR(SEARCH("AT",P39)))</formula>
    </cfRule>
    <cfRule type="containsText" dxfId="683" priority="140" operator="containsText" text="MA">
      <formula>NOT(ISERROR(SEARCH("MA",P39)))</formula>
    </cfRule>
    <cfRule type="containsText" dxfId="682" priority="141" operator="containsText" text="RES">
      <formula>NOT(ISERROR(SEARCH("RES",P39)))</formula>
    </cfRule>
    <cfRule type="containsText" dxfId="681" priority="142" operator="containsText" text="CEX">
      <formula>NOT(ISERROR(SEARCH("CEX",P39)))</formula>
    </cfRule>
    <cfRule type="containsText" dxfId="680" priority="143" operator="containsText" text="RTT">
      <formula>NOT(ISERROR(SEARCH("RTT",P39)))</formula>
    </cfRule>
  </conditionalFormatting>
  <conditionalFormatting sqref="Q23:S24">
    <cfRule type="containsText" dxfId="679" priority="227" operator="containsText" text="TP">
      <formula>NOT(ISERROR(SEARCH("TP",Q23)))</formula>
    </cfRule>
    <cfRule type="beginsWith" dxfId="678" priority="233" operator="beginsWith" text="CA">
      <formula>LEFT(Q23,LEN("CA"))="CA"</formula>
    </cfRule>
    <cfRule type="containsText" dxfId="677" priority="234" operator="containsText" text="AST">
      <formula>NOT(ISERROR(SEARCH("AST",Q23)))</formula>
    </cfRule>
    <cfRule type="containsText" dxfId="676" priority="235" operator="containsText" text="F">
      <formula>NOT(ISERROR(SEARCH("F",Q23)))</formula>
    </cfRule>
    <cfRule type="containsText" dxfId="675" priority="236" operator="containsText" text="PC">
      <formula>NOT(ISERROR(SEARCH("PC",Q23)))</formula>
    </cfRule>
    <cfRule type="containsText" dxfId="674" priority="237" operator="containsText" text="P">
      <formula>NOT(ISERROR(SEARCH("P",Q23)))</formula>
    </cfRule>
  </conditionalFormatting>
  <conditionalFormatting sqref="S23">
    <cfRule type="beginsWith" dxfId="673" priority="222" operator="beginsWith" text="CA">
      <formula>LEFT(S23,LEN("CA"))="CA"</formula>
    </cfRule>
    <cfRule type="containsText" dxfId="672" priority="223" operator="containsText" text="AST">
      <formula>NOT(ISERROR(SEARCH("AST",S23)))</formula>
    </cfRule>
    <cfRule type="containsText" dxfId="671" priority="224" operator="containsText" text="F">
      <formula>NOT(ISERROR(SEARCH("F",S23)))</formula>
    </cfRule>
    <cfRule type="containsText" dxfId="670" priority="225" operator="containsText" text="PC">
      <formula>NOT(ISERROR(SEARCH("PC",S23)))</formula>
    </cfRule>
    <cfRule type="containsText" dxfId="669" priority="226" operator="containsText" text="P">
      <formula>NOT(ISERROR(SEARCH("P",S23)))</formula>
    </cfRule>
  </conditionalFormatting>
  <conditionalFormatting sqref="S23:AB23 W24:Z24">
    <cfRule type="containsText" dxfId="668" priority="217" operator="containsText" text="AT">
      <formula>NOT(ISERROR(SEARCH("AT",S23)))</formula>
    </cfRule>
    <cfRule type="containsText" dxfId="667" priority="218" operator="containsText" text="MA">
      <formula>NOT(ISERROR(SEARCH("MA",S23)))</formula>
    </cfRule>
    <cfRule type="containsText" dxfId="666" priority="219" operator="containsText" text="RES">
      <formula>NOT(ISERROR(SEARCH("RES",S23)))</formula>
    </cfRule>
    <cfRule type="containsText" dxfId="665" priority="220" operator="containsText" text="CEX">
      <formula>NOT(ISERROR(SEARCH("CEX",S23)))</formula>
    </cfRule>
    <cfRule type="containsText" dxfId="664" priority="221" operator="containsText" text="RTT">
      <formula>NOT(ISERROR(SEARCH("RTT",S23)))</formula>
    </cfRule>
  </conditionalFormatting>
  <conditionalFormatting sqref="T26:U29 T31:U36 AA26:AB29 AA31:AB36 AH26:AJ28 AO26:AP29 AO31:AP36">
    <cfRule type="containsText" dxfId="663" priority="255" operator="containsText" text="C">
      <formula>NOT(ISERROR(SEARCH("C",T26)))</formula>
    </cfRule>
    <cfRule type="containsText" dxfId="662" priority="256" operator="containsText" text="AST">
      <formula>NOT(ISERROR(SEARCH("AST",T26)))</formula>
    </cfRule>
    <cfRule type="containsText" dxfId="661" priority="257" operator="containsText" text="F">
      <formula>NOT(ISERROR(SEARCH("F",T26)))</formula>
    </cfRule>
    <cfRule type="containsText" dxfId="660" priority="258" operator="containsText" text="MI">
      <formula>NOT(ISERROR(SEARCH("MI",T26)))</formula>
    </cfRule>
    <cfRule type="containsText" dxfId="659" priority="259" operator="containsText" text="P">
      <formula>NOT(ISERROR(SEARCH("P",T26)))</formula>
    </cfRule>
  </conditionalFormatting>
  <conditionalFormatting sqref="T39:U49 AA39:AB49 AH39:AJ49 AO39:AP49">
    <cfRule type="containsText" dxfId="658" priority="250" operator="containsText" text="C">
      <formula>NOT(ISERROR(SEARCH("C",T39)))</formula>
    </cfRule>
    <cfRule type="containsText" dxfId="657" priority="251" operator="containsText" text="AST">
      <formula>NOT(ISERROR(SEARCH("AST",T39)))</formula>
    </cfRule>
    <cfRule type="containsText" dxfId="656" priority="252" operator="containsText" text="F">
      <formula>NOT(ISERROR(SEARCH("F",T39)))</formula>
    </cfRule>
    <cfRule type="containsText" dxfId="655" priority="253" operator="containsText" text="PC">
      <formula>NOT(ISERROR(SEARCH("PC",T39)))</formula>
    </cfRule>
    <cfRule type="containsText" dxfId="654" priority="254" operator="containsText" text="P">
      <formula>NOT(ISERROR(SEARCH("P",T39)))</formula>
    </cfRule>
  </conditionalFormatting>
  <conditionalFormatting sqref="T51:U62 AA51:AB62 AH51:AJ62 AO51:AP62">
    <cfRule type="containsText" dxfId="653" priority="245" operator="containsText" text="C">
      <formula>NOT(ISERROR(SEARCH("C",T51)))</formula>
    </cfRule>
    <cfRule type="containsText" dxfId="652" priority="246" operator="containsText" text="AST">
      <formula>NOT(ISERROR(SEARCH("AST",T51)))</formula>
    </cfRule>
    <cfRule type="containsText" dxfId="651" priority="247" operator="containsText" text="F">
      <formula>NOT(ISERROR(SEARCH("F",T51)))</formula>
    </cfRule>
    <cfRule type="containsText" dxfId="650" priority="248" operator="containsText" text="MI">
      <formula>NOT(ISERROR(SEARCH("MI",T51)))</formula>
    </cfRule>
    <cfRule type="containsText" dxfId="649" priority="249" operator="containsText" text="P">
      <formula>NOT(ISERROR(SEARCH("P",T51)))</formula>
    </cfRule>
  </conditionalFormatting>
  <conditionalFormatting sqref="P65:Z69 T64:U64">
    <cfRule type="containsText" dxfId="648" priority="79" operator="containsText" text="TP">
      <formula>NOT(ISERROR(SEARCH("TP",P64)))</formula>
    </cfRule>
    <cfRule type="containsText" dxfId="647" priority="80" operator="containsText" text="AT">
      <formula>NOT(ISERROR(SEARCH("AT",P64)))</formula>
    </cfRule>
    <cfRule type="containsText" dxfId="646" priority="81" operator="containsText" text="MA">
      <formula>NOT(ISERROR(SEARCH("MA",P64)))</formula>
    </cfRule>
    <cfRule type="containsText" dxfId="645" priority="82" operator="containsText" text="RES">
      <formula>NOT(ISERROR(SEARCH("RES",P64)))</formula>
    </cfRule>
    <cfRule type="containsText" dxfId="644" priority="83" operator="containsText" text="CEX">
      <formula>NOT(ISERROR(SEARCH("CEX",P64)))</formula>
    </cfRule>
    <cfRule type="containsText" dxfId="643" priority="84" operator="containsText" text="RTT">
      <formula>NOT(ISERROR(SEARCH("RTT",P64)))</formula>
    </cfRule>
  </conditionalFormatting>
  <conditionalFormatting sqref="T64:U69 W66 Y66 AA64:AB65 AA66:AC67 AA68:AB69 AD67 AE66:AE67 AF67:AS67 AG66:AN66 AH64:AI64 AH65:AJ65 AH68:AJ69 AJ66:AJ67 AO64:AP66 AO68:AP69 AQ66:AS66">
    <cfRule type="containsText" dxfId="642" priority="240" operator="containsText" text="C">
      <formula>NOT(ISERROR(SEARCH("C",T64)))</formula>
    </cfRule>
    <cfRule type="containsText" dxfId="641" priority="241" operator="containsText" text="AST">
      <formula>NOT(ISERROR(SEARCH("AST",T64)))</formula>
    </cfRule>
    <cfRule type="containsText" dxfId="640" priority="242" operator="containsText" text="F">
      <formula>NOT(ISERROR(SEARCH("F",T64)))</formula>
    </cfRule>
    <cfRule type="containsText" dxfId="639" priority="243" operator="containsText" text="MI">
      <formula>NOT(ISERROR(SEARCH("MI",T64)))</formula>
    </cfRule>
    <cfRule type="containsText" dxfId="638" priority="244" operator="containsText" text="P">
      <formula>NOT(ISERROR(SEARCH("P",T64)))</formula>
    </cfRule>
  </conditionalFormatting>
  <conditionalFormatting sqref="V66">
    <cfRule type="beginsWith" dxfId="637" priority="105" operator="beginsWith" text="CA">
      <formula>LEFT(V66,LEN("CA"))="CA"</formula>
    </cfRule>
    <cfRule type="containsText" dxfId="636" priority="106" operator="containsText" text="AST">
      <formula>NOT(ISERROR(SEARCH("AST",V66)))</formula>
    </cfRule>
    <cfRule type="containsText" dxfId="635" priority="107" operator="containsText" text="F">
      <formula>NOT(ISERROR(SEARCH("F",V66)))</formula>
    </cfRule>
    <cfRule type="containsText" dxfId="634" priority="108" operator="containsText" text="PC">
      <formula>NOT(ISERROR(SEARCH("PC",V66)))</formula>
    </cfRule>
    <cfRule type="containsText" dxfId="633" priority="109" operator="containsText" text="P">
      <formula>NOT(ISERROR(SEARCH("P",V66)))</formula>
    </cfRule>
  </conditionalFormatting>
  <conditionalFormatting sqref="V23:Z24">
    <cfRule type="beginsWith" dxfId="632" priority="211" operator="beginsWith" text="CA">
      <formula>LEFT(V23,LEN("CA"))="CA"</formula>
    </cfRule>
    <cfRule type="containsText" dxfId="631" priority="212" operator="containsText" text="AST">
      <formula>NOT(ISERROR(SEARCH("AST",V23)))</formula>
    </cfRule>
    <cfRule type="containsText" dxfId="630" priority="213" operator="containsText" text="F">
      <formula>NOT(ISERROR(SEARCH("F",V23)))</formula>
    </cfRule>
    <cfRule type="containsText" dxfId="629" priority="214" operator="containsText" text="PC">
      <formula>NOT(ISERROR(SEARCH("PC",V23)))</formula>
    </cfRule>
    <cfRule type="containsText" dxfId="628" priority="215" operator="containsText" text="P">
      <formula>NOT(ISERROR(SEARCH("P",V23)))</formula>
    </cfRule>
  </conditionalFormatting>
  <conditionalFormatting sqref="V26:Z28">
    <cfRule type="beginsWith" dxfId="627" priority="196" operator="beginsWith" text="CA">
      <formula>LEFT(V26,LEN("CA"))="CA"</formula>
    </cfRule>
    <cfRule type="containsText" dxfId="626" priority="197" operator="containsText" text="AST">
      <formula>NOT(ISERROR(SEARCH("AST",V26)))</formula>
    </cfRule>
    <cfRule type="containsText" dxfId="625" priority="198" operator="containsText" text="F">
      <formula>NOT(ISERROR(SEARCH("F",V26)))</formula>
    </cfRule>
    <cfRule type="containsText" dxfId="624" priority="199" operator="containsText" text="PC">
      <formula>NOT(ISERROR(SEARCH("PC",V26)))</formula>
    </cfRule>
    <cfRule type="containsText" dxfId="623" priority="200" operator="containsText" text="P">
      <formula>NOT(ISERROR(SEARCH("P",V26)))</formula>
    </cfRule>
  </conditionalFormatting>
  <conditionalFormatting sqref="V51:Z62">
    <cfRule type="beginsWith" dxfId="622" priority="132" operator="beginsWith" text="CA">
      <formula>LEFT(V51,LEN("CA"))="CA"</formula>
    </cfRule>
    <cfRule type="containsText" dxfId="621" priority="133" operator="containsText" text="AST">
      <formula>NOT(ISERROR(SEARCH("AST",V51)))</formula>
    </cfRule>
    <cfRule type="containsText" dxfId="620" priority="134" operator="containsText" text="F">
      <formula>NOT(ISERROR(SEARCH("F",V51)))</formula>
    </cfRule>
    <cfRule type="containsText" dxfId="619" priority="135" operator="containsText" text="PC">
      <formula>NOT(ISERROR(SEARCH("PC",V51)))</formula>
    </cfRule>
    <cfRule type="containsText" dxfId="618" priority="136" operator="containsText" text="P">
      <formula>NOT(ISERROR(SEARCH("P",V51)))</formula>
    </cfRule>
  </conditionalFormatting>
  <conditionalFormatting sqref="V65:Z65 Z66">
    <cfRule type="beginsWith" dxfId="617" priority="90" operator="beginsWith" text="CA">
      <formula>LEFT(V65,LEN("CA"))="CA"</formula>
    </cfRule>
    <cfRule type="containsText" dxfId="616" priority="91" operator="containsText" text="AST">
      <formula>NOT(ISERROR(SEARCH("AST",V65)))</formula>
    </cfRule>
    <cfRule type="containsText" dxfId="615" priority="92" operator="containsText" text="F">
      <formula>NOT(ISERROR(SEARCH("F",V65)))</formula>
    </cfRule>
    <cfRule type="containsText" dxfId="614" priority="93" operator="containsText" text="PC">
      <formula>NOT(ISERROR(SEARCH("PC",V65)))</formula>
    </cfRule>
    <cfRule type="containsText" dxfId="613" priority="94" operator="containsText" text="P">
      <formula>NOT(ISERROR(SEARCH("P",V65)))</formula>
    </cfRule>
  </conditionalFormatting>
  <conditionalFormatting sqref="V67:Z69">
    <cfRule type="beginsWith" dxfId="612" priority="85" operator="beginsWith" text="CA">
      <formula>LEFT(V67,LEN("CA"))="CA"</formula>
    </cfRule>
    <cfRule type="containsText" dxfId="611" priority="86" operator="containsText" text="AST">
      <formula>NOT(ISERROR(SEARCH("AST",V67)))</formula>
    </cfRule>
    <cfRule type="containsText" dxfId="610" priority="87" operator="containsText" text="F">
      <formula>NOT(ISERROR(SEARCH("F",V67)))</formula>
    </cfRule>
    <cfRule type="containsText" dxfId="609" priority="88" operator="containsText" text="PC">
      <formula>NOT(ISERROR(SEARCH("PC",V67)))</formula>
    </cfRule>
    <cfRule type="containsText" dxfId="608" priority="89" operator="containsText" text="P">
      <formula>NOT(ISERROR(SEARCH("P",V67)))</formula>
    </cfRule>
  </conditionalFormatting>
  <conditionalFormatting sqref="V39:V45 V47:Z49 W39:AS39 W40:Z45">
    <cfRule type="beginsWith" dxfId="607" priority="159" operator="beginsWith" text="CA">
      <formula>LEFT(V39,LEN("CA"))="CA"</formula>
    </cfRule>
    <cfRule type="containsText" dxfId="606" priority="160" operator="containsText" text="AST">
      <formula>NOT(ISERROR(SEARCH("AST",V39)))</formula>
    </cfRule>
    <cfRule type="containsText" dxfId="605" priority="161" operator="containsText" text="F">
      <formula>NOT(ISERROR(SEARCH("F",V39)))</formula>
    </cfRule>
    <cfRule type="containsText" dxfId="604" priority="162" operator="containsText" text="PC">
      <formula>NOT(ISERROR(SEARCH("PC",V39)))</formula>
    </cfRule>
    <cfRule type="containsText" dxfId="603" priority="163" operator="containsText" text="P">
      <formula>NOT(ISERROR(SEARCH("P",V39)))</formula>
    </cfRule>
  </conditionalFormatting>
  <conditionalFormatting sqref="X20">
    <cfRule type="colorScale" priority="23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602" priority="100" operator="beginsWith" text="CA">
      <formula>LEFT(X66,LEN("CA"))="CA"</formula>
    </cfRule>
    <cfRule type="containsText" dxfId="601" priority="101" operator="containsText" text="AST">
      <formula>NOT(ISERROR(SEARCH("AST",X66)))</formula>
    </cfRule>
    <cfRule type="containsText" dxfId="600" priority="102" operator="containsText" text="F">
      <formula>NOT(ISERROR(SEARCH("F",X66)))</formula>
    </cfRule>
    <cfRule type="containsText" dxfId="599" priority="103" operator="containsText" text="PC">
      <formula>NOT(ISERROR(SEARCH("PC",X66)))</formula>
    </cfRule>
    <cfRule type="containsText" dxfId="598" priority="104" operator="containsText" text="P">
      <formula>NOT(ISERROR(SEARCH("P",X66)))</formula>
    </cfRule>
  </conditionalFormatting>
  <conditionalFormatting sqref="Z66">
    <cfRule type="beginsWith" dxfId="597" priority="95" operator="beginsWith" text="CA">
      <formula>LEFT(Z66,LEN("CA"))="CA"</formula>
    </cfRule>
    <cfRule type="containsText" dxfId="596" priority="96" operator="containsText" text="AST">
      <formula>NOT(ISERROR(SEARCH("AST",Z66)))</formula>
    </cfRule>
    <cfRule type="containsText" dxfId="595" priority="97" operator="containsText" text="F">
      <formula>NOT(ISERROR(SEARCH("F",Z66)))</formula>
    </cfRule>
    <cfRule type="containsText" dxfId="594" priority="98" operator="containsText" text="PC">
      <formula>NOT(ISERROR(SEARCH("PC",Z66)))</formula>
    </cfRule>
    <cfRule type="containsText" dxfId="593" priority="99" operator="containsText" text="P">
      <formula>NOT(ISERROR(SEARCH("P",Z66)))</formula>
    </cfRule>
  </conditionalFormatting>
  <conditionalFormatting sqref="AC23:AG24">
    <cfRule type="containsText" dxfId="592" priority="45" operator="containsText" text="TP">
      <formula>NOT(ISERROR(SEARCH("TP",AC23)))</formula>
    </cfRule>
    <cfRule type="containsText" dxfId="591" priority="47" operator="containsText" text="AT">
      <formula>NOT(ISERROR(SEARCH("AT",AC23)))</formula>
    </cfRule>
    <cfRule type="containsText" dxfId="590" priority="48" operator="containsText" text="MA">
      <formula>NOT(ISERROR(SEARCH("MA",AC23)))</formula>
    </cfRule>
    <cfRule type="containsText" dxfId="589" priority="49" operator="containsText" text="RES">
      <formula>NOT(ISERROR(SEARCH("RES",AC23)))</formula>
    </cfRule>
    <cfRule type="containsText" dxfId="588" priority="50" operator="containsText" text="CEX">
      <formula>NOT(ISERROR(SEARCH("CEX",AC23)))</formula>
    </cfRule>
    <cfRule type="containsText" dxfId="587" priority="51" operator="containsText" text="RTT">
      <formula>NOT(ISERROR(SEARCH("RTT",AC23)))</formula>
    </cfRule>
    <cfRule type="containsText" dxfId="586" priority="52" operator="containsText" text="C">
      <formula>NOT(ISERROR(SEARCH("C",AC23)))</formula>
    </cfRule>
    <cfRule type="containsText" dxfId="585" priority="53" operator="containsText" text="AST">
      <formula>NOT(ISERROR(SEARCH("AST",AC23)))</formula>
    </cfRule>
    <cfRule type="containsText" dxfId="584" priority="54" operator="containsText" text="F">
      <formula>NOT(ISERROR(SEARCH("F",AC23)))</formula>
    </cfRule>
    <cfRule type="containsText" dxfId="583" priority="55" operator="containsText" text="MI">
      <formula>NOT(ISERROR(SEARCH("MI",AC23)))</formula>
    </cfRule>
    <cfRule type="containsText" dxfId="582" priority="56" operator="containsText" text="P">
      <formula>NOT(ISERROR(SEARCH("P",AC23)))</formula>
    </cfRule>
  </conditionalFormatting>
  <conditionalFormatting sqref="AC26:AG28">
    <cfRule type="beginsWith" dxfId="581" priority="191" operator="beginsWith" text="CA">
      <formula>LEFT(AC26,LEN("CA"))="CA"</formula>
    </cfRule>
    <cfRule type="containsText" dxfId="580" priority="192" operator="containsText" text="AST">
      <formula>NOT(ISERROR(SEARCH("AST",AC26)))</formula>
    </cfRule>
    <cfRule type="containsText" dxfId="579" priority="193" operator="containsText" text="F">
      <formula>NOT(ISERROR(SEARCH("F",AC26)))</formula>
    </cfRule>
    <cfRule type="containsText" dxfId="578" priority="194" operator="containsText" text="PC">
      <formula>NOT(ISERROR(SEARCH("PC",AC26)))</formula>
    </cfRule>
    <cfRule type="containsText" dxfId="577" priority="195" operator="containsText" text="P">
      <formula>NOT(ISERROR(SEARCH("P",AC26)))</formula>
    </cfRule>
  </conditionalFormatting>
  <conditionalFormatting sqref="AC39:AG45 AC47:AG49 AH42:AN42">
    <cfRule type="containsText" dxfId="576" priority="155" operator="containsText" text="AST">
      <formula>NOT(ISERROR(SEARCH("AST",AC39)))</formula>
    </cfRule>
    <cfRule type="containsText" dxfId="575" priority="156" operator="containsText" text="F">
      <formula>NOT(ISERROR(SEARCH("F",AC39)))</formula>
    </cfRule>
    <cfRule type="containsText" dxfId="574" priority="157" operator="containsText" text="PC">
      <formula>NOT(ISERROR(SEARCH("PC",AC39)))</formula>
    </cfRule>
    <cfRule type="containsText" dxfId="573" priority="158" operator="containsText" text="P">
      <formula>NOT(ISERROR(SEARCH("P",AC39)))</formula>
    </cfRule>
    <cfRule type="beginsWith" dxfId="572" priority="154" operator="beginsWith" text="CA">
      <formula>LEFT(AC39,LEN("CA"))="CA"</formula>
    </cfRule>
  </conditionalFormatting>
  <conditionalFormatting sqref="AC51:AG62 AH57:AN57">
    <cfRule type="containsText" dxfId="571" priority="128" operator="containsText" text="AST">
      <formula>NOT(ISERROR(SEARCH("AST",AC51)))</formula>
    </cfRule>
    <cfRule type="containsText" dxfId="570" priority="129" operator="containsText" text="F">
      <formula>NOT(ISERROR(SEARCH("F",AC51)))</formula>
    </cfRule>
    <cfRule type="containsText" dxfId="569" priority="130" operator="containsText" text="PC">
      <formula>NOT(ISERROR(SEARCH("PC",AC51)))</formula>
    </cfRule>
    <cfRule type="containsText" dxfId="568" priority="131" operator="containsText" text="P">
      <formula>NOT(ISERROR(SEARCH("P",AC51)))</formula>
    </cfRule>
    <cfRule type="beginsWith" dxfId="567" priority="127" operator="beginsWith" text="CA">
      <formula>LEFT(AC51,LEN("CA"))="CA"</formula>
    </cfRule>
  </conditionalFormatting>
  <conditionalFormatting sqref="AC64:AG65 AD66:AD67 AF66:AF67">
    <cfRule type="containsText" dxfId="566" priority="75" operator="containsText" text="AST">
      <formula>NOT(ISERROR(SEARCH("AST",AC64)))</formula>
    </cfRule>
    <cfRule type="containsText" dxfId="565" priority="76" operator="containsText" text="F">
      <formula>NOT(ISERROR(SEARCH("F",AC64)))</formula>
    </cfRule>
    <cfRule type="containsText" dxfId="564" priority="77" operator="containsText" text="PC">
      <formula>NOT(ISERROR(SEARCH("PC",AC64)))</formula>
    </cfRule>
    <cfRule type="containsText" dxfId="563" priority="78" operator="containsText" text="P">
      <formula>NOT(ISERROR(SEARCH("P",AC64)))</formula>
    </cfRule>
    <cfRule type="beginsWith" dxfId="562" priority="74" operator="beginsWith" text="CA">
      <formula>LEFT(AC64,LEN("CA"))="CA"</formula>
    </cfRule>
  </conditionalFormatting>
  <conditionalFormatting sqref="AC67:AG67">
    <cfRule type="containsText" dxfId="561" priority="34" operator="containsText" text="TP">
      <formula>NOT(ISERROR(SEARCH("TP",AC67)))</formula>
    </cfRule>
    <cfRule type="containsText" dxfId="560" priority="35" operator="containsText" text="AT">
      <formula>NOT(ISERROR(SEARCH("AT",AC67)))</formula>
    </cfRule>
    <cfRule type="containsText" dxfId="559" priority="36" operator="containsText" text="MA">
      <formula>NOT(ISERROR(SEARCH("MA",AC67)))</formula>
    </cfRule>
    <cfRule type="containsText" dxfId="558" priority="37" operator="containsText" text="RES">
      <formula>NOT(ISERROR(SEARCH("RES",AC67)))</formula>
    </cfRule>
    <cfRule type="containsText" dxfId="557" priority="38" operator="containsText" text="CEX">
      <formula>NOT(ISERROR(SEARCH("CEX",AC67)))</formula>
    </cfRule>
    <cfRule type="containsText" dxfId="556" priority="39" operator="containsText" text="RTT">
      <formula>NOT(ISERROR(SEARCH("RTT",AC67)))</formula>
    </cfRule>
  </conditionalFormatting>
  <conditionalFormatting sqref="AC67:AG69">
    <cfRule type="beginsWith" dxfId="555" priority="40" operator="beginsWith" text="CA">
      <formula>LEFT(AC67,LEN("CA"))="CA"</formula>
    </cfRule>
    <cfRule type="containsText" dxfId="554" priority="41" operator="containsText" text="AST">
      <formula>NOT(ISERROR(SEARCH("AST",AC67)))</formula>
    </cfRule>
    <cfRule type="containsText" dxfId="553" priority="42" operator="containsText" text="F">
      <formula>NOT(ISERROR(SEARCH("F",AC67)))</formula>
    </cfRule>
    <cfRule type="containsText" dxfId="552" priority="43" operator="containsText" text="PC">
      <formula>NOT(ISERROR(SEARCH("PC",AC67)))</formula>
    </cfRule>
    <cfRule type="containsText" dxfId="551" priority="44" operator="containsText" text="P">
      <formula>NOT(ISERROR(SEARCH("P",AC67)))</formula>
    </cfRule>
  </conditionalFormatting>
  <conditionalFormatting sqref="AH31:AI36">
    <cfRule type="containsText" dxfId="550" priority="6" operator="containsText" text="C">
      <formula>NOT(ISERROR(SEARCH("C",AH31)))</formula>
    </cfRule>
    <cfRule type="containsText" dxfId="549" priority="7" operator="containsText" text="AST">
      <formula>NOT(ISERROR(SEARCH("AST",AH31)))</formula>
    </cfRule>
    <cfRule type="containsText" dxfId="548" priority="8" operator="containsText" text="F">
      <formula>NOT(ISERROR(SEARCH("F",AH31)))</formula>
    </cfRule>
    <cfRule type="containsText" dxfId="547" priority="9" operator="containsText" text="MI">
      <formula>NOT(ISERROR(SEARCH("MI",AH31)))</formula>
    </cfRule>
    <cfRule type="containsText" dxfId="546" priority="10" operator="containsText" text="P">
      <formula>NOT(ISERROR(SEARCH("P",AH31)))</formula>
    </cfRule>
  </conditionalFormatting>
  <conditionalFormatting sqref="AJ39:AN45 AJ47:AN49">
    <cfRule type="beginsWith" dxfId="545" priority="149" operator="beginsWith" text="CA">
      <formula>LEFT(AJ39,LEN("CA"))="CA"</formula>
    </cfRule>
    <cfRule type="containsText" dxfId="544" priority="150" operator="containsText" text="AST">
      <formula>NOT(ISERROR(SEARCH("AST",AJ39)))</formula>
    </cfRule>
    <cfRule type="containsText" dxfId="543" priority="151" operator="containsText" text="F">
      <formula>NOT(ISERROR(SEARCH("F",AJ39)))</formula>
    </cfRule>
    <cfRule type="containsText" dxfId="542" priority="152" operator="containsText" text="PC">
      <formula>NOT(ISERROR(SEARCH("PC",AJ39)))</formula>
    </cfRule>
    <cfRule type="containsText" dxfId="541" priority="153" operator="containsText" text="P">
      <formula>NOT(ISERROR(SEARCH("P",AJ39)))</formula>
    </cfRule>
  </conditionalFormatting>
  <conditionalFormatting sqref="AJ51:AN62">
    <cfRule type="beginsWith" dxfId="540" priority="122" operator="beginsWith" text="CA">
      <formula>LEFT(AJ51,LEN("CA"))="CA"</formula>
    </cfRule>
    <cfRule type="containsText" dxfId="539" priority="123" operator="containsText" text="AST">
      <formula>NOT(ISERROR(SEARCH("AST",AJ51)))</formula>
    </cfRule>
    <cfRule type="containsText" dxfId="538" priority="124" operator="containsText" text="F">
      <formula>NOT(ISERROR(SEARCH("F",AJ51)))</formula>
    </cfRule>
    <cfRule type="containsText" dxfId="537" priority="125" operator="containsText" text="PC">
      <formula>NOT(ISERROR(SEARCH("PC",AJ51)))</formula>
    </cfRule>
    <cfRule type="containsText" dxfId="536" priority="126" operator="containsText" text="P">
      <formula>NOT(ISERROR(SEARCH("P",AJ51)))</formula>
    </cfRule>
  </conditionalFormatting>
  <conditionalFormatting sqref="AJ65:AN65">
    <cfRule type="beginsWith" dxfId="535" priority="69" operator="beginsWith" text="CA">
      <formula>LEFT(AJ65,LEN("CA"))="CA"</formula>
    </cfRule>
    <cfRule type="containsText" dxfId="534" priority="70" operator="containsText" text="AST">
      <formula>NOT(ISERROR(SEARCH("AST",AJ65)))</formula>
    </cfRule>
    <cfRule type="containsText" dxfId="533" priority="71" operator="containsText" text="F">
      <formula>NOT(ISERROR(SEARCH("F",AJ65)))</formula>
    </cfRule>
    <cfRule type="containsText" dxfId="532" priority="72" operator="containsText" text="PC">
      <formula>NOT(ISERROR(SEARCH("PC",AJ65)))</formula>
    </cfRule>
    <cfRule type="containsText" dxfId="531" priority="73" operator="containsText" text="P">
      <formula>NOT(ISERROR(SEARCH("P",AJ65)))</formula>
    </cfRule>
  </conditionalFormatting>
  <conditionalFormatting sqref="AJ67:AN67">
    <cfRule type="containsText" dxfId="530" priority="23" operator="containsText" text="TP">
      <formula>NOT(ISERROR(SEARCH("TP",AJ67)))</formula>
    </cfRule>
    <cfRule type="containsText" dxfId="529" priority="24" operator="containsText" text="AT">
      <formula>NOT(ISERROR(SEARCH("AT",AJ67)))</formula>
    </cfRule>
    <cfRule type="containsText" dxfId="528" priority="25" operator="containsText" text="MA">
      <formula>NOT(ISERROR(SEARCH("MA",AJ67)))</formula>
    </cfRule>
    <cfRule type="containsText" dxfId="527" priority="26" operator="containsText" text="RES">
      <formula>NOT(ISERROR(SEARCH("RES",AJ67)))</formula>
    </cfRule>
    <cfRule type="containsText" dxfId="526" priority="27" operator="containsText" text="CEX">
      <formula>NOT(ISERROR(SEARCH("CEX",AJ67)))</formula>
    </cfRule>
    <cfRule type="containsText" dxfId="525" priority="28" operator="containsText" text="RTT">
      <formula>NOT(ISERROR(SEARCH("RTT",AJ67)))</formula>
    </cfRule>
  </conditionalFormatting>
  <conditionalFormatting sqref="AJ67:AN69">
    <cfRule type="beginsWith" dxfId="524" priority="29" operator="beginsWith" text="CA">
      <formula>LEFT(AJ67,LEN("CA"))="CA"</formula>
    </cfRule>
    <cfRule type="containsText" dxfId="523" priority="30" operator="containsText" text="AST">
      <formula>NOT(ISERROR(SEARCH("AST",AJ67)))</formula>
    </cfRule>
    <cfRule type="containsText" dxfId="522" priority="31" operator="containsText" text="F">
      <formula>NOT(ISERROR(SEARCH("F",AJ67)))</formula>
    </cfRule>
    <cfRule type="containsText" dxfId="521" priority="32" operator="containsText" text="PC">
      <formula>NOT(ISERROR(SEARCH("PC",AJ67)))</formula>
    </cfRule>
    <cfRule type="containsText" dxfId="520" priority="33" operator="containsText" text="P">
      <formula>NOT(ISERROR(SEARCH("P",AJ67)))</formula>
    </cfRule>
  </conditionalFormatting>
  <conditionalFormatting sqref="AK23:AN24">
    <cfRule type="beginsWith" dxfId="519" priority="206" operator="beginsWith" text="CA">
      <formula>LEFT(AK23,LEN("CA"))="CA"</formula>
    </cfRule>
    <cfRule type="containsText" dxfId="518" priority="207" operator="containsText" text="AST">
      <formula>NOT(ISERROR(SEARCH("AST",AK23)))</formula>
    </cfRule>
    <cfRule type="containsText" dxfId="517" priority="208" operator="containsText" text="F">
      <formula>NOT(ISERROR(SEARCH("F",AK23)))</formula>
    </cfRule>
    <cfRule type="containsText" dxfId="516" priority="209" operator="containsText" text="PC">
      <formula>NOT(ISERROR(SEARCH("PC",AK23)))</formula>
    </cfRule>
    <cfRule type="containsText" dxfId="515" priority="210" operator="containsText" text="P">
      <formula>NOT(ISERROR(SEARCH("P",AK23)))</formula>
    </cfRule>
  </conditionalFormatting>
  <conditionalFormatting sqref="AK26:AN28">
    <cfRule type="beginsWith" dxfId="514" priority="186" operator="beginsWith" text="CA">
      <formula>LEFT(AK26,LEN("CA"))="CA"</formula>
    </cfRule>
    <cfRule type="containsText" dxfId="513" priority="187" operator="containsText" text="AST">
      <formula>NOT(ISERROR(SEARCH("AST",AK26)))</formula>
    </cfRule>
    <cfRule type="containsText" dxfId="512" priority="188" operator="containsText" text="F">
      <formula>NOT(ISERROR(SEARCH("F",AK26)))</formula>
    </cfRule>
    <cfRule type="containsText" dxfId="511" priority="189" operator="containsText" text="PC">
      <formula>NOT(ISERROR(SEARCH("PC",AK26)))</formula>
    </cfRule>
    <cfRule type="containsText" dxfId="510" priority="190" operator="containsText" text="P">
      <formula>NOT(ISERROR(SEARCH("P",AK26)))</formula>
    </cfRule>
  </conditionalFormatting>
  <conditionalFormatting sqref="AM20">
    <cfRule type="colorScale" priority="22">
      <colorScale>
        <cfvo type="min"/>
        <cfvo type="max"/>
        <color rgb="FFFF7128"/>
        <color rgb="FFFFEF9C"/>
      </colorScale>
    </cfRule>
  </conditionalFormatting>
  <conditionalFormatting sqref="AO31:AP36">
    <cfRule type="containsText" dxfId="509" priority="1" operator="containsText" text="C">
      <formula>NOT(ISERROR(SEARCH("C",AO31)))</formula>
    </cfRule>
    <cfRule type="containsText" dxfId="508" priority="2" operator="containsText" text="AST">
      <formula>NOT(ISERROR(SEARCH("AST",AO31)))</formula>
    </cfRule>
    <cfRule type="containsText" dxfId="507" priority="3" operator="containsText" text="F">
      <formula>NOT(ISERROR(SEARCH("F",AO31)))</formula>
    </cfRule>
    <cfRule type="containsText" dxfId="506" priority="4" operator="containsText" text="MI">
      <formula>NOT(ISERROR(SEARCH("MI",AO31)))</formula>
    </cfRule>
    <cfRule type="containsText" dxfId="505" priority="5" operator="containsText" text="P">
      <formula>NOT(ISERROR(SEARCH("P",AO31)))</formula>
    </cfRule>
  </conditionalFormatting>
  <conditionalFormatting sqref="AO64:AS65">
    <cfRule type="containsText" priority="67" operator="containsText" text="TAD">
      <formula>NOT(ISERROR(SEARCH("TAD",AO64)))</formula>
    </cfRule>
  </conditionalFormatting>
  <conditionalFormatting sqref="AQ66">
    <cfRule type="beginsWith" dxfId="504" priority="62" operator="beginsWith" text="CA">
      <formula>LEFT(AQ66,LEN("CA"))="CA"</formula>
    </cfRule>
    <cfRule type="containsText" dxfId="503" priority="63" operator="containsText" text="AST">
      <formula>NOT(ISERROR(SEARCH("AST",AQ66)))</formula>
    </cfRule>
    <cfRule type="containsText" dxfId="502" priority="64" operator="containsText" text="F">
      <formula>NOT(ISERROR(SEARCH("F",AQ66)))</formula>
    </cfRule>
    <cfRule type="containsText" dxfId="501" priority="65" operator="containsText" text="PC">
      <formula>NOT(ISERROR(SEARCH("PC",AQ66)))</formula>
    </cfRule>
    <cfRule type="containsText" dxfId="500" priority="66" operator="containsText" text="P">
      <formula>NOT(ISERROR(SEARCH("P",AQ66)))</formula>
    </cfRule>
  </conditionalFormatting>
  <conditionalFormatting sqref="AM20:AN20 AQ20:AS20">
    <cfRule type="colorScale" priority="238">
      <colorScale>
        <cfvo type="min"/>
        <cfvo type="max"/>
        <color rgb="FFFF7128"/>
        <color rgb="FFFFEF9C"/>
      </colorScale>
    </cfRule>
  </conditionalFormatting>
  <conditionalFormatting sqref="AQ23:AS24">
    <cfRule type="beginsWith" dxfId="499" priority="201" operator="beginsWith" text="CA">
      <formula>LEFT(AQ23,LEN("CA"))="CA"</formula>
    </cfRule>
    <cfRule type="containsText" dxfId="498" priority="202" operator="containsText" text="AST">
      <formula>NOT(ISERROR(SEARCH("AST",AQ23)))</formula>
    </cfRule>
    <cfRule type="containsText" dxfId="497" priority="203" operator="containsText" text="F">
      <formula>NOT(ISERROR(SEARCH("F",AQ23)))</formula>
    </cfRule>
    <cfRule type="containsText" dxfId="496" priority="204" operator="containsText" text="PC">
      <formula>NOT(ISERROR(SEARCH("PC",AQ23)))</formula>
    </cfRule>
    <cfRule type="containsText" dxfId="495" priority="205" operator="containsText" text="P">
      <formula>NOT(ISERROR(SEARCH("P",AQ23)))</formula>
    </cfRule>
  </conditionalFormatting>
  <conditionalFormatting sqref="AQ26:AS28">
    <cfRule type="beginsWith" dxfId="494" priority="181" operator="beginsWith" text="CA">
      <formula>LEFT(AQ26,LEN("CA"))="CA"</formula>
    </cfRule>
    <cfRule type="containsText" dxfId="493" priority="182" operator="containsText" text="AST">
      <formula>NOT(ISERROR(SEARCH("AST",AQ26)))</formula>
    </cfRule>
    <cfRule type="containsText" dxfId="492" priority="183" operator="containsText" text="F">
      <formula>NOT(ISERROR(SEARCH("F",AQ26)))</formula>
    </cfRule>
    <cfRule type="containsText" dxfId="491" priority="184" operator="containsText" text="PC">
      <formula>NOT(ISERROR(SEARCH("PC",AQ26)))</formula>
    </cfRule>
    <cfRule type="containsText" dxfId="490" priority="185" operator="containsText" text="P">
      <formula>NOT(ISERROR(SEARCH("P",AQ26)))</formula>
    </cfRule>
  </conditionalFormatting>
  <conditionalFormatting sqref="AQ39:AS45 AQ47:AS49">
    <cfRule type="beginsWith" dxfId="489" priority="144" operator="beginsWith" text="CA">
      <formula>LEFT(AQ39,LEN("CA"))="CA"</formula>
    </cfRule>
    <cfRule type="containsText" dxfId="488" priority="145" operator="containsText" text="AST">
      <formula>NOT(ISERROR(SEARCH("AST",AQ39)))</formula>
    </cfRule>
    <cfRule type="containsText" dxfId="487" priority="146" operator="containsText" text="F">
      <formula>NOT(ISERROR(SEARCH("F",AQ39)))</formula>
    </cfRule>
    <cfRule type="containsText" dxfId="486" priority="147" operator="containsText" text="PC">
      <formula>NOT(ISERROR(SEARCH("PC",AQ39)))</formula>
    </cfRule>
    <cfRule type="containsText" dxfId="485" priority="148" operator="containsText" text="P">
      <formula>NOT(ISERROR(SEARCH("P",AQ39)))</formula>
    </cfRule>
  </conditionalFormatting>
  <conditionalFormatting sqref="AQ64:AS69">
    <cfRule type="beginsWith" dxfId="484" priority="17" operator="beginsWith" text="CA">
      <formula>LEFT(AQ64,LEN("CA"))="CA"</formula>
    </cfRule>
    <cfRule type="containsText" dxfId="483" priority="18" operator="containsText" text="AST">
      <formula>NOT(ISERROR(SEARCH("AST",AQ64)))</formula>
    </cfRule>
    <cfRule type="containsText" dxfId="482" priority="19" operator="containsText" text="F">
      <formula>NOT(ISERROR(SEARCH("F",AQ64)))</formula>
    </cfRule>
    <cfRule type="containsText" dxfId="481" priority="20" operator="containsText" text="PC">
      <formula>NOT(ISERROR(SEARCH("PC",AQ64)))</formula>
    </cfRule>
    <cfRule type="containsText" dxfId="480" priority="21" operator="containsText" text="P">
      <formula>NOT(ISERROR(SEARCH("P",AQ64)))</formula>
    </cfRule>
  </conditionalFormatting>
  <conditionalFormatting sqref="AQ66:AS67">
    <cfRule type="containsText" dxfId="479" priority="11" operator="containsText" text="TP">
      <formula>NOT(ISERROR(SEARCH("TP",AQ66)))</formula>
    </cfRule>
    <cfRule type="containsText" dxfId="478" priority="12" operator="containsText" text="AT">
      <formula>NOT(ISERROR(SEARCH("AT",AQ66)))</formula>
    </cfRule>
    <cfRule type="containsText" dxfId="477" priority="13" operator="containsText" text="MA">
      <formula>NOT(ISERROR(SEARCH("MA",AQ66)))</formula>
    </cfRule>
    <cfRule type="containsText" dxfId="476" priority="14" operator="containsText" text="RES">
      <formula>NOT(ISERROR(SEARCH("RES",AQ66)))</formula>
    </cfRule>
    <cfRule type="containsText" dxfId="475" priority="15" operator="containsText" text="CEX">
      <formula>NOT(ISERROR(SEARCH("CEX",AQ66)))</formula>
    </cfRule>
    <cfRule type="containsText" dxfId="474" priority="16" operator="containsText" text="RTT">
      <formula>NOT(ISERROR(SEARCH("RTT",AQ66)))</formula>
    </cfRule>
  </conditionalFormatting>
  <conditionalFormatting sqref="AS66">
    <cfRule type="beginsWith" dxfId="473" priority="57" operator="beginsWith" text="CA">
      <formula>LEFT(AS66,LEN("CA"))="CA"</formula>
    </cfRule>
    <cfRule type="containsText" dxfId="472" priority="58" operator="containsText" text="AST">
      <formula>NOT(ISERROR(SEARCH("AST",AS66)))</formula>
    </cfRule>
    <cfRule type="containsText" dxfId="471" priority="59" operator="containsText" text="F">
      <formula>NOT(ISERROR(SEARCH("F",AS66)))</formula>
    </cfRule>
    <cfRule type="containsText" dxfId="470" priority="60" operator="containsText" text="PC">
      <formula>NOT(ISERROR(SEARCH("PC",AS66)))</formula>
    </cfRule>
    <cfRule type="containsText" dxfId="469" priority="61" operator="containsText" text="P">
      <formula>NOT(ISERROR(SEARCH("P",AS66)))</formula>
    </cfRule>
  </conditionalFormatting>
  <dataValidations count="5">
    <dataValidation type="list" allowBlank="1" showInputMessage="1" showErrorMessage="1" sqref="P11:AS20 P26:S29 P31:S36 P39:S49 P51:S62 P64:S69 Q23:S24 V23:Z24 V26:Z29 V31:Z36 V39:Z49 V51:Z62 V64:V69 W64:W65 W67:W69 X64:X69 Y64:Y65 Y67:Y69 Z64:Z69 AC26:AG28 AC29:AN29 AC31:AG36 AC39:AG49 AC51:AG62 AC64:AC65 AC67:AC69 AD64:AD69 AE64:AE65 AE67:AE69 AF64:AF69 AG64:AG65 AG67:AG69 AJ31:AN36 AJ39:AN49 AJ51:AN62 AJ64:AN69 AK23:AN24 AK26:AN28 AQ23:AS24 AQ26:AS29 AQ31:AS36 AQ39:AS49 AQ51:AS62 AQ64:AS69" xr:uid="{00000000-0002-0000-0900-000000000000}">
      <formula1>"P, PC, F, AST, CA, RTT, CEX, RES, MA, AT, TAD, TP"</formula1>
    </dataValidation>
    <dataValidation type="list" allowBlank="1" showInputMessage="1" showErrorMessage="1" sqref="T69:U69 AA69:AB69 AH69:AI69 AO69:AP69" xr:uid="{00000000-0002-0000-0900-000001000000}">
      <formula1>"P, MI, F, AST, C, RTT, CEX, RES, MA, AT, TAD, TP"</formula1>
    </dataValidation>
    <dataValidation type="list" allowBlank="1" showInputMessage="1" showErrorMessage="1" sqref="T78" xr:uid="{00000000-0002-0000-0900-000002000000}">
      <formula1>$D$9:$O$9</formula1>
    </dataValidation>
    <dataValidation type="list" allowBlank="1" showInputMessage="1" showErrorMessage="1" sqref="P10:AS10" xr:uid="{00000000-0002-0000-0900-000003000000}">
      <formula1>"P,M,A,C,CEX,F,R,T,8H"</formula1>
    </dataValidation>
    <dataValidation type="list" allowBlank="1" showInputMessage="1" showErrorMessage="1" sqref="P23:P24 T23:U24 T26:U29 T31:U36 T39:U49 T51:U62 T64:U68 W66 Y66 AA23:AJ24 AA26:AB29 AA31:AB36 AA39:AB49 AA51:AB62 AA64:AB68 AC66 AE66 AG66 AH26:AJ28 AH31:AI36 AH39:AI49 AH51:AI62 AH64:AI68 AJ66:AN66 AO23:AP24 AO26:AP29 AO31:AP36 AO39:AP49 AO51:AP62 AO64:AP68" xr:uid="{00000000-0002-0000-0900-000004000000}">
      <formula1>"P, PC, F, AST, C,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F78"/>
  <sheetViews>
    <sheetView zoomScale="85" zoomScaleNormal="85" workbookViewId="0">
      <pane xSplit="2" ySplit="10" topLeftCell="C17" activePane="bottomRight" state="frozen"/>
      <selection pane="topRight" activeCell="AQ41" sqref="AQ41"/>
      <selection pane="bottomLeft" activeCell="AQ41" sqref="AQ41"/>
      <selection pane="bottomRight" activeCell="A30" sqref="A30:AT30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config!B14</f>
        <v>46296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config!C14</f>
        <v>46326</v>
      </c>
    </row>
    <row r="3" spans="1:58" ht="15" customHeight="1" x14ac:dyDescent="0.25">
      <c r="A3" s="27"/>
    </row>
    <row r="4" spans="1:58" ht="76.5" customHeight="1" x14ac:dyDescent="0.25">
      <c r="A4" s="27"/>
      <c r="P4" s="28">
        <f>A1</f>
        <v>46296</v>
      </c>
      <c r="Q4" s="28">
        <f t="shared" ref="Q4:AT4" si="0">P4+1</f>
        <v>46297</v>
      </c>
      <c r="R4" s="28">
        <f t="shared" si="0"/>
        <v>46298</v>
      </c>
      <c r="S4" s="28">
        <f t="shared" si="0"/>
        <v>46299</v>
      </c>
      <c r="T4" s="28">
        <f t="shared" si="0"/>
        <v>46300</v>
      </c>
      <c r="U4" s="28">
        <f t="shared" si="0"/>
        <v>46301</v>
      </c>
      <c r="V4" s="28">
        <f t="shared" si="0"/>
        <v>46302</v>
      </c>
      <c r="W4" s="28">
        <f t="shared" si="0"/>
        <v>46303</v>
      </c>
      <c r="X4" s="28">
        <f t="shared" si="0"/>
        <v>46304</v>
      </c>
      <c r="Y4" s="28">
        <f t="shared" si="0"/>
        <v>46305</v>
      </c>
      <c r="Z4" s="28">
        <f t="shared" si="0"/>
        <v>46306</v>
      </c>
      <c r="AA4" s="28">
        <f t="shared" si="0"/>
        <v>46307</v>
      </c>
      <c r="AB4" s="28">
        <f t="shared" si="0"/>
        <v>46308</v>
      </c>
      <c r="AC4" s="28">
        <f t="shared" si="0"/>
        <v>46309</v>
      </c>
      <c r="AD4" s="28">
        <f t="shared" si="0"/>
        <v>46310</v>
      </c>
      <c r="AE4" s="28">
        <f t="shared" si="0"/>
        <v>46311</v>
      </c>
      <c r="AF4" s="28">
        <f t="shared" si="0"/>
        <v>46312</v>
      </c>
      <c r="AG4" s="28">
        <f t="shared" si="0"/>
        <v>46313</v>
      </c>
      <c r="AH4" s="28">
        <f t="shared" si="0"/>
        <v>46314</v>
      </c>
      <c r="AI4" s="28">
        <f t="shared" si="0"/>
        <v>46315</v>
      </c>
      <c r="AJ4" s="28">
        <f t="shared" si="0"/>
        <v>46316</v>
      </c>
      <c r="AK4" s="28">
        <f t="shared" si="0"/>
        <v>46317</v>
      </c>
      <c r="AL4" s="28">
        <f t="shared" si="0"/>
        <v>46318</v>
      </c>
      <c r="AM4" s="28">
        <f t="shared" si="0"/>
        <v>46319</v>
      </c>
      <c r="AN4" s="28">
        <f t="shared" si="0"/>
        <v>46320</v>
      </c>
      <c r="AO4" s="28">
        <f t="shared" si="0"/>
        <v>46321</v>
      </c>
      <c r="AP4" s="28">
        <f t="shared" si="0"/>
        <v>46322</v>
      </c>
      <c r="AQ4" s="28">
        <f t="shared" si="0"/>
        <v>46323</v>
      </c>
      <c r="AR4" s="28">
        <f t="shared" si="0"/>
        <v>46324</v>
      </c>
      <c r="AS4" s="28">
        <f t="shared" si="0"/>
        <v>46325</v>
      </c>
      <c r="AT4" s="28">
        <f t="shared" si="0"/>
        <v>46326</v>
      </c>
      <c r="AU4" s="28"/>
      <c r="AV4" s="27"/>
      <c r="AW4" s="27"/>
      <c r="AX4" s="27"/>
      <c r="AY4" s="27"/>
      <c r="AZ4" s="27"/>
      <c r="BA4" s="27"/>
      <c r="BB4" s="27"/>
    </row>
    <row r="5" spans="1:58" ht="36" customHeight="1" x14ac:dyDescent="0.25">
      <c r="A5" s="295" t="str">
        <f>TEXT(A1,"mmmmmmmmmmmm")</f>
        <v>octobre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</row>
    <row r="6" spans="1:58" ht="36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</row>
    <row r="7" spans="1:58" ht="36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</row>
    <row r="8" spans="1:58" s="29" customFormat="1" ht="21.75" customHeight="1" thickBot="1" x14ac:dyDescent="0.3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8"/>
      <c r="Y8" s="18"/>
      <c r="Z8" s="18"/>
      <c r="AA8" s="18"/>
      <c r="AB8" s="18"/>
      <c r="AC8" s="164"/>
      <c r="AD8" s="164"/>
      <c r="AE8" s="18"/>
      <c r="AF8" s="18"/>
      <c r="AG8" s="18"/>
      <c r="AH8" s="18"/>
      <c r="AI8" s="149"/>
      <c r="AJ8" s="164"/>
      <c r="AK8" s="149"/>
      <c r="AL8" s="149"/>
      <c r="AM8" s="149" t="s">
        <v>193</v>
      </c>
      <c r="AN8" s="149"/>
      <c r="AO8" s="149"/>
      <c r="AP8" s="149"/>
      <c r="AQ8" s="149"/>
      <c r="AR8" s="164"/>
      <c r="AS8" s="149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57" t="s">
        <v>205</v>
      </c>
      <c r="P9" s="169">
        <f t="shared" ref="P9:AT9" si="1">IFERROR(WEEKDAY(P4),"")</f>
        <v>5</v>
      </c>
      <c r="Q9" s="150">
        <f t="shared" si="1"/>
        <v>6</v>
      </c>
      <c r="R9" s="151">
        <f t="shared" si="1"/>
        <v>7</v>
      </c>
      <c r="S9" s="151">
        <f t="shared" si="1"/>
        <v>1</v>
      </c>
      <c r="T9" s="151">
        <f t="shared" si="1"/>
        <v>2</v>
      </c>
      <c r="U9" s="151">
        <f t="shared" si="1"/>
        <v>3</v>
      </c>
      <c r="V9" s="151">
        <f t="shared" si="1"/>
        <v>4</v>
      </c>
      <c r="W9" s="151">
        <f t="shared" si="1"/>
        <v>5</v>
      </c>
      <c r="X9" s="151">
        <f t="shared" si="1"/>
        <v>6</v>
      </c>
      <c r="Y9" s="151">
        <f t="shared" si="1"/>
        <v>7</v>
      </c>
      <c r="Z9" s="151">
        <f t="shared" si="1"/>
        <v>1</v>
      </c>
      <c r="AA9" s="151">
        <f t="shared" si="1"/>
        <v>2</v>
      </c>
      <c r="AB9" s="151">
        <f t="shared" si="1"/>
        <v>3</v>
      </c>
      <c r="AC9" s="151">
        <f t="shared" si="1"/>
        <v>4</v>
      </c>
      <c r="AD9" s="151">
        <f t="shared" si="1"/>
        <v>5</v>
      </c>
      <c r="AE9" s="151">
        <f t="shared" si="1"/>
        <v>6</v>
      </c>
      <c r="AF9" s="151">
        <f t="shared" si="1"/>
        <v>7</v>
      </c>
      <c r="AG9" s="151">
        <f t="shared" si="1"/>
        <v>1</v>
      </c>
      <c r="AH9" s="151">
        <f t="shared" si="1"/>
        <v>2</v>
      </c>
      <c r="AI9" s="151">
        <f t="shared" si="1"/>
        <v>3</v>
      </c>
      <c r="AJ9" s="151">
        <f t="shared" si="1"/>
        <v>4</v>
      </c>
      <c r="AK9" s="151">
        <f t="shared" si="1"/>
        <v>5</v>
      </c>
      <c r="AL9" s="151">
        <f t="shared" si="1"/>
        <v>6</v>
      </c>
      <c r="AM9" s="159">
        <f t="shared" si="1"/>
        <v>7</v>
      </c>
      <c r="AN9" s="151">
        <f t="shared" si="1"/>
        <v>1</v>
      </c>
      <c r="AO9" s="151">
        <f t="shared" si="1"/>
        <v>2</v>
      </c>
      <c r="AP9" s="151">
        <f t="shared" si="1"/>
        <v>3</v>
      </c>
      <c r="AQ9" s="151">
        <f t="shared" si="1"/>
        <v>4</v>
      </c>
      <c r="AR9" s="151">
        <f t="shared" si="1"/>
        <v>5</v>
      </c>
      <c r="AS9" s="152">
        <f t="shared" si="1"/>
        <v>6</v>
      </c>
      <c r="AT9" s="153">
        <f t="shared" si="1"/>
        <v>7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58" t="s">
        <v>216</v>
      </c>
      <c r="P10" s="170">
        <f t="shared" ref="P10:AT10" si="2">DAY(P4)</f>
        <v>1</v>
      </c>
      <c r="Q10" s="154">
        <f t="shared" si="2"/>
        <v>2</v>
      </c>
      <c r="R10" s="155">
        <f t="shared" si="2"/>
        <v>3</v>
      </c>
      <c r="S10" s="155">
        <f t="shared" si="2"/>
        <v>4</v>
      </c>
      <c r="T10" s="155">
        <f t="shared" si="2"/>
        <v>5</v>
      </c>
      <c r="U10" s="155">
        <f t="shared" si="2"/>
        <v>6</v>
      </c>
      <c r="V10" s="155">
        <f t="shared" si="2"/>
        <v>7</v>
      </c>
      <c r="W10" s="155">
        <f t="shared" si="2"/>
        <v>8</v>
      </c>
      <c r="X10" s="155">
        <f t="shared" si="2"/>
        <v>9</v>
      </c>
      <c r="Y10" s="155">
        <f t="shared" si="2"/>
        <v>10</v>
      </c>
      <c r="Z10" s="155">
        <f t="shared" si="2"/>
        <v>11</v>
      </c>
      <c r="AA10" s="155">
        <f t="shared" si="2"/>
        <v>12</v>
      </c>
      <c r="AB10" s="155">
        <f t="shared" si="2"/>
        <v>13</v>
      </c>
      <c r="AC10" s="155">
        <f t="shared" si="2"/>
        <v>14</v>
      </c>
      <c r="AD10" s="155">
        <f t="shared" si="2"/>
        <v>15</v>
      </c>
      <c r="AE10" s="155">
        <f t="shared" si="2"/>
        <v>16</v>
      </c>
      <c r="AF10" s="155">
        <f t="shared" si="2"/>
        <v>17</v>
      </c>
      <c r="AG10" s="155">
        <f t="shared" si="2"/>
        <v>18</v>
      </c>
      <c r="AH10" s="155">
        <f t="shared" si="2"/>
        <v>19</v>
      </c>
      <c r="AI10" s="155">
        <f t="shared" si="2"/>
        <v>20</v>
      </c>
      <c r="AJ10" s="155">
        <f t="shared" si="2"/>
        <v>21</v>
      </c>
      <c r="AK10" s="155">
        <f t="shared" si="2"/>
        <v>22</v>
      </c>
      <c r="AL10" s="155">
        <f t="shared" si="2"/>
        <v>23</v>
      </c>
      <c r="AM10" s="160">
        <f t="shared" si="2"/>
        <v>24</v>
      </c>
      <c r="AN10" s="155">
        <f t="shared" si="2"/>
        <v>25</v>
      </c>
      <c r="AO10" s="155">
        <f t="shared" si="2"/>
        <v>26</v>
      </c>
      <c r="AP10" s="155">
        <f t="shared" si="2"/>
        <v>27</v>
      </c>
      <c r="AQ10" s="155">
        <f t="shared" si="2"/>
        <v>28</v>
      </c>
      <c r="AR10" s="155">
        <f t="shared" si="2"/>
        <v>29</v>
      </c>
      <c r="AS10" s="154">
        <f t="shared" si="2"/>
        <v>30</v>
      </c>
      <c r="AT10" s="156">
        <f t="shared" si="2"/>
        <v>31</v>
      </c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103"/>
      <c r="Q11" s="22"/>
      <c r="R11" s="104"/>
      <c r="S11" s="104"/>
      <c r="T11" s="22"/>
      <c r="U11" s="22"/>
      <c r="V11" s="22"/>
      <c r="W11" s="22"/>
      <c r="X11" s="22"/>
      <c r="Y11" s="104"/>
      <c r="Z11" s="104"/>
      <c r="AA11" s="22"/>
      <c r="AB11" s="22"/>
      <c r="AC11" s="22"/>
      <c r="AD11" s="22"/>
      <c r="AE11" s="22"/>
      <c r="AF11" s="104"/>
      <c r="AG11" s="104"/>
      <c r="AH11" s="22"/>
      <c r="AI11" s="22"/>
      <c r="AJ11" s="22"/>
      <c r="AK11" s="22"/>
      <c r="AL11" s="22"/>
      <c r="AM11" s="104"/>
      <c r="AN11" s="104"/>
      <c r="AO11" s="22"/>
      <c r="AP11" s="22"/>
      <c r="AQ11" s="22"/>
      <c r="AR11" s="22"/>
      <c r="AS11" s="22"/>
      <c r="AT11" s="104"/>
      <c r="AU11" s="1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90"/>
      <c r="Q12" s="8"/>
      <c r="R12" s="94"/>
      <c r="S12" s="94"/>
      <c r="T12" s="8"/>
      <c r="U12" s="8"/>
      <c r="V12" s="8"/>
      <c r="W12" s="8"/>
      <c r="X12" s="8"/>
      <c r="Y12" s="94"/>
      <c r="Z12" s="94"/>
      <c r="AA12" s="8"/>
      <c r="AB12" s="8"/>
      <c r="AC12" s="8"/>
      <c r="AD12" s="8"/>
      <c r="AE12" s="8"/>
      <c r="AF12" s="94"/>
      <c r="AG12" s="94"/>
      <c r="AH12" s="8"/>
      <c r="AI12" s="8"/>
      <c r="AJ12" s="8"/>
      <c r="AK12" s="8"/>
      <c r="AL12" s="8"/>
      <c r="AM12" s="94"/>
      <c r="AN12" s="94"/>
      <c r="AO12" s="8"/>
      <c r="AP12" s="8"/>
      <c r="AQ12" s="8"/>
      <c r="AR12" s="8"/>
      <c r="AS12" s="8"/>
      <c r="AT12" s="94"/>
      <c r="AU12" s="1"/>
      <c r="AV12" s="168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90"/>
      <c r="Q13" s="8"/>
      <c r="R13" s="94"/>
      <c r="S13" s="94"/>
      <c r="T13" s="8"/>
      <c r="U13" s="8"/>
      <c r="V13" s="8"/>
      <c r="W13" s="8"/>
      <c r="X13" s="8"/>
      <c r="Y13" s="94"/>
      <c r="Z13" s="94"/>
      <c r="AA13" s="8"/>
      <c r="AB13" s="8"/>
      <c r="AC13" s="8"/>
      <c r="AD13" s="8"/>
      <c r="AE13" s="8"/>
      <c r="AF13" s="94"/>
      <c r="AG13" s="94"/>
      <c r="AH13" s="8"/>
      <c r="AI13" s="8"/>
      <c r="AJ13" s="8"/>
      <c r="AK13" s="8"/>
      <c r="AL13" s="8"/>
      <c r="AM13" s="94"/>
      <c r="AN13" s="94"/>
      <c r="AO13" s="8"/>
      <c r="AP13" s="8"/>
      <c r="AQ13" s="8"/>
      <c r="AR13" s="8"/>
      <c r="AS13" s="8"/>
      <c r="AT13" s="94"/>
      <c r="AU13" s="1"/>
      <c r="AV13" s="19">
        <f>COUNTIF(P11:AS29,"p")</f>
        <v>0</v>
      </c>
      <c r="AW13" s="19">
        <f>COUNTIF(P11:AS29,"PC")</f>
        <v>0</v>
      </c>
      <c r="AX13" s="19">
        <f>COUNTIF(P11:AS29,"f")</f>
        <v>0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90"/>
      <c r="Q14" s="8"/>
      <c r="R14" s="94"/>
      <c r="S14" s="94"/>
      <c r="T14" s="8"/>
      <c r="U14" s="8"/>
      <c r="V14" s="8"/>
      <c r="W14" s="8"/>
      <c r="X14" s="8"/>
      <c r="Y14" s="94"/>
      <c r="Z14" s="94"/>
      <c r="AA14" s="8"/>
      <c r="AB14" s="8"/>
      <c r="AC14" s="8"/>
      <c r="AD14" s="8"/>
      <c r="AE14" s="8"/>
      <c r="AF14" s="94"/>
      <c r="AG14" s="94"/>
      <c r="AH14" s="8"/>
      <c r="AI14" s="8"/>
      <c r="AJ14" s="8"/>
      <c r="AK14" s="8"/>
      <c r="AL14" s="8"/>
      <c r="AM14" s="94"/>
      <c r="AN14" s="94"/>
      <c r="AO14" s="8"/>
      <c r="AP14" s="8"/>
      <c r="AQ14" s="8"/>
      <c r="AR14" s="8"/>
      <c r="AS14" s="8"/>
      <c r="AT14" s="94"/>
      <c r="AU14" s="1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90"/>
      <c r="Q15" s="8"/>
      <c r="R15" s="94"/>
      <c r="S15" s="94"/>
      <c r="T15" s="8"/>
      <c r="U15" s="8"/>
      <c r="V15" s="8"/>
      <c r="W15" s="8"/>
      <c r="X15" s="8"/>
      <c r="Y15" s="94"/>
      <c r="Z15" s="94"/>
      <c r="AA15" s="8"/>
      <c r="AB15" s="8"/>
      <c r="AC15" s="8"/>
      <c r="AD15" s="8"/>
      <c r="AE15" s="8"/>
      <c r="AF15" s="94"/>
      <c r="AG15" s="94"/>
      <c r="AH15" s="8"/>
      <c r="AI15" s="8"/>
      <c r="AJ15" s="8"/>
      <c r="AK15" s="8"/>
      <c r="AL15" s="8"/>
      <c r="AM15" s="94"/>
      <c r="AN15" s="94"/>
      <c r="AO15" s="8"/>
      <c r="AP15" s="8"/>
      <c r="AQ15" s="8"/>
      <c r="AR15" s="8"/>
      <c r="AS15" s="8"/>
      <c r="AT15" s="94"/>
      <c r="AU15" s="1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90"/>
      <c r="Q16" s="8"/>
      <c r="R16" s="94"/>
      <c r="S16" s="94"/>
      <c r="T16" s="8"/>
      <c r="U16" s="8"/>
      <c r="V16" s="8"/>
      <c r="W16" s="8"/>
      <c r="X16" s="8"/>
      <c r="Y16" s="94"/>
      <c r="Z16" s="94"/>
      <c r="AA16" s="8"/>
      <c r="AB16" s="8"/>
      <c r="AC16" s="8"/>
      <c r="AD16" s="8"/>
      <c r="AE16" s="8"/>
      <c r="AF16" s="94"/>
      <c r="AG16" s="94"/>
      <c r="AH16" s="8"/>
      <c r="AI16" s="8"/>
      <c r="AJ16" s="8"/>
      <c r="AK16" s="8"/>
      <c r="AL16" s="8"/>
      <c r="AM16" s="94"/>
      <c r="AN16" s="94"/>
      <c r="AO16" s="8"/>
      <c r="AP16" s="8"/>
      <c r="AQ16" s="8"/>
      <c r="AR16" s="8"/>
      <c r="AS16" s="8"/>
      <c r="AT16" s="94"/>
      <c r="AU16" s="1"/>
    </row>
    <row r="17" spans="1:47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90"/>
      <c r="Q17" s="8"/>
      <c r="R17" s="94"/>
      <c r="S17" s="94"/>
      <c r="T17" s="8"/>
      <c r="U17" s="8"/>
      <c r="V17" s="8"/>
      <c r="W17" s="8"/>
      <c r="X17" s="8"/>
      <c r="Y17" s="94"/>
      <c r="Z17" s="94"/>
      <c r="AA17" s="8"/>
      <c r="AB17" s="8"/>
      <c r="AC17" s="8"/>
      <c r="AD17" s="8"/>
      <c r="AE17" s="8"/>
      <c r="AF17" s="94"/>
      <c r="AG17" s="94"/>
      <c r="AH17" s="8"/>
      <c r="AI17" s="8"/>
      <c r="AJ17" s="8"/>
      <c r="AK17" s="8"/>
      <c r="AL17" s="8"/>
      <c r="AM17" s="94"/>
      <c r="AN17" s="94"/>
      <c r="AO17" s="8"/>
      <c r="AP17" s="8"/>
      <c r="AQ17" s="8"/>
      <c r="AR17" s="8"/>
      <c r="AS17" s="8"/>
      <c r="AT17" s="94"/>
      <c r="AU17" s="1"/>
    </row>
    <row r="18" spans="1:47" ht="20.100000000000001" customHeight="1" thickBot="1" x14ac:dyDescent="0.3">
      <c r="A18" s="32" t="str">
        <f>IFERROR(IF(config!E10="","",config!E10),"")</f>
        <v>N010036</v>
      </c>
      <c r="B18" s="39" t="str">
        <f>IFERROR(IF(config!F10="","",config!F10),"")</f>
        <v>BETTINGER</v>
      </c>
      <c r="C18" s="69" t="str">
        <f>IFERROR(IF(config!G10="","",config!G10),"")</f>
        <v>Philippe</v>
      </c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0</v>
      </c>
      <c r="I18" s="20">
        <f t="shared" si="8"/>
        <v>0</v>
      </c>
      <c r="J18" s="20">
        <f t="shared" si="9"/>
        <v>0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90"/>
      <c r="Q18" s="8"/>
      <c r="R18" s="94"/>
      <c r="S18" s="94"/>
      <c r="T18" s="8"/>
      <c r="U18" s="8"/>
      <c r="V18" s="8"/>
      <c r="W18" s="8"/>
      <c r="X18" s="8"/>
      <c r="Y18" s="94"/>
      <c r="Z18" s="94"/>
      <c r="AA18" s="8"/>
      <c r="AB18" s="8"/>
      <c r="AC18" s="8"/>
      <c r="AD18" s="8"/>
      <c r="AE18" s="8"/>
      <c r="AF18" s="94"/>
      <c r="AG18" s="94"/>
      <c r="AH18" s="8"/>
      <c r="AI18" s="8"/>
      <c r="AJ18" s="8"/>
      <c r="AK18" s="8"/>
      <c r="AL18" s="8"/>
      <c r="AM18" s="94"/>
      <c r="AN18" s="94"/>
      <c r="AO18" s="8"/>
      <c r="AP18" s="8"/>
      <c r="AQ18" s="8"/>
      <c r="AR18" s="8"/>
      <c r="AS18" s="8"/>
      <c r="AT18" s="94"/>
      <c r="AU18" s="1"/>
    </row>
    <row r="19" spans="1:47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90"/>
      <c r="Q19" s="8"/>
      <c r="R19" s="94"/>
      <c r="S19" s="94"/>
      <c r="T19" s="8"/>
      <c r="U19" s="8"/>
      <c r="V19" s="8"/>
      <c r="W19" s="8"/>
      <c r="X19" s="8"/>
      <c r="Y19" s="94"/>
      <c r="Z19" s="94"/>
      <c r="AA19" s="8"/>
      <c r="AB19" s="8"/>
      <c r="AC19" s="8"/>
      <c r="AD19" s="8"/>
      <c r="AE19" s="8"/>
      <c r="AF19" s="94"/>
      <c r="AG19" s="94"/>
      <c r="AH19" s="8"/>
      <c r="AI19" s="8"/>
      <c r="AJ19" s="8"/>
      <c r="AK19" s="8"/>
      <c r="AL19" s="8"/>
      <c r="AM19" s="94"/>
      <c r="AN19" s="94"/>
      <c r="AO19" s="8"/>
      <c r="AP19" s="8"/>
      <c r="AQ19" s="8"/>
      <c r="AR19" s="8"/>
      <c r="AS19" s="8"/>
      <c r="AT19" s="94"/>
      <c r="AU19" s="1"/>
    </row>
    <row r="20" spans="1:47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91"/>
      <c r="Q20" s="184"/>
      <c r="R20" s="95"/>
      <c r="S20" s="95"/>
      <c r="T20" s="21"/>
      <c r="U20" s="21"/>
      <c r="V20" s="21"/>
      <c r="W20" s="21"/>
      <c r="X20" s="21"/>
      <c r="Y20" s="95"/>
      <c r="Z20" s="95"/>
      <c r="AA20" s="21"/>
      <c r="AB20" s="21"/>
      <c r="AC20" s="21"/>
      <c r="AD20" s="21"/>
      <c r="AE20" s="21"/>
      <c r="AF20" s="95"/>
      <c r="AG20" s="95"/>
      <c r="AH20" s="21"/>
      <c r="AI20" s="21"/>
      <c r="AJ20" s="21"/>
      <c r="AK20" s="21"/>
      <c r="AL20" s="21"/>
      <c r="AM20" s="95"/>
      <c r="AN20" s="95"/>
      <c r="AO20" s="21"/>
      <c r="AP20" s="21"/>
      <c r="AQ20" s="21"/>
      <c r="AR20" s="21"/>
      <c r="AS20" s="21"/>
      <c r="AT20" s="95"/>
      <c r="AU20" s="1"/>
    </row>
    <row r="21" spans="1:47" ht="20.100000000000001" customHeight="1" thickBot="1" x14ac:dyDescent="0.3">
      <c r="A21" s="54" t="str">
        <f>IFERROR(IF(config!E13="","",config!E13),"")</f>
        <v>MAINTENANCE</v>
      </c>
      <c r="B21" s="54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  <c r="AR21" s="179"/>
      <c r="AS21" s="179"/>
      <c r="AT21" s="179"/>
    </row>
    <row r="22" spans="1:47" ht="20.100000000000001" customHeight="1" thickBot="1" x14ac:dyDescent="0.3">
      <c r="A22" s="46" t="str">
        <f>IFERROR(IF(config!E14="","",config!E14),"")</f>
        <v>SURVEILLANT DE TRAVAUX</v>
      </c>
      <c r="B22" s="46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180"/>
      <c r="AR22" s="180"/>
      <c r="AS22" s="180"/>
      <c r="AT22" s="180"/>
    </row>
    <row r="23" spans="1:47" ht="20.100000000000001" customHeight="1" thickBot="1" x14ac:dyDescent="0.3">
      <c r="A23" s="30" t="str">
        <f>IFERROR(IF(config!E15="","",config!E15),"")</f>
        <v>C004587</v>
      </c>
      <c r="B23" s="40" t="str">
        <f>IFERROR(IF(config!F15="","",config!F15),"")</f>
        <v xml:space="preserve">BOURGOIN </v>
      </c>
      <c r="C23" s="102" t="str">
        <f>IFERROR(IF(config!G15="","",config!G15),"")</f>
        <v>Jean-Baptiste</v>
      </c>
      <c r="D23" s="103">
        <f>COUNTIF(P23:AS23,"p")</f>
        <v>0</v>
      </c>
      <c r="E23" s="22">
        <f>COUNTIF(P23:AS23,"PC")</f>
        <v>0</v>
      </c>
      <c r="F23" s="22">
        <f>COUNTIF(P23:AS23,"f")</f>
        <v>0</v>
      </c>
      <c r="G23" s="22">
        <f>COUNTIF(P23:AS23,"ast")</f>
        <v>0</v>
      </c>
      <c r="H23" s="22">
        <f>COUNTIF(P23:AS23,"cA")</f>
        <v>0</v>
      </c>
      <c r="I23" s="22">
        <f>COUNTIF(P23:AS23,"rtt")</f>
        <v>0</v>
      </c>
      <c r="J23" s="22">
        <f>COUNTIF(P23:AS23,"cex")</f>
        <v>0</v>
      </c>
      <c r="K23" s="22">
        <f>COUNTIF(P23:AS23,"res")</f>
        <v>0</v>
      </c>
      <c r="L23" s="22">
        <f>COUNTIF(P23:AS23,"mA")</f>
        <v>0</v>
      </c>
      <c r="M23" s="22">
        <f>COUNTIF(P23:AS23,"at")</f>
        <v>0</v>
      </c>
      <c r="N23" s="22">
        <f>COUNTIF(P23:AS23,"TAD")</f>
        <v>0</v>
      </c>
      <c r="O23" s="106">
        <f>COUNTIF(P23:AS23,"TP")</f>
        <v>0</v>
      </c>
      <c r="P23" s="120"/>
      <c r="Q23" s="22"/>
      <c r="R23" s="104"/>
      <c r="S23" s="104"/>
      <c r="T23" s="22"/>
      <c r="U23" s="22"/>
      <c r="V23" s="22"/>
      <c r="W23" s="22"/>
      <c r="X23" s="22"/>
      <c r="Y23" s="104"/>
      <c r="Z23" s="104"/>
      <c r="AA23" s="22"/>
      <c r="AB23" s="22"/>
      <c r="AC23" s="22"/>
      <c r="AD23" s="22"/>
      <c r="AE23" s="22"/>
      <c r="AF23" s="104"/>
      <c r="AG23" s="104"/>
      <c r="AH23" s="22"/>
      <c r="AI23" s="22"/>
      <c r="AJ23" s="22"/>
      <c r="AK23" s="22"/>
      <c r="AL23" s="22"/>
      <c r="AM23" s="104"/>
      <c r="AN23" s="104"/>
      <c r="AO23" s="22"/>
      <c r="AP23" s="22"/>
      <c r="AQ23" s="22"/>
      <c r="AR23" s="22"/>
      <c r="AS23" s="22"/>
      <c r="AT23" s="104"/>
    </row>
    <row r="24" spans="1:47" ht="20.100000000000001" customHeight="1" thickBot="1" x14ac:dyDescent="0.3">
      <c r="A24" s="131" t="str">
        <f>IFERROR(IF(config!E16="","",config!E16),"")</f>
        <v>N02645</v>
      </c>
      <c r="B24" s="132" t="str">
        <f>IFERROR(IF(config!F16="","",config!F16),"")</f>
        <v>MERCADIEU</v>
      </c>
      <c r="C24" s="133" t="str">
        <f>IFERROR(IF(config!G16="","",config!G16),"")</f>
        <v>Baptiste</v>
      </c>
      <c r="D24" s="134">
        <f>COUNTIF(P24:AS24,"p")</f>
        <v>0</v>
      </c>
      <c r="E24" s="123">
        <f>COUNTIF(P24:AS24,"PC")</f>
        <v>0</v>
      </c>
      <c r="F24" s="123">
        <f>COUNTIF(P24:AS24,"f")</f>
        <v>0</v>
      </c>
      <c r="G24" s="123">
        <f>COUNTIF(P24:AS24,"ast")</f>
        <v>0</v>
      </c>
      <c r="H24" s="123">
        <f>COUNTIF(P24:AS24,"cA")</f>
        <v>0</v>
      </c>
      <c r="I24" s="123">
        <f>COUNTIF(P24:AS24,"rtt")</f>
        <v>0</v>
      </c>
      <c r="J24" s="123">
        <f>COUNTIF(P24:AS24,"cex")</f>
        <v>0</v>
      </c>
      <c r="K24" s="123">
        <f>COUNTIF(P24:AS24,"res")</f>
        <v>0</v>
      </c>
      <c r="L24" s="123">
        <f>COUNTIF(P24:AS24,"mA")</f>
        <v>0</v>
      </c>
      <c r="M24" s="123">
        <f>COUNTIF(P24:AS24,"at")</f>
        <v>0</v>
      </c>
      <c r="N24" s="123">
        <f>COUNTIF(P24:AS24,"TAD")</f>
        <v>0</v>
      </c>
      <c r="O24" s="140">
        <f>COUNTIF(P24:AS24,"TP")</f>
        <v>0</v>
      </c>
      <c r="P24" s="120"/>
      <c r="Q24" s="22"/>
      <c r="R24" s="104"/>
      <c r="S24" s="104"/>
      <c r="T24" s="22"/>
      <c r="U24" s="22"/>
      <c r="V24" s="22"/>
      <c r="W24" s="22"/>
      <c r="X24" s="22"/>
      <c r="Y24" s="104"/>
      <c r="Z24" s="104"/>
      <c r="AA24" s="22"/>
      <c r="AB24" s="22"/>
      <c r="AC24" s="22"/>
      <c r="AD24" s="22"/>
      <c r="AE24" s="22"/>
      <c r="AF24" s="104"/>
      <c r="AG24" s="104"/>
      <c r="AH24" s="22"/>
      <c r="AI24" s="22"/>
      <c r="AJ24" s="22"/>
      <c r="AK24" s="22"/>
      <c r="AL24" s="22"/>
      <c r="AM24" s="104"/>
      <c r="AN24" s="104"/>
      <c r="AO24" s="22"/>
      <c r="AP24" s="22"/>
      <c r="AQ24" s="22"/>
      <c r="AR24" s="22"/>
      <c r="AS24" s="22"/>
      <c r="AT24" s="104"/>
    </row>
    <row r="25" spans="1:47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178"/>
    </row>
    <row r="26" spans="1:47" ht="20.100000000000001" customHeight="1" thickBot="1" x14ac:dyDescent="0.3">
      <c r="A26" s="33" t="str">
        <f>IFERROR(IF(config!E18="","",config!E18),"")</f>
        <v>C004845</v>
      </c>
      <c r="B26" s="40" t="str">
        <f>IFERROR(IF(config!F18="","",config!F18),"")</f>
        <v>GARCIA</v>
      </c>
      <c r="C26" s="102" t="str">
        <f>IFERROR(IF(config!G18="","",config!G18),"")</f>
        <v>Yoan</v>
      </c>
      <c r="D26" s="103">
        <f>COUNTIF(P26:AS26,"p")</f>
        <v>0</v>
      </c>
      <c r="E26" s="22">
        <f>COUNTIF(P26:AS26,"PC")</f>
        <v>0</v>
      </c>
      <c r="F26" s="22">
        <f>COUNTIF(P26:AS26,"f")</f>
        <v>0</v>
      </c>
      <c r="G26" s="22">
        <f>COUNTIF(P26:AS26,"ast")</f>
        <v>0</v>
      </c>
      <c r="H26" s="22">
        <f>COUNTIF(P26:AS26,"cA")</f>
        <v>0</v>
      </c>
      <c r="I26" s="22">
        <f>COUNTIF(P26:AS26,"rtt")</f>
        <v>0</v>
      </c>
      <c r="J26" s="22">
        <f>COUNTIF(P26:AS26,"cex")</f>
        <v>0</v>
      </c>
      <c r="K26" s="22">
        <f>COUNTIF(P26:AS26,"res")</f>
        <v>0</v>
      </c>
      <c r="L26" s="22">
        <f>COUNTIF(P26:AS26,"mA")</f>
        <v>0</v>
      </c>
      <c r="M26" s="22">
        <f>COUNTIF(P26:AS26,"at")</f>
        <v>0</v>
      </c>
      <c r="N26" s="22">
        <f>COUNTIF(P26:AS26,"TAD")</f>
        <v>0</v>
      </c>
      <c r="O26" s="22">
        <f>COUNTIF(P26:AS26,"TP")</f>
        <v>0</v>
      </c>
      <c r="P26" s="120"/>
      <c r="Q26" s="22"/>
      <c r="R26" s="104"/>
      <c r="S26" s="104"/>
      <c r="T26" s="22"/>
      <c r="U26" s="22"/>
      <c r="V26" s="22"/>
      <c r="W26" s="22"/>
      <c r="X26" s="22"/>
      <c r="Y26" s="104"/>
      <c r="Z26" s="104"/>
      <c r="AA26" s="22"/>
      <c r="AB26" s="22"/>
      <c r="AC26" s="22"/>
      <c r="AD26" s="22"/>
      <c r="AE26" s="22"/>
      <c r="AF26" s="104"/>
      <c r="AG26" s="104"/>
      <c r="AH26" s="22"/>
      <c r="AI26" s="22"/>
      <c r="AJ26" s="22"/>
      <c r="AK26" s="22"/>
      <c r="AL26" s="22"/>
      <c r="AM26" s="104"/>
      <c r="AN26" s="104"/>
      <c r="AO26" s="22"/>
      <c r="AP26" s="22"/>
      <c r="AQ26" s="22"/>
      <c r="AR26" s="22"/>
      <c r="AS26" s="22"/>
      <c r="AT26" s="104"/>
    </row>
    <row r="27" spans="1:47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120"/>
      <c r="Q27" s="22"/>
      <c r="R27" s="104"/>
      <c r="S27" s="104"/>
      <c r="T27" s="22"/>
      <c r="U27" s="22"/>
      <c r="V27" s="22"/>
      <c r="W27" s="22"/>
      <c r="X27" s="22"/>
      <c r="Y27" s="104"/>
      <c r="Z27" s="104"/>
      <c r="AA27" s="22"/>
      <c r="AB27" s="22"/>
      <c r="AC27" s="22"/>
      <c r="AD27" s="22"/>
      <c r="AE27" s="22"/>
      <c r="AF27" s="104"/>
      <c r="AG27" s="104"/>
      <c r="AH27" s="22"/>
      <c r="AI27" s="22"/>
      <c r="AJ27" s="22"/>
      <c r="AK27" s="22"/>
      <c r="AL27" s="22"/>
      <c r="AM27" s="104"/>
      <c r="AN27" s="104"/>
      <c r="AO27" s="22"/>
      <c r="AP27" s="22"/>
      <c r="AQ27" s="22"/>
      <c r="AR27" s="22"/>
      <c r="AS27" s="22"/>
      <c r="AT27" s="104"/>
    </row>
    <row r="28" spans="1:47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120"/>
      <c r="Q28" s="22"/>
      <c r="R28" s="104"/>
      <c r="S28" s="104"/>
      <c r="T28" s="22"/>
      <c r="U28" s="22"/>
      <c r="V28" s="22"/>
      <c r="W28" s="22"/>
      <c r="X28" s="22"/>
      <c r="Y28" s="104"/>
      <c r="Z28" s="104"/>
      <c r="AA28" s="22"/>
      <c r="AB28" s="22"/>
      <c r="AC28" s="22"/>
      <c r="AD28" s="22"/>
      <c r="AE28" s="22"/>
      <c r="AF28" s="104"/>
      <c r="AG28" s="104"/>
      <c r="AH28" s="22"/>
      <c r="AI28" s="22"/>
      <c r="AJ28" s="22"/>
      <c r="AK28" s="22"/>
      <c r="AL28" s="22"/>
      <c r="AM28" s="104"/>
      <c r="AN28" s="104"/>
      <c r="AO28" s="22"/>
      <c r="AP28" s="22"/>
      <c r="AQ28" s="22"/>
      <c r="AR28" s="22"/>
      <c r="AS28" s="22"/>
      <c r="AT28" s="104"/>
    </row>
    <row r="29" spans="1:47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23">
        <f>COUNTIF(P29:AS29,"TP")</f>
        <v>0</v>
      </c>
      <c r="P29" s="120"/>
      <c r="Q29" s="22"/>
      <c r="R29" s="104"/>
      <c r="S29" s="104"/>
      <c r="T29" s="22"/>
      <c r="U29" s="22"/>
      <c r="V29" s="22"/>
      <c r="W29" s="22"/>
      <c r="X29" s="22"/>
      <c r="Y29" s="104"/>
      <c r="Z29" s="104"/>
      <c r="AA29" s="22"/>
      <c r="AB29" s="22"/>
      <c r="AC29" s="22"/>
      <c r="AD29" s="22"/>
      <c r="AE29" s="22"/>
      <c r="AF29" s="104"/>
      <c r="AG29" s="104"/>
      <c r="AH29" s="22"/>
      <c r="AI29" s="22"/>
      <c r="AJ29" s="22"/>
      <c r="AK29" s="22"/>
      <c r="AL29" s="22"/>
      <c r="AM29" s="104"/>
      <c r="AN29" s="104"/>
      <c r="AO29" s="22"/>
      <c r="AP29" s="22"/>
      <c r="AQ29" s="22"/>
      <c r="AR29" s="22"/>
      <c r="AS29" s="22"/>
      <c r="AT29" s="104"/>
    </row>
    <row r="30" spans="1:47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  <c r="AT30" s="226"/>
    </row>
    <row r="31" spans="1:47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23">
        <f t="shared" ref="O31:O36" si="26">COUNTIF(P31:AS31,"TP")</f>
        <v>0</v>
      </c>
      <c r="P31" s="120"/>
      <c r="Q31" s="22"/>
      <c r="R31" s="104"/>
      <c r="S31" s="104"/>
      <c r="T31" s="22"/>
      <c r="U31" s="22"/>
      <c r="V31" s="22"/>
      <c r="W31" s="22"/>
      <c r="X31" s="22"/>
      <c r="Y31" s="104"/>
      <c r="Z31" s="104"/>
      <c r="AA31" s="22"/>
      <c r="AB31" s="22"/>
      <c r="AC31" s="22"/>
      <c r="AD31" s="22"/>
      <c r="AE31" s="22"/>
      <c r="AF31" s="104"/>
      <c r="AG31" s="104"/>
      <c r="AH31" s="22"/>
      <c r="AI31" s="22"/>
      <c r="AJ31" s="22"/>
      <c r="AK31" s="22"/>
      <c r="AL31" s="22"/>
      <c r="AM31" s="104"/>
      <c r="AN31" s="104"/>
      <c r="AO31" s="22"/>
      <c r="AP31" s="22"/>
      <c r="AQ31" s="22"/>
      <c r="AR31" s="22"/>
      <c r="AS31" s="22"/>
      <c r="AT31" s="104"/>
    </row>
    <row r="32" spans="1:47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23">
        <f t="shared" si="26"/>
        <v>0</v>
      </c>
      <c r="P32" s="120"/>
      <c r="Q32" s="22"/>
      <c r="R32" s="104"/>
      <c r="S32" s="104"/>
      <c r="T32" s="22"/>
      <c r="U32" s="22"/>
      <c r="V32" s="22"/>
      <c r="W32" s="22"/>
      <c r="X32" s="22"/>
      <c r="Y32" s="104"/>
      <c r="Z32" s="104"/>
      <c r="AA32" s="22"/>
      <c r="AB32" s="22"/>
      <c r="AC32" s="22"/>
      <c r="AD32" s="22"/>
      <c r="AE32" s="22"/>
      <c r="AF32" s="104"/>
      <c r="AG32" s="104"/>
      <c r="AH32" s="22"/>
      <c r="AI32" s="22"/>
      <c r="AJ32" s="22"/>
      <c r="AK32" s="22"/>
      <c r="AL32" s="22"/>
      <c r="AM32" s="104"/>
      <c r="AN32" s="104"/>
      <c r="AO32" s="22"/>
      <c r="AP32" s="22"/>
      <c r="AQ32" s="22"/>
      <c r="AR32" s="22"/>
      <c r="AS32" s="22"/>
      <c r="AT32" s="104"/>
    </row>
    <row r="33" spans="1:58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23">
        <f t="shared" si="26"/>
        <v>0</v>
      </c>
      <c r="P33" s="120"/>
      <c r="Q33" s="22"/>
      <c r="R33" s="104"/>
      <c r="S33" s="104"/>
      <c r="T33" s="22"/>
      <c r="U33" s="22"/>
      <c r="V33" s="22"/>
      <c r="W33" s="22"/>
      <c r="X33" s="22"/>
      <c r="Y33" s="104"/>
      <c r="Z33" s="104"/>
      <c r="AA33" s="22"/>
      <c r="AB33" s="22"/>
      <c r="AC33" s="22"/>
      <c r="AD33" s="22"/>
      <c r="AE33" s="22"/>
      <c r="AF33" s="104"/>
      <c r="AG33" s="104"/>
      <c r="AH33" s="22"/>
      <c r="AI33" s="22"/>
      <c r="AJ33" s="22"/>
      <c r="AK33" s="22"/>
      <c r="AL33" s="22"/>
      <c r="AM33" s="104"/>
      <c r="AN33" s="104"/>
      <c r="AO33" s="22"/>
      <c r="AP33" s="22"/>
      <c r="AQ33" s="22"/>
      <c r="AR33" s="22"/>
      <c r="AS33" s="22"/>
      <c r="AT33" s="104"/>
    </row>
    <row r="34" spans="1:58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23">
        <f t="shared" si="26"/>
        <v>0</v>
      </c>
      <c r="P34" s="120"/>
      <c r="Q34" s="22"/>
      <c r="R34" s="104"/>
      <c r="S34" s="104"/>
      <c r="T34" s="22"/>
      <c r="U34" s="22"/>
      <c r="V34" s="22"/>
      <c r="W34" s="22"/>
      <c r="X34" s="22"/>
      <c r="Y34" s="104"/>
      <c r="Z34" s="104"/>
      <c r="AA34" s="22"/>
      <c r="AB34" s="22"/>
      <c r="AC34" s="22"/>
      <c r="AD34" s="22"/>
      <c r="AE34" s="22"/>
      <c r="AF34" s="104"/>
      <c r="AG34" s="104"/>
      <c r="AH34" s="22"/>
      <c r="AI34" s="22"/>
      <c r="AJ34" s="22"/>
      <c r="AK34" s="22"/>
      <c r="AL34" s="22"/>
      <c r="AM34" s="104"/>
      <c r="AN34" s="104"/>
      <c r="AO34" s="22"/>
      <c r="AP34" s="22"/>
      <c r="AQ34" s="22"/>
      <c r="AR34" s="22"/>
      <c r="AS34" s="22"/>
      <c r="AT34" s="104"/>
    </row>
    <row r="35" spans="1:58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23">
        <f t="shared" si="26"/>
        <v>0</v>
      </c>
      <c r="P35" s="120"/>
      <c r="Q35" s="22"/>
      <c r="R35" s="104"/>
      <c r="S35" s="104"/>
      <c r="T35" s="22"/>
      <c r="U35" s="22"/>
      <c r="V35" s="22"/>
      <c r="W35" s="22"/>
      <c r="X35" s="22"/>
      <c r="Y35" s="104"/>
      <c r="Z35" s="104"/>
      <c r="AA35" s="22"/>
      <c r="AB35" s="22"/>
      <c r="AC35" s="22"/>
      <c r="AD35" s="22"/>
      <c r="AE35" s="22"/>
      <c r="AF35" s="104"/>
      <c r="AG35" s="104"/>
      <c r="AH35" s="22"/>
      <c r="AI35" s="22"/>
      <c r="AJ35" s="22"/>
      <c r="AK35" s="22"/>
      <c r="AL35" s="22"/>
      <c r="AM35" s="104"/>
      <c r="AN35" s="104"/>
      <c r="AO35" s="22"/>
      <c r="AP35" s="22"/>
      <c r="AQ35" s="22"/>
      <c r="AR35" s="22"/>
      <c r="AS35" s="22"/>
      <c r="AT35" s="104"/>
    </row>
    <row r="36" spans="1:58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23">
        <f t="shared" si="26"/>
        <v>0</v>
      </c>
      <c r="P36" s="120"/>
      <c r="Q36" s="22"/>
      <c r="R36" s="104"/>
      <c r="S36" s="104"/>
      <c r="T36" s="22"/>
      <c r="U36" s="22"/>
      <c r="V36" s="22"/>
      <c r="W36" s="22"/>
      <c r="X36" s="22"/>
      <c r="Y36" s="104"/>
      <c r="Z36" s="104"/>
      <c r="AA36" s="22"/>
      <c r="AB36" s="22"/>
      <c r="AC36" s="22"/>
      <c r="AD36" s="22"/>
      <c r="AE36" s="22"/>
      <c r="AF36" s="104"/>
      <c r="AG36" s="104"/>
      <c r="AH36" s="22"/>
      <c r="AI36" s="22"/>
      <c r="AJ36" s="22"/>
      <c r="AK36" s="22"/>
      <c r="AL36" s="22"/>
      <c r="AM36" s="104"/>
      <c r="AN36" s="104"/>
      <c r="AO36" s="22"/>
      <c r="AP36" s="22"/>
      <c r="AQ36" s="22"/>
      <c r="AR36" s="22"/>
      <c r="AS36" s="22"/>
      <c r="AT36" s="104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167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120"/>
      <c r="Q39" s="22"/>
      <c r="R39" s="104"/>
      <c r="S39" s="104"/>
      <c r="T39" s="22"/>
      <c r="U39" s="22"/>
      <c r="V39" s="22"/>
      <c r="W39" s="22"/>
      <c r="X39" s="22"/>
      <c r="Y39" s="104"/>
      <c r="Z39" s="104"/>
      <c r="AA39" s="22"/>
      <c r="AB39" s="22"/>
      <c r="AC39" s="22"/>
      <c r="AD39" s="22"/>
      <c r="AE39" s="22"/>
      <c r="AF39" s="104"/>
      <c r="AG39" s="104"/>
      <c r="AH39" s="22"/>
      <c r="AI39" s="22"/>
      <c r="AJ39" s="22"/>
      <c r="AK39" s="22"/>
      <c r="AL39" s="22"/>
      <c r="AM39" s="104"/>
      <c r="AN39" s="104"/>
      <c r="AO39" s="22"/>
      <c r="AP39" s="22"/>
      <c r="AQ39" s="22"/>
      <c r="AR39" s="22"/>
      <c r="AS39" s="22"/>
      <c r="AT39" s="104"/>
      <c r="AV39" s="168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120"/>
      <c r="Q40" s="22"/>
      <c r="R40" s="104"/>
      <c r="S40" s="104"/>
      <c r="T40" s="22"/>
      <c r="U40" s="22"/>
      <c r="V40" s="22"/>
      <c r="W40" s="22"/>
      <c r="X40" s="22"/>
      <c r="Y40" s="104"/>
      <c r="Z40" s="104"/>
      <c r="AA40" s="22"/>
      <c r="AB40" s="22"/>
      <c r="AC40" s="22"/>
      <c r="AD40" s="22"/>
      <c r="AE40" s="22"/>
      <c r="AF40" s="104"/>
      <c r="AG40" s="104"/>
      <c r="AH40" s="22"/>
      <c r="AI40" s="22"/>
      <c r="AJ40" s="22"/>
      <c r="AK40" s="22"/>
      <c r="AL40" s="22"/>
      <c r="AM40" s="104"/>
      <c r="AN40" s="104"/>
      <c r="AO40" s="22"/>
      <c r="AP40" s="22"/>
      <c r="AQ40" s="22"/>
      <c r="AR40" s="22"/>
      <c r="AS40" s="22"/>
      <c r="AT40" s="104"/>
      <c r="AU40" s="19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120"/>
      <c r="Q41" s="22"/>
      <c r="R41" s="104"/>
      <c r="S41" s="104"/>
      <c r="T41" s="22"/>
      <c r="U41" s="22"/>
      <c r="V41" s="22"/>
      <c r="W41" s="22"/>
      <c r="X41" s="22"/>
      <c r="Y41" s="104"/>
      <c r="Z41" s="104"/>
      <c r="AA41" s="22"/>
      <c r="AB41" s="22"/>
      <c r="AC41" s="22"/>
      <c r="AD41" s="22"/>
      <c r="AE41" s="22"/>
      <c r="AF41" s="104"/>
      <c r="AG41" s="104"/>
      <c r="AH41" s="22"/>
      <c r="AI41" s="22"/>
      <c r="AJ41" s="22"/>
      <c r="AK41" s="22"/>
      <c r="AL41" s="22"/>
      <c r="AM41" s="104"/>
      <c r="AN41" s="104"/>
      <c r="AO41" s="22"/>
      <c r="AP41" s="22"/>
      <c r="AQ41" s="22"/>
      <c r="AR41" s="22"/>
      <c r="AS41" s="22"/>
      <c r="AT41" s="104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120"/>
      <c r="Q42" s="22"/>
      <c r="R42" s="104"/>
      <c r="S42" s="104"/>
      <c r="T42" s="22"/>
      <c r="U42" s="22"/>
      <c r="V42" s="22"/>
      <c r="W42" s="22"/>
      <c r="X42" s="22"/>
      <c r="Y42" s="104"/>
      <c r="Z42" s="104"/>
      <c r="AA42" s="22"/>
      <c r="AB42" s="22"/>
      <c r="AC42" s="22"/>
      <c r="AD42" s="22"/>
      <c r="AE42" s="22"/>
      <c r="AF42" s="104"/>
      <c r="AG42" s="104"/>
      <c r="AH42" s="22"/>
      <c r="AI42" s="22"/>
      <c r="AJ42" s="22"/>
      <c r="AK42" s="22"/>
      <c r="AL42" s="22"/>
      <c r="AM42" s="104"/>
      <c r="AN42" s="104"/>
      <c r="AO42" s="22"/>
      <c r="AP42" s="22"/>
      <c r="AQ42" s="22"/>
      <c r="AR42" s="22"/>
      <c r="AS42" s="22"/>
      <c r="AT42" s="104"/>
      <c r="AU42" s="19"/>
    </row>
    <row r="43" spans="1:58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120"/>
      <c r="Q43" s="22"/>
      <c r="R43" s="104"/>
      <c r="S43" s="104"/>
      <c r="T43" s="22"/>
      <c r="U43" s="22"/>
      <c r="V43" s="22"/>
      <c r="W43" s="22"/>
      <c r="X43" s="22"/>
      <c r="Y43" s="104"/>
      <c r="Z43" s="104"/>
      <c r="AA43" s="22"/>
      <c r="AB43" s="22"/>
      <c r="AC43" s="22"/>
      <c r="AD43" s="22"/>
      <c r="AE43" s="22"/>
      <c r="AF43" s="104"/>
      <c r="AG43" s="104"/>
      <c r="AH43" s="22"/>
      <c r="AI43" s="22"/>
      <c r="AJ43" s="22"/>
      <c r="AK43" s="22"/>
      <c r="AL43" s="22"/>
      <c r="AM43" s="104"/>
      <c r="AN43" s="104"/>
      <c r="AO43" s="22"/>
      <c r="AP43" s="22"/>
      <c r="AQ43" s="22"/>
      <c r="AR43" s="22"/>
      <c r="AS43" s="22"/>
      <c r="AT43" s="104"/>
    </row>
    <row r="44" spans="1:58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120"/>
      <c r="Q44" s="22"/>
      <c r="R44" s="104"/>
      <c r="S44" s="104"/>
      <c r="T44" s="22"/>
      <c r="U44" s="22"/>
      <c r="V44" s="22"/>
      <c r="W44" s="22"/>
      <c r="X44" s="22"/>
      <c r="Y44" s="104"/>
      <c r="Z44" s="104"/>
      <c r="AA44" s="22"/>
      <c r="AB44" s="22"/>
      <c r="AC44" s="22"/>
      <c r="AD44" s="22"/>
      <c r="AE44" s="22"/>
      <c r="AF44" s="104"/>
      <c r="AG44" s="104"/>
      <c r="AH44" s="22"/>
      <c r="AI44" s="22"/>
      <c r="AJ44" s="22"/>
      <c r="AK44" s="22"/>
      <c r="AL44" s="22"/>
      <c r="AM44" s="104"/>
      <c r="AN44" s="104"/>
      <c r="AO44" s="22"/>
      <c r="AP44" s="22"/>
      <c r="AQ44" s="22"/>
      <c r="AR44" s="22"/>
      <c r="AS44" s="22"/>
      <c r="AT44" s="104"/>
    </row>
    <row r="45" spans="1:58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0</v>
      </c>
      <c r="N45" s="20">
        <f t="shared" si="37"/>
        <v>0</v>
      </c>
      <c r="O45" s="92">
        <f t="shared" si="38"/>
        <v>0</v>
      </c>
      <c r="P45" s="120"/>
      <c r="Q45" s="22"/>
      <c r="R45" s="104"/>
      <c r="S45" s="104"/>
      <c r="T45" s="22"/>
      <c r="U45" s="22"/>
      <c r="V45" s="22"/>
      <c r="W45" s="22"/>
      <c r="X45" s="22"/>
      <c r="Y45" s="104"/>
      <c r="Z45" s="104"/>
      <c r="AA45" s="22"/>
      <c r="AB45" s="22"/>
      <c r="AC45" s="22"/>
      <c r="AD45" s="22"/>
      <c r="AE45" s="22"/>
      <c r="AF45" s="104"/>
      <c r="AG45" s="104"/>
      <c r="AH45" s="22"/>
      <c r="AI45" s="22"/>
      <c r="AJ45" s="22"/>
      <c r="AK45" s="22"/>
      <c r="AL45" s="22"/>
      <c r="AM45" s="104"/>
      <c r="AN45" s="104"/>
      <c r="AO45" s="22"/>
      <c r="AP45" s="22"/>
      <c r="AQ45" s="22"/>
      <c r="AR45" s="22"/>
      <c r="AS45" s="22"/>
      <c r="AT45" s="104"/>
    </row>
    <row r="46" spans="1:58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120"/>
      <c r="Q46" s="22"/>
      <c r="R46" s="104"/>
      <c r="S46" s="104"/>
      <c r="T46" s="22"/>
      <c r="U46" s="22"/>
      <c r="V46" s="22"/>
      <c r="W46" s="22"/>
      <c r="X46" s="22"/>
      <c r="Y46" s="104"/>
      <c r="Z46" s="104"/>
      <c r="AA46" s="22"/>
      <c r="AB46" s="22"/>
      <c r="AC46" s="22"/>
      <c r="AD46" s="22"/>
      <c r="AE46" s="22"/>
      <c r="AF46" s="104"/>
      <c r="AG46" s="104"/>
      <c r="AH46" s="22"/>
      <c r="AI46" s="22"/>
      <c r="AJ46" s="22"/>
      <c r="AK46" s="22"/>
      <c r="AL46" s="22"/>
      <c r="AM46" s="104"/>
      <c r="AN46" s="104"/>
      <c r="AO46" s="22"/>
      <c r="AP46" s="22"/>
      <c r="AQ46" s="22"/>
      <c r="AR46" s="22"/>
      <c r="AS46" s="22"/>
      <c r="AT46" s="104"/>
    </row>
    <row r="47" spans="1:58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120"/>
      <c r="Q47" s="22"/>
      <c r="R47" s="104"/>
      <c r="S47" s="104"/>
      <c r="T47" s="22"/>
      <c r="U47" s="22"/>
      <c r="V47" s="22"/>
      <c r="W47" s="22"/>
      <c r="X47" s="22"/>
      <c r="Y47" s="104"/>
      <c r="Z47" s="104"/>
      <c r="AA47" s="22"/>
      <c r="AB47" s="22"/>
      <c r="AC47" s="22"/>
      <c r="AD47" s="22"/>
      <c r="AE47" s="22"/>
      <c r="AF47" s="104"/>
      <c r="AG47" s="104"/>
      <c r="AH47" s="22"/>
      <c r="AI47" s="22"/>
      <c r="AJ47" s="22"/>
      <c r="AK47" s="22"/>
      <c r="AL47" s="22"/>
      <c r="AM47" s="104"/>
      <c r="AN47" s="104"/>
      <c r="AO47" s="22"/>
      <c r="AP47" s="22"/>
      <c r="AQ47" s="22"/>
      <c r="AR47" s="22"/>
      <c r="AS47" s="22"/>
      <c r="AT47" s="104"/>
    </row>
    <row r="48" spans="1:58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120"/>
      <c r="Q48" s="22"/>
      <c r="R48" s="104"/>
      <c r="S48" s="104"/>
      <c r="T48" s="22"/>
      <c r="U48" s="22"/>
      <c r="V48" s="22"/>
      <c r="W48" s="22"/>
      <c r="X48" s="22"/>
      <c r="Y48" s="104"/>
      <c r="Z48" s="104"/>
      <c r="AA48" s="22"/>
      <c r="AB48" s="22"/>
      <c r="AC48" s="22"/>
      <c r="AD48" s="22"/>
      <c r="AE48" s="22"/>
      <c r="AF48" s="104"/>
      <c r="AG48" s="104"/>
      <c r="AH48" s="22"/>
      <c r="AI48" s="22"/>
      <c r="AJ48" s="22"/>
      <c r="AK48" s="22"/>
      <c r="AL48" s="22"/>
      <c r="AM48" s="104"/>
      <c r="AN48" s="104"/>
      <c r="AO48" s="22"/>
      <c r="AP48" s="22"/>
      <c r="AQ48" s="22"/>
      <c r="AR48" s="22"/>
      <c r="AS48" s="22"/>
      <c r="AT48" s="104"/>
    </row>
    <row r="49" spans="1:58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134">
        <f t="shared" si="27"/>
        <v>0</v>
      </c>
      <c r="E49" s="123">
        <f t="shared" si="28"/>
        <v>0</v>
      </c>
      <c r="F49" s="123">
        <f t="shared" si="29"/>
        <v>0</v>
      </c>
      <c r="G49" s="123">
        <f t="shared" si="30"/>
        <v>0</v>
      </c>
      <c r="H49" s="123">
        <f t="shared" si="31"/>
        <v>0</v>
      </c>
      <c r="I49" s="123">
        <f t="shared" si="32"/>
        <v>0</v>
      </c>
      <c r="J49" s="123">
        <f t="shared" si="33"/>
        <v>0</v>
      </c>
      <c r="K49" s="123">
        <f t="shared" si="34"/>
        <v>0</v>
      </c>
      <c r="L49" s="123">
        <f t="shared" si="35"/>
        <v>0</v>
      </c>
      <c r="M49" s="123">
        <f t="shared" si="36"/>
        <v>0</v>
      </c>
      <c r="N49" s="123">
        <f t="shared" si="37"/>
        <v>0</v>
      </c>
      <c r="O49" s="140">
        <f t="shared" si="38"/>
        <v>0</v>
      </c>
      <c r="P49" s="120"/>
      <c r="Q49" s="22"/>
      <c r="R49" s="104"/>
      <c r="S49" s="104"/>
      <c r="T49" s="22"/>
      <c r="U49" s="22"/>
      <c r="V49" s="22"/>
      <c r="W49" s="22"/>
      <c r="X49" s="22"/>
      <c r="Y49" s="104"/>
      <c r="Z49" s="104"/>
      <c r="AA49" s="22"/>
      <c r="AB49" s="22"/>
      <c r="AC49" s="22"/>
      <c r="AD49" s="22"/>
      <c r="AE49" s="22"/>
      <c r="AF49" s="104"/>
      <c r="AG49" s="104"/>
      <c r="AH49" s="22"/>
      <c r="AI49" s="22"/>
      <c r="AJ49" s="22"/>
      <c r="AK49" s="22"/>
      <c r="AL49" s="22"/>
      <c r="AM49" s="104"/>
      <c r="AN49" s="104"/>
      <c r="AO49" s="22"/>
      <c r="AP49" s="22"/>
      <c r="AQ49" s="22"/>
      <c r="AR49" s="22"/>
      <c r="AS49" s="22"/>
      <c r="AT49" s="104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177"/>
      <c r="AT50" s="177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103">
        <f t="shared" ref="D51:D62" si="39">COUNTIF(P51:AS51,"p")</f>
        <v>0</v>
      </c>
      <c r="E51" s="22">
        <f t="shared" ref="E51:E62" si="40">COUNTIF(P51:AS51,"PC")</f>
        <v>0</v>
      </c>
      <c r="F51" s="22">
        <f t="shared" ref="F51:F62" si="41">COUNTIF(P51:AS51,"f")</f>
        <v>0</v>
      </c>
      <c r="G51" s="22">
        <f t="shared" ref="G51:G62" si="42">COUNTIF(P51:AS51,"ast")</f>
        <v>0</v>
      </c>
      <c r="H51" s="22">
        <f t="shared" ref="H51:H62" si="43">COUNTIF(P51:AS51,"cA")</f>
        <v>0</v>
      </c>
      <c r="I51" s="22">
        <f t="shared" ref="I51:I62" si="44">COUNTIF(P51:AS51,"rtt")</f>
        <v>0</v>
      </c>
      <c r="J51" s="22">
        <f t="shared" ref="J51:J62" si="45">COUNTIF(P51:AS51,"cex")</f>
        <v>0</v>
      </c>
      <c r="K51" s="22">
        <f t="shared" ref="K51:K62" si="46">COUNTIF(P51:AS51,"res")</f>
        <v>0</v>
      </c>
      <c r="L51" s="22">
        <f t="shared" ref="L51:L62" si="47">COUNTIF(P51:AS51,"mA")</f>
        <v>0</v>
      </c>
      <c r="M51" s="22">
        <f t="shared" ref="M51:M62" si="48">COUNTIF(P51:AS51,"at")</f>
        <v>0</v>
      </c>
      <c r="N51" s="22">
        <f t="shared" ref="N51:N62" si="49">COUNTIF(P51:AS51,"TAD")</f>
        <v>0</v>
      </c>
      <c r="O51" s="106">
        <f t="shared" ref="O51:O62" si="50">COUNTIF(P51:AS51,"TP")</f>
        <v>0</v>
      </c>
      <c r="P51" s="120"/>
      <c r="Q51" s="22"/>
      <c r="R51" s="104"/>
      <c r="S51" s="104"/>
      <c r="T51" s="22"/>
      <c r="U51" s="22"/>
      <c r="V51" s="22"/>
      <c r="W51" s="22"/>
      <c r="X51" s="22"/>
      <c r="Y51" s="104"/>
      <c r="Z51" s="104"/>
      <c r="AA51" s="22"/>
      <c r="AB51" s="22"/>
      <c r="AC51" s="22"/>
      <c r="AD51" s="22"/>
      <c r="AE51" s="22"/>
      <c r="AF51" s="104"/>
      <c r="AG51" s="104"/>
      <c r="AH51" s="22"/>
      <c r="AI51" s="22"/>
      <c r="AJ51" s="22"/>
      <c r="AK51" s="22"/>
      <c r="AL51" s="22"/>
      <c r="AM51" s="104"/>
      <c r="AN51" s="104"/>
      <c r="AO51" s="22"/>
      <c r="AP51" s="22"/>
      <c r="AQ51" s="22"/>
      <c r="AR51" s="22"/>
      <c r="AS51" s="22"/>
      <c r="AT51" s="104"/>
      <c r="AV51" s="168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120"/>
      <c r="Q52" s="22"/>
      <c r="R52" s="104"/>
      <c r="S52" s="104"/>
      <c r="T52" s="22"/>
      <c r="U52" s="22"/>
      <c r="V52" s="22"/>
      <c r="W52" s="22"/>
      <c r="X52" s="22"/>
      <c r="Y52" s="104"/>
      <c r="Z52" s="104"/>
      <c r="AA52" s="22"/>
      <c r="AB52" s="22"/>
      <c r="AC52" s="22"/>
      <c r="AD52" s="22"/>
      <c r="AE52" s="22"/>
      <c r="AF52" s="104"/>
      <c r="AG52" s="104"/>
      <c r="AH52" s="22"/>
      <c r="AI52" s="22"/>
      <c r="AJ52" s="22"/>
      <c r="AK52" s="22"/>
      <c r="AL52" s="22"/>
      <c r="AM52" s="104"/>
      <c r="AN52" s="104"/>
      <c r="AO52" s="22"/>
      <c r="AP52" s="22"/>
      <c r="AQ52" s="22"/>
      <c r="AR52" s="22"/>
      <c r="AS52" s="22"/>
      <c r="AT52" s="104"/>
      <c r="AU52" s="19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0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120"/>
      <c r="Q53" s="22"/>
      <c r="R53" s="104"/>
      <c r="S53" s="104"/>
      <c r="T53" s="22"/>
      <c r="U53" s="22"/>
      <c r="V53" s="22"/>
      <c r="W53" s="22"/>
      <c r="X53" s="22"/>
      <c r="Y53" s="104"/>
      <c r="Z53" s="104"/>
      <c r="AA53" s="22"/>
      <c r="AB53" s="22"/>
      <c r="AC53" s="22"/>
      <c r="AD53" s="22"/>
      <c r="AE53" s="22"/>
      <c r="AF53" s="104"/>
      <c r="AG53" s="104"/>
      <c r="AH53" s="22"/>
      <c r="AI53" s="22"/>
      <c r="AJ53" s="22"/>
      <c r="AK53" s="22"/>
      <c r="AL53" s="22"/>
      <c r="AM53" s="104"/>
      <c r="AN53" s="104"/>
      <c r="AO53" s="22"/>
      <c r="AP53" s="22"/>
      <c r="AQ53" s="22"/>
      <c r="AR53" s="22"/>
      <c r="AS53" s="22"/>
      <c r="AT53" s="104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120"/>
      <c r="Q54" s="22"/>
      <c r="R54" s="104"/>
      <c r="S54" s="104"/>
      <c r="T54" s="22"/>
      <c r="U54" s="22"/>
      <c r="V54" s="22"/>
      <c r="W54" s="22"/>
      <c r="X54" s="22"/>
      <c r="Y54" s="104"/>
      <c r="Z54" s="104"/>
      <c r="AA54" s="22"/>
      <c r="AB54" s="22"/>
      <c r="AC54" s="22"/>
      <c r="AD54" s="22"/>
      <c r="AE54" s="22"/>
      <c r="AF54" s="104"/>
      <c r="AG54" s="104"/>
      <c r="AH54" s="22"/>
      <c r="AI54" s="22"/>
      <c r="AJ54" s="22"/>
      <c r="AK54" s="22"/>
      <c r="AL54" s="22"/>
      <c r="AM54" s="104"/>
      <c r="AN54" s="104"/>
      <c r="AO54" s="22"/>
      <c r="AP54" s="22"/>
      <c r="AQ54" s="22"/>
      <c r="AR54" s="22"/>
      <c r="AS54" s="22"/>
      <c r="AT54" s="104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120"/>
      <c r="Q55" s="22"/>
      <c r="R55" s="104"/>
      <c r="S55" s="104"/>
      <c r="T55" s="22"/>
      <c r="U55" s="22"/>
      <c r="V55" s="22"/>
      <c r="W55" s="22"/>
      <c r="X55" s="22"/>
      <c r="Y55" s="104"/>
      <c r="Z55" s="104"/>
      <c r="AA55" s="22"/>
      <c r="AB55" s="22"/>
      <c r="AC55" s="22"/>
      <c r="AD55" s="22"/>
      <c r="AE55" s="22"/>
      <c r="AF55" s="104"/>
      <c r="AG55" s="104"/>
      <c r="AH55" s="22"/>
      <c r="AI55" s="22"/>
      <c r="AJ55" s="22"/>
      <c r="AK55" s="22"/>
      <c r="AL55" s="22"/>
      <c r="AM55" s="104"/>
      <c r="AN55" s="104"/>
      <c r="AO55" s="22"/>
      <c r="AP55" s="22"/>
      <c r="AQ55" s="22"/>
      <c r="AR55" s="22"/>
      <c r="AS55" s="22"/>
      <c r="AT55" s="104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120"/>
      <c r="Q56" s="22"/>
      <c r="R56" s="104"/>
      <c r="S56" s="104"/>
      <c r="T56" s="22"/>
      <c r="U56" s="22"/>
      <c r="V56" s="22"/>
      <c r="W56" s="22"/>
      <c r="X56" s="22"/>
      <c r="Y56" s="104"/>
      <c r="Z56" s="104"/>
      <c r="AA56" s="22"/>
      <c r="AB56" s="22"/>
      <c r="AC56" s="22"/>
      <c r="AD56" s="22"/>
      <c r="AE56" s="22"/>
      <c r="AF56" s="104"/>
      <c r="AG56" s="104"/>
      <c r="AH56" s="22"/>
      <c r="AI56" s="22"/>
      <c r="AJ56" s="22"/>
      <c r="AK56" s="22"/>
      <c r="AL56" s="22"/>
      <c r="AM56" s="104"/>
      <c r="AN56" s="104"/>
      <c r="AO56" s="22"/>
      <c r="AP56" s="22"/>
      <c r="AQ56" s="22"/>
      <c r="AR56" s="22"/>
      <c r="AS56" s="22"/>
      <c r="AT56" s="104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120"/>
      <c r="Q57" s="22"/>
      <c r="R57" s="104"/>
      <c r="S57" s="104"/>
      <c r="T57" s="22"/>
      <c r="U57" s="22"/>
      <c r="V57" s="22"/>
      <c r="W57" s="22"/>
      <c r="X57" s="22"/>
      <c r="Y57" s="104"/>
      <c r="Z57" s="104"/>
      <c r="AA57" s="22"/>
      <c r="AB57" s="22"/>
      <c r="AC57" s="22"/>
      <c r="AD57" s="22"/>
      <c r="AE57" s="22"/>
      <c r="AF57" s="104"/>
      <c r="AG57" s="104"/>
      <c r="AH57" s="22"/>
      <c r="AI57" s="22"/>
      <c r="AJ57" s="22"/>
      <c r="AK57" s="22"/>
      <c r="AL57" s="22"/>
      <c r="AM57" s="104"/>
      <c r="AN57" s="104"/>
      <c r="AO57" s="22"/>
      <c r="AP57" s="22"/>
      <c r="AQ57" s="22"/>
      <c r="AR57" s="22"/>
      <c r="AS57" s="22"/>
      <c r="AT57" s="104"/>
      <c r="AU57" s="19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120"/>
      <c r="Q58" s="22"/>
      <c r="R58" s="104"/>
      <c r="S58" s="104"/>
      <c r="T58" s="22"/>
      <c r="U58" s="22"/>
      <c r="V58" s="22"/>
      <c r="W58" s="22"/>
      <c r="X58" s="22"/>
      <c r="Y58" s="104"/>
      <c r="Z58" s="104"/>
      <c r="AA58" s="22"/>
      <c r="AB58" s="22"/>
      <c r="AC58" s="22"/>
      <c r="AD58" s="22"/>
      <c r="AE58" s="22"/>
      <c r="AF58" s="104"/>
      <c r="AG58" s="104"/>
      <c r="AH58" s="22"/>
      <c r="AI58" s="22"/>
      <c r="AJ58" s="22"/>
      <c r="AK58" s="22"/>
      <c r="AL58" s="22"/>
      <c r="AM58" s="104"/>
      <c r="AN58" s="104"/>
      <c r="AO58" s="22"/>
      <c r="AP58" s="22"/>
      <c r="AQ58" s="22"/>
      <c r="AR58" s="22"/>
      <c r="AS58" s="22"/>
      <c r="AT58" s="104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120"/>
      <c r="Q59" s="22"/>
      <c r="R59" s="104"/>
      <c r="S59" s="104"/>
      <c r="T59" s="22"/>
      <c r="U59" s="22"/>
      <c r="V59" s="22"/>
      <c r="W59" s="22"/>
      <c r="X59" s="22"/>
      <c r="Y59" s="104"/>
      <c r="Z59" s="104"/>
      <c r="AA59" s="22"/>
      <c r="AB59" s="22"/>
      <c r="AC59" s="22"/>
      <c r="AD59" s="22"/>
      <c r="AE59" s="22"/>
      <c r="AF59" s="104"/>
      <c r="AG59" s="104"/>
      <c r="AH59" s="22"/>
      <c r="AI59" s="22"/>
      <c r="AJ59" s="22"/>
      <c r="AK59" s="22"/>
      <c r="AL59" s="22"/>
      <c r="AM59" s="104"/>
      <c r="AN59" s="104"/>
      <c r="AO59" s="22"/>
      <c r="AP59" s="22"/>
      <c r="AQ59" s="22"/>
      <c r="AR59" s="22"/>
      <c r="AS59" s="22"/>
      <c r="AT59" s="104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120"/>
      <c r="Q60" s="22"/>
      <c r="R60" s="104"/>
      <c r="S60" s="104"/>
      <c r="T60" s="22"/>
      <c r="U60" s="22"/>
      <c r="V60" s="22"/>
      <c r="W60" s="22"/>
      <c r="X60" s="22"/>
      <c r="Y60" s="104"/>
      <c r="Z60" s="104"/>
      <c r="AA60" s="22"/>
      <c r="AB60" s="22"/>
      <c r="AC60" s="22"/>
      <c r="AD60" s="22"/>
      <c r="AE60" s="22"/>
      <c r="AF60" s="104"/>
      <c r="AG60" s="104"/>
      <c r="AH60" s="22"/>
      <c r="AI60" s="22"/>
      <c r="AJ60" s="22"/>
      <c r="AK60" s="22"/>
      <c r="AL60" s="22"/>
      <c r="AM60" s="104"/>
      <c r="AN60" s="104"/>
      <c r="AO60" s="22"/>
      <c r="AP60" s="22"/>
      <c r="AQ60" s="22"/>
      <c r="AR60" s="22"/>
      <c r="AS60" s="22"/>
      <c r="AT60" s="104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120"/>
      <c r="Q61" s="22"/>
      <c r="R61" s="104"/>
      <c r="S61" s="104"/>
      <c r="T61" s="22"/>
      <c r="U61" s="22"/>
      <c r="V61" s="22"/>
      <c r="W61" s="22"/>
      <c r="X61" s="22"/>
      <c r="Y61" s="104"/>
      <c r="Z61" s="104"/>
      <c r="AA61" s="22"/>
      <c r="AB61" s="22"/>
      <c r="AC61" s="22"/>
      <c r="AD61" s="22"/>
      <c r="AE61" s="22"/>
      <c r="AF61" s="104"/>
      <c r="AG61" s="104"/>
      <c r="AH61" s="22"/>
      <c r="AI61" s="22"/>
      <c r="AJ61" s="22"/>
      <c r="AK61" s="22"/>
      <c r="AL61" s="22"/>
      <c r="AM61" s="104"/>
      <c r="AN61" s="104"/>
      <c r="AO61" s="22"/>
      <c r="AP61" s="22"/>
      <c r="AQ61" s="22"/>
      <c r="AR61" s="22"/>
      <c r="AS61" s="22"/>
      <c r="AT61" s="104"/>
    </row>
    <row r="62" spans="1:58" ht="20.100000000000001" customHeight="1" thickBot="1" x14ac:dyDescent="0.3">
      <c r="A62" s="174" t="str">
        <f>IFERROR(IF(config!E54="","",config!E54),"")</f>
        <v>N019975</v>
      </c>
      <c r="B62" s="174" t="str">
        <f>IFERROR(IF(config!F54="","",config!F54),"")</f>
        <v>VILLENEUVE</v>
      </c>
      <c r="C62" s="175" t="str">
        <f>IFERROR(IF(config!G54="","",config!G54),"")</f>
        <v>Fabrice</v>
      </c>
      <c r="D62" s="134">
        <f t="shared" si="39"/>
        <v>0</v>
      </c>
      <c r="E62" s="123">
        <f t="shared" si="40"/>
        <v>0</v>
      </c>
      <c r="F62" s="123">
        <f t="shared" si="41"/>
        <v>0</v>
      </c>
      <c r="G62" s="123">
        <f t="shared" si="42"/>
        <v>0</v>
      </c>
      <c r="H62" s="123">
        <f t="shared" si="43"/>
        <v>0</v>
      </c>
      <c r="I62" s="123">
        <f t="shared" si="44"/>
        <v>0</v>
      </c>
      <c r="J62" s="123">
        <f t="shared" si="45"/>
        <v>0</v>
      </c>
      <c r="K62" s="123">
        <f t="shared" si="46"/>
        <v>0</v>
      </c>
      <c r="L62" s="123">
        <f t="shared" si="47"/>
        <v>0</v>
      </c>
      <c r="M62" s="123">
        <f t="shared" si="48"/>
        <v>0</v>
      </c>
      <c r="N62" s="123">
        <f t="shared" si="49"/>
        <v>0</v>
      </c>
      <c r="O62" s="140">
        <f t="shared" si="50"/>
        <v>0</v>
      </c>
      <c r="P62" s="120"/>
      <c r="Q62" s="22"/>
      <c r="R62" s="104"/>
      <c r="S62" s="104"/>
      <c r="T62" s="22"/>
      <c r="U62" s="22"/>
      <c r="V62" s="22"/>
      <c r="W62" s="22"/>
      <c r="X62" s="22"/>
      <c r="Y62" s="104"/>
      <c r="Z62" s="104"/>
      <c r="AA62" s="22"/>
      <c r="AB62" s="22"/>
      <c r="AC62" s="22"/>
      <c r="AD62" s="22"/>
      <c r="AE62" s="22"/>
      <c r="AF62" s="104"/>
      <c r="AG62" s="104"/>
      <c r="AH62" s="22"/>
      <c r="AI62" s="22"/>
      <c r="AJ62" s="22"/>
      <c r="AK62" s="22"/>
      <c r="AL62" s="22"/>
      <c r="AM62" s="104"/>
      <c r="AN62" s="104"/>
      <c r="AO62" s="22"/>
      <c r="AP62" s="22"/>
      <c r="AQ62" s="22"/>
      <c r="AR62" s="22"/>
      <c r="AS62" s="22"/>
      <c r="AT62" s="104"/>
    </row>
    <row r="63" spans="1:58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9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120"/>
      <c r="Q64" s="22"/>
      <c r="R64" s="104"/>
      <c r="S64" s="104"/>
      <c r="T64" s="22"/>
      <c r="U64" s="22"/>
      <c r="V64" s="22"/>
      <c r="W64" s="22"/>
      <c r="X64" s="22"/>
      <c r="Y64" s="104"/>
      <c r="Z64" s="104"/>
      <c r="AA64" s="22"/>
      <c r="AB64" s="22"/>
      <c r="AC64" s="22"/>
      <c r="AD64" s="22"/>
      <c r="AE64" s="22"/>
      <c r="AF64" s="104"/>
      <c r="AG64" s="104"/>
      <c r="AH64" s="22"/>
      <c r="AI64" s="22"/>
      <c r="AJ64" s="22"/>
      <c r="AK64" s="22"/>
      <c r="AL64" s="22"/>
      <c r="AM64" s="104"/>
      <c r="AN64" s="104"/>
      <c r="AO64" s="22"/>
      <c r="AP64" s="22"/>
      <c r="AQ64" s="22"/>
      <c r="AR64" s="22"/>
      <c r="AS64" s="22"/>
      <c r="AT64" s="104"/>
      <c r="AV64" s="168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120"/>
      <c r="Q65" s="22"/>
      <c r="R65" s="104"/>
      <c r="S65" s="104"/>
      <c r="T65" s="22"/>
      <c r="U65" s="22"/>
      <c r="V65" s="22"/>
      <c r="W65" s="22"/>
      <c r="X65" s="22"/>
      <c r="Y65" s="104"/>
      <c r="Z65" s="104"/>
      <c r="AA65" s="22"/>
      <c r="AB65" s="22"/>
      <c r="AC65" s="22"/>
      <c r="AD65" s="22"/>
      <c r="AE65" s="22"/>
      <c r="AF65" s="104"/>
      <c r="AG65" s="104"/>
      <c r="AH65" s="22"/>
      <c r="AI65" s="22"/>
      <c r="AJ65" s="22"/>
      <c r="AK65" s="22"/>
      <c r="AL65" s="22"/>
      <c r="AM65" s="104"/>
      <c r="AN65" s="104"/>
      <c r="AO65" s="22"/>
      <c r="AP65" s="22"/>
      <c r="AQ65" s="22"/>
      <c r="AR65" s="22"/>
      <c r="AS65" s="22"/>
      <c r="AT65" s="104"/>
      <c r="AV65" s="19">
        <f>COUNTIF(P64:AS75,"P")</f>
        <v>0</v>
      </c>
      <c r="AW65" s="19">
        <f>COUNTIF(P64:AS75,"PC")</f>
        <v>0</v>
      </c>
      <c r="AX65" s="19">
        <f>COUNTIF(P64:AS75,"F")</f>
        <v>0</v>
      </c>
      <c r="AY65" s="19">
        <f>COUNTIF(P64:AS75,"AST")</f>
        <v>0</v>
      </c>
      <c r="AZ65" s="19">
        <f>COUNTIF(P64:AS75,"Ca")</f>
        <v>0</v>
      </c>
      <c r="BA65" s="19">
        <f>COUNTIF(P64:AS75,"RTT")</f>
        <v>0</v>
      </c>
      <c r="BB65" s="19">
        <f>COUNTIF(P64:AS75,"CEX")</f>
        <v>0</v>
      </c>
      <c r="BC65" s="19">
        <f>COUNTIF(P64:AS75,"RES")</f>
        <v>0</v>
      </c>
      <c r="BD65" s="19">
        <f>COUNTIF(P64:AS75,"MA")</f>
        <v>0</v>
      </c>
      <c r="BE65" s="19">
        <f>COUNTIF(P64:AS75,"AT")</f>
        <v>0</v>
      </c>
      <c r="BF65" s="19">
        <f>COUNTIF(P64:AS75,"TP")</f>
        <v>0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120"/>
      <c r="Q66" s="22"/>
      <c r="R66" s="104"/>
      <c r="S66" s="104"/>
      <c r="T66" s="22"/>
      <c r="U66" s="22"/>
      <c r="V66" s="22"/>
      <c r="W66" s="22"/>
      <c r="X66" s="22"/>
      <c r="Y66" s="104"/>
      <c r="Z66" s="104"/>
      <c r="AA66" s="22"/>
      <c r="AB66" s="22"/>
      <c r="AC66" s="22"/>
      <c r="AD66" s="22"/>
      <c r="AE66" s="22"/>
      <c r="AF66" s="104"/>
      <c r="AG66" s="104"/>
      <c r="AH66" s="22"/>
      <c r="AI66" s="22"/>
      <c r="AJ66" s="22"/>
      <c r="AK66" s="22"/>
      <c r="AL66" s="22"/>
      <c r="AM66" s="104"/>
      <c r="AN66" s="104"/>
      <c r="AO66" s="22"/>
      <c r="AP66" s="22"/>
      <c r="AQ66" s="22"/>
      <c r="AR66" s="22"/>
      <c r="AS66" s="22"/>
      <c r="AT66" s="104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120"/>
      <c r="Q67" s="22"/>
      <c r="R67" s="104"/>
      <c r="S67" s="104"/>
      <c r="T67" s="22"/>
      <c r="U67" s="22"/>
      <c r="V67" s="22"/>
      <c r="W67" s="22"/>
      <c r="X67" s="22"/>
      <c r="Y67" s="104"/>
      <c r="Z67" s="104"/>
      <c r="AA67" s="22"/>
      <c r="AB67" s="22"/>
      <c r="AC67" s="22"/>
      <c r="AD67" s="22"/>
      <c r="AE67" s="22"/>
      <c r="AF67" s="104"/>
      <c r="AG67" s="104"/>
      <c r="AH67" s="22"/>
      <c r="AI67" s="22"/>
      <c r="AJ67" s="22"/>
      <c r="AK67" s="22"/>
      <c r="AL67" s="22"/>
      <c r="AM67" s="104"/>
      <c r="AN67" s="104"/>
      <c r="AO67" s="22"/>
      <c r="AP67" s="22"/>
      <c r="AQ67" s="22"/>
      <c r="AR67" s="22"/>
      <c r="AS67" s="22"/>
      <c r="AT67" s="104"/>
    </row>
    <row r="68" spans="1:58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120"/>
      <c r="Q68" s="22"/>
      <c r="R68" s="104"/>
      <c r="S68" s="104"/>
      <c r="T68" s="22"/>
      <c r="U68" s="22"/>
      <c r="V68" s="22"/>
      <c r="W68" s="22"/>
      <c r="X68" s="22"/>
      <c r="Y68" s="104"/>
      <c r="Z68" s="104"/>
      <c r="AA68" s="22"/>
      <c r="AB68" s="22"/>
      <c r="AC68" s="22"/>
      <c r="AD68" s="22"/>
      <c r="AE68" s="22"/>
      <c r="AF68" s="104"/>
      <c r="AG68" s="104"/>
      <c r="AH68" s="22"/>
      <c r="AI68" s="22"/>
      <c r="AJ68" s="22"/>
      <c r="AK68" s="22"/>
      <c r="AL68" s="22"/>
      <c r="AM68" s="104"/>
      <c r="AN68" s="104"/>
      <c r="AO68" s="22"/>
      <c r="AP68" s="22"/>
      <c r="AQ68" s="22"/>
      <c r="AR68" s="22"/>
      <c r="AS68" s="22"/>
      <c r="AT68" s="104"/>
    </row>
    <row r="69" spans="1:58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8">
        <f t="shared" si="51"/>
        <v>0</v>
      </c>
      <c r="E69" s="89">
        <f t="shared" si="52"/>
        <v>0</v>
      </c>
      <c r="F69" s="89">
        <f t="shared" si="53"/>
        <v>0</v>
      </c>
      <c r="G69" s="89">
        <f t="shared" si="54"/>
        <v>0</v>
      </c>
      <c r="H69" s="89">
        <f t="shared" si="55"/>
        <v>0</v>
      </c>
      <c r="I69" s="89">
        <f t="shared" si="56"/>
        <v>0</v>
      </c>
      <c r="J69" s="89">
        <f t="shared" si="57"/>
        <v>0</v>
      </c>
      <c r="K69" s="89">
        <f t="shared" si="58"/>
        <v>0</v>
      </c>
      <c r="L69" s="89">
        <f t="shared" si="59"/>
        <v>0</v>
      </c>
      <c r="M69" s="89">
        <f t="shared" si="60"/>
        <v>0</v>
      </c>
      <c r="N69" s="89">
        <f t="shared" si="61"/>
        <v>0</v>
      </c>
      <c r="O69" s="93">
        <f t="shared" si="62"/>
        <v>0</v>
      </c>
      <c r="P69" s="120"/>
      <c r="Q69" s="22"/>
      <c r="R69" s="104"/>
      <c r="S69" s="104"/>
      <c r="T69" s="22"/>
      <c r="U69" s="22"/>
      <c r="V69" s="22"/>
      <c r="W69" s="22"/>
      <c r="X69" s="22"/>
      <c r="Y69" s="104"/>
      <c r="Z69" s="104"/>
      <c r="AA69" s="22"/>
      <c r="AB69" s="22"/>
      <c r="AC69" s="22"/>
      <c r="AD69" s="22"/>
      <c r="AE69" s="22"/>
      <c r="AF69" s="104"/>
      <c r="AG69" s="104"/>
      <c r="AH69" s="22"/>
      <c r="AI69" s="22"/>
      <c r="AJ69" s="22"/>
      <c r="AK69" s="22"/>
      <c r="AL69" s="22"/>
      <c r="AM69" s="104"/>
      <c r="AN69" s="104"/>
      <c r="AO69" s="22"/>
      <c r="AP69" s="22"/>
      <c r="AQ69" s="22"/>
      <c r="AR69" s="22"/>
      <c r="AS69" s="22"/>
      <c r="AT69" s="104"/>
    </row>
    <row r="78" spans="1:58" x14ac:dyDescent="0.25">
      <c r="T78" s="19" t="s">
        <v>194</v>
      </c>
    </row>
  </sheetData>
  <mergeCells count="8">
    <mergeCell ref="A63:AT63"/>
    <mergeCell ref="AV50:BF50"/>
    <mergeCell ref="A5:AT7"/>
    <mergeCell ref="AV11:BF11"/>
    <mergeCell ref="A38:AS38"/>
    <mergeCell ref="AV63:BF63"/>
    <mergeCell ref="D8:O8"/>
    <mergeCell ref="AV38:BF38"/>
  </mergeCells>
  <conditionalFormatting sqref="D10:O10">
    <cfRule type="cellIs" dxfId="468" priority="73" operator="equal">
      <formula>"repos"</formula>
    </cfRule>
    <cfRule type="cellIs" dxfId="467" priority="74" operator="equal">
      <formula>"permanence"</formula>
    </cfRule>
    <cfRule type="cellIs" dxfId="466" priority="75" operator="equal">
      <formula>"dimanche"</formula>
    </cfRule>
    <cfRule type="cellIs" dxfId="465" priority="76" operator="equal">
      <formula>"formation"</formula>
    </cfRule>
    <cfRule type="cellIs" dxfId="464" priority="77" operator="equal">
      <formula>"conges exc"</formula>
    </cfRule>
    <cfRule type="cellIs" dxfId="463" priority="78" operator="equal">
      <formula>"conges"</formula>
    </cfRule>
    <cfRule type="cellIs" dxfId="462" priority="79" operator="equal">
      <formula>"asa"</formula>
    </cfRule>
    <cfRule type="cellIs" dxfId="461" priority="80" operator="equal">
      <formula>"maladie / at"</formula>
    </cfRule>
    <cfRule type="cellIs" dxfId="460" priority="81" operator="equal">
      <formula>"presence"</formula>
    </cfRule>
  </conditionalFormatting>
  <conditionalFormatting sqref="D11:O20 D23:O24 D26:O29 D31:O36 D39:O49 D51:O62 D64:O69">
    <cfRule type="cellIs" dxfId="459" priority="82" operator="equal">
      <formula>0</formula>
    </cfRule>
  </conditionalFormatting>
  <conditionalFormatting sqref="P9:AT9">
    <cfRule type="expression" dxfId="458" priority="84">
      <formula>OR(P$9=1, P$9=7)</formula>
    </cfRule>
  </conditionalFormatting>
  <conditionalFormatting sqref="P9:AT10">
    <cfRule type="expression" dxfId="457" priority="83">
      <formula>OR(P$9=1,P$9=7)</formula>
    </cfRule>
  </conditionalFormatting>
  <conditionalFormatting sqref="P23:AT24">
    <cfRule type="containsText" dxfId="456" priority="1" operator="containsText" text="TP">
      <formula>NOT(ISERROR(SEARCH("TP",P23)))</formula>
    </cfRule>
    <cfRule type="containsText" priority="2" operator="containsText" text="TAD">
      <formula>NOT(ISERROR(SEARCH("TAD",P23)))</formula>
    </cfRule>
    <cfRule type="containsText" dxfId="455" priority="3" operator="containsText" text="AT">
      <formula>NOT(ISERROR(SEARCH("AT",P23)))</formula>
    </cfRule>
    <cfRule type="containsText" dxfId="454" priority="4" operator="containsText" text="MA">
      <formula>NOT(ISERROR(SEARCH("MA",P23)))</formula>
    </cfRule>
    <cfRule type="containsText" dxfId="453" priority="5" operator="containsText" text="RES">
      <formula>NOT(ISERROR(SEARCH("RES",P23)))</formula>
    </cfRule>
    <cfRule type="containsText" dxfId="452" priority="6" operator="containsText" text="CEX">
      <formula>NOT(ISERROR(SEARCH("CEX",P23)))</formula>
    </cfRule>
    <cfRule type="containsText" dxfId="451" priority="7" operator="containsText" text="RTT">
      <formula>NOT(ISERROR(SEARCH("RTT",P23)))</formula>
    </cfRule>
    <cfRule type="beginsWith" dxfId="450" priority="8" operator="beginsWith" text="CA">
      <formula>LEFT(P23,LEN("CA"))="CA"</formula>
    </cfRule>
    <cfRule type="containsText" dxfId="449" priority="9" operator="containsText" text="AST">
      <formula>NOT(ISERROR(SEARCH("AST",P23)))</formula>
    </cfRule>
    <cfRule type="containsText" dxfId="448" priority="10" operator="containsText" text="F">
      <formula>NOT(ISERROR(SEARCH("F",P23)))</formula>
    </cfRule>
    <cfRule type="containsText" dxfId="447" priority="11" operator="containsText" text="PC">
      <formula>NOT(ISERROR(SEARCH("PC",P23)))</formula>
    </cfRule>
    <cfRule type="containsText" dxfId="446" priority="12" operator="containsText" text="P">
      <formula>NOT(ISERROR(SEARCH("P",P23)))</formula>
    </cfRule>
  </conditionalFormatting>
  <conditionalFormatting sqref="P26:AT29 P31:AT36">
    <cfRule type="containsText" dxfId="445" priority="49" operator="containsText" text="TP">
      <formula>NOT(ISERROR(SEARCH("TP",P26)))</formula>
    </cfRule>
    <cfRule type="containsText" priority="50" operator="containsText" text="TAD">
      <formula>NOT(ISERROR(SEARCH("TAD",P26)))</formula>
    </cfRule>
    <cfRule type="containsText" dxfId="444" priority="51" operator="containsText" text="AT">
      <formula>NOT(ISERROR(SEARCH("AT",P26)))</formula>
    </cfRule>
    <cfRule type="containsText" dxfId="443" priority="52" operator="containsText" text="MA">
      <formula>NOT(ISERROR(SEARCH("MA",P26)))</formula>
    </cfRule>
    <cfRule type="containsText" dxfId="442" priority="53" operator="containsText" text="RES">
      <formula>NOT(ISERROR(SEARCH("RES",P26)))</formula>
    </cfRule>
    <cfRule type="containsText" dxfId="441" priority="54" operator="containsText" text="CEX">
      <formula>NOT(ISERROR(SEARCH("CEX",P26)))</formula>
    </cfRule>
    <cfRule type="containsText" dxfId="440" priority="55" operator="containsText" text="RTT">
      <formula>NOT(ISERROR(SEARCH("RTT",P26)))</formula>
    </cfRule>
    <cfRule type="beginsWith" dxfId="439" priority="56" operator="beginsWith" text="CA">
      <formula>LEFT(P26,LEN("CA"))="CA"</formula>
    </cfRule>
    <cfRule type="containsText" dxfId="438" priority="57" operator="containsText" text="AST">
      <formula>NOT(ISERROR(SEARCH("AST",P26)))</formula>
    </cfRule>
    <cfRule type="containsText" dxfId="437" priority="58" operator="containsText" text="F">
      <formula>NOT(ISERROR(SEARCH("F",P26)))</formula>
    </cfRule>
    <cfRule type="containsText" dxfId="436" priority="59" operator="containsText" text="PC">
      <formula>NOT(ISERROR(SEARCH("PC",P26)))</formula>
    </cfRule>
    <cfRule type="containsText" dxfId="435" priority="60" operator="containsText" text="P">
      <formula>NOT(ISERROR(SEARCH("P",P26)))</formula>
    </cfRule>
  </conditionalFormatting>
  <conditionalFormatting sqref="P39:AT49">
    <cfRule type="containsText" dxfId="434" priority="37" operator="containsText" text="TP">
      <formula>NOT(ISERROR(SEARCH("TP",P39)))</formula>
    </cfRule>
    <cfRule type="containsText" priority="38" operator="containsText" text="TAD">
      <formula>NOT(ISERROR(SEARCH("TAD",P39)))</formula>
    </cfRule>
    <cfRule type="containsText" dxfId="433" priority="39" operator="containsText" text="AT">
      <formula>NOT(ISERROR(SEARCH("AT",P39)))</formula>
    </cfRule>
    <cfRule type="containsText" dxfId="432" priority="40" operator="containsText" text="MA">
      <formula>NOT(ISERROR(SEARCH("MA",P39)))</formula>
    </cfRule>
    <cfRule type="containsText" dxfId="431" priority="41" operator="containsText" text="RES">
      <formula>NOT(ISERROR(SEARCH("RES",P39)))</formula>
    </cfRule>
    <cfRule type="containsText" dxfId="430" priority="42" operator="containsText" text="CEX">
      <formula>NOT(ISERROR(SEARCH("CEX",P39)))</formula>
    </cfRule>
    <cfRule type="containsText" dxfId="429" priority="43" operator="containsText" text="RTT">
      <formula>NOT(ISERROR(SEARCH("RTT",P39)))</formula>
    </cfRule>
    <cfRule type="beginsWith" dxfId="428" priority="44" operator="beginsWith" text="CA">
      <formula>LEFT(P39,LEN("CA"))="CA"</formula>
    </cfRule>
    <cfRule type="containsText" dxfId="427" priority="45" operator="containsText" text="AST">
      <formula>NOT(ISERROR(SEARCH("AST",P39)))</formula>
    </cfRule>
    <cfRule type="containsText" dxfId="426" priority="46" operator="containsText" text="F">
      <formula>NOT(ISERROR(SEARCH("F",P39)))</formula>
    </cfRule>
    <cfRule type="containsText" dxfId="425" priority="47" operator="containsText" text="PC">
      <formula>NOT(ISERROR(SEARCH("PC",P39)))</formula>
    </cfRule>
    <cfRule type="containsText" dxfId="424" priority="48" operator="containsText" text="P">
      <formula>NOT(ISERROR(SEARCH("P",P39)))</formula>
    </cfRule>
  </conditionalFormatting>
  <conditionalFormatting sqref="P51:AT62">
    <cfRule type="containsText" dxfId="423" priority="25" operator="containsText" text="TP">
      <formula>NOT(ISERROR(SEARCH("TP",P51)))</formula>
    </cfRule>
    <cfRule type="containsText" priority="26" operator="containsText" text="TAD">
      <formula>NOT(ISERROR(SEARCH("TAD",P51)))</formula>
    </cfRule>
    <cfRule type="containsText" dxfId="422" priority="27" operator="containsText" text="AT">
      <formula>NOT(ISERROR(SEARCH("AT",P51)))</formula>
    </cfRule>
    <cfRule type="containsText" dxfId="421" priority="28" operator="containsText" text="MA">
      <formula>NOT(ISERROR(SEARCH("MA",P51)))</formula>
    </cfRule>
    <cfRule type="containsText" dxfId="420" priority="29" operator="containsText" text="RES">
      <formula>NOT(ISERROR(SEARCH("RES",P51)))</formula>
    </cfRule>
    <cfRule type="containsText" dxfId="419" priority="30" operator="containsText" text="CEX">
      <formula>NOT(ISERROR(SEARCH("CEX",P51)))</formula>
    </cfRule>
    <cfRule type="containsText" dxfId="418" priority="31" operator="containsText" text="RTT">
      <formula>NOT(ISERROR(SEARCH("RTT",P51)))</formula>
    </cfRule>
    <cfRule type="beginsWith" dxfId="417" priority="32" operator="beginsWith" text="CA">
      <formula>LEFT(P51,LEN("CA"))="CA"</formula>
    </cfRule>
    <cfRule type="containsText" dxfId="416" priority="33" operator="containsText" text="AST">
      <formula>NOT(ISERROR(SEARCH("AST",P51)))</formula>
    </cfRule>
    <cfRule type="containsText" dxfId="415" priority="34" operator="containsText" text="F">
      <formula>NOT(ISERROR(SEARCH("F",P51)))</formula>
    </cfRule>
    <cfRule type="containsText" dxfId="414" priority="35" operator="containsText" text="PC">
      <formula>NOT(ISERROR(SEARCH("PC",P51)))</formula>
    </cfRule>
    <cfRule type="containsText" dxfId="413" priority="36" operator="containsText" text="P">
      <formula>NOT(ISERROR(SEARCH("P",P51)))</formula>
    </cfRule>
  </conditionalFormatting>
  <conditionalFormatting sqref="P64:AT69">
    <cfRule type="containsText" dxfId="412" priority="13" operator="containsText" text="TP">
      <formula>NOT(ISERROR(SEARCH("TP",P64)))</formula>
    </cfRule>
    <cfRule type="containsText" priority="14" operator="containsText" text="TAD">
      <formula>NOT(ISERROR(SEARCH("TAD",P64)))</formula>
    </cfRule>
    <cfRule type="containsText" dxfId="411" priority="15" operator="containsText" text="AT">
      <formula>NOT(ISERROR(SEARCH("AT",P64)))</formula>
    </cfRule>
    <cfRule type="containsText" dxfId="410" priority="16" operator="containsText" text="MA">
      <formula>NOT(ISERROR(SEARCH("MA",P64)))</formula>
    </cfRule>
    <cfRule type="containsText" dxfId="409" priority="17" operator="containsText" text="RES">
      <formula>NOT(ISERROR(SEARCH("RES",P64)))</formula>
    </cfRule>
    <cfRule type="containsText" dxfId="408" priority="18" operator="containsText" text="CEX">
      <formula>NOT(ISERROR(SEARCH("CEX",P64)))</formula>
    </cfRule>
    <cfRule type="containsText" dxfId="407" priority="19" operator="containsText" text="RTT">
      <formula>NOT(ISERROR(SEARCH("RTT",P64)))</formula>
    </cfRule>
    <cfRule type="beginsWith" dxfId="406" priority="20" operator="beginsWith" text="CA">
      <formula>LEFT(P64,LEN("CA"))="CA"</formula>
    </cfRule>
    <cfRule type="containsText" dxfId="405" priority="21" operator="containsText" text="AST">
      <formula>NOT(ISERROR(SEARCH("AST",P64)))</formula>
    </cfRule>
    <cfRule type="containsText" dxfId="404" priority="22" operator="containsText" text="F">
      <formula>NOT(ISERROR(SEARCH("F",P64)))</formula>
    </cfRule>
    <cfRule type="containsText" dxfId="403" priority="23" operator="containsText" text="PC">
      <formula>NOT(ISERROR(SEARCH("PC",P64)))</formula>
    </cfRule>
    <cfRule type="containsText" dxfId="402" priority="24" operator="containsText" text="P">
      <formula>NOT(ISERROR(SEARCH("P",P64)))</formula>
    </cfRule>
  </conditionalFormatting>
  <conditionalFormatting sqref="P11:AU20">
    <cfRule type="containsText" dxfId="401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400" priority="63" operator="containsText" text="AT">
      <formula>NOT(ISERROR(SEARCH("AT",P11)))</formula>
    </cfRule>
    <cfRule type="containsText" dxfId="399" priority="64" operator="containsText" text="MA">
      <formula>NOT(ISERROR(SEARCH("MA",P11)))</formula>
    </cfRule>
    <cfRule type="containsText" dxfId="398" priority="65" operator="containsText" text="RES">
      <formula>NOT(ISERROR(SEARCH("RES",P11)))</formula>
    </cfRule>
    <cfRule type="containsText" dxfId="397" priority="66" operator="containsText" text="CEX">
      <formula>NOT(ISERROR(SEARCH("CEX",P11)))</formula>
    </cfRule>
    <cfRule type="containsText" dxfId="396" priority="67" operator="containsText" text="RTT">
      <formula>NOT(ISERROR(SEARCH("RTT",P11)))</formula>
    </cfRule>
    <cfRule type="beginsWith" dxfId="395" priority="68" operator="beginsWith" text="CA">
      <formula>LEFT(P11,LEN("CA"))="CA"</formula>
    </cfRule>
    <cfRule type="containsText" dxfId="394" priority="69" operator="containsText" text="AST">
      <formula>NOT(ISERROR(SEARCH("AST",P11)))</formula>
    </cfRule>
    <cfRule type="containsText" dxfId="393" priority="70" operator="containsText" text="F">
      <formula>NOT(ISERROR(SEARCH("F",P11)))</formula>
    </cfRule>
    <cfRule type="containsText" dxfId="392" priority="71" operator="containsText" text="PC">
      <formula>NOT(ISERROR(SEARCH("PC",P11)))</formula>
    </cfRule>
    <cfRule type="containsText" dxfId="391" priority="72" operator="containsText" text="P">
      <formula>NOT(ISERROR(SEARCH("P",P11)))</formula>
    </cfRule>
  </conditionalFormatting>
  <dataValidations count="3">
    <dataValidation type="list" allowBlank="1" showInputMessage="1" showErrorMessage="1" sqref="P11:AU20 P23:AT24 P26:AT29 P31:AT36 P39:AT49 P51:AT62 P64:AT69" xr:uid="{00000000-0002-0000-0A00-000000000000}">
      <formula1>"P, PC, F, AST, CA, RTT, CEX, RES, MA, AT, TAD, TP"</formula1>
    </dataValidation>
    <dataValidation type="list" allowBlank="1" showInputMessage="1" showErrorMessage="1" sqref="T78" xr:uid="{00000000-0002-0000-0A00-000001000000}">
      <formula1>$D$9:$O$9</formula1>
    </dataValidation>
    <dataValidation type="list" allowBlank="1" showInputMessage="1" showErrorMessage="1" sqref="P10:AT10" xr:uid="{00000000-0002-0000-0A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78"/>
  <sheetViews>
    <sheetView zoomScale="90" zoomScaleNormal="90" workbookViewId="0">
      <pane xSplit="2" ySplit="10" topLeftCell="C20" activePane="bottomRight" state="frozen"/>
      <selection pane="topRight" activeCell="AQ41" sqref="AQ41"/>
      <selection pane="bottomLeft" activeCell="AQ41" sqref="AQ41"/>
      <selection pane="bottomRight" activeCell="AT1" sqref="AT1:AT1048576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5" width="5.7109375" style="19" customWidth="1"/>
    <col min="46" max="46" width="11.42578125" style="19" customWidth="1"/>
    <col min="47" max="47" width="4.42578125" style="19" bestFit="1" customWidth="1"/>
    <col min="48" max="55" width="3.140625" style="19" bestFit="1" customWidth="1"/>
    <col min="56" max="56" width="3.5703125" style="19" customWidth="1"/>
    <col min="57" max="57" width="3.140625" style="19" customWidth="1"/>
    <col min="58" max="58" width="11.42578125" style="19" customWidth="1"/>
    <col min="59" max="16384" width="11.42578125" style="19"/>
  </cols>
  <sheetData>
    <row r="1" spans="1:57" ht="15" customHeight="1" x14ac:dyDescent="0.25">
      <c r="A1" s="27">
        <f>config!B15</f>
        <v>46327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27">
        <f>config!C15</f>
        <v>46356</v>
      </c>
    </row>
    <row r="3" spans="1:57" ht="15" customHeight="1" x14ac:dyDescent="0.25">
      <c r="A3" s="27"/>
    </row>
    <row r="4" spans="1:57" ht="76.5" customHeight="1" x14ac:dyDescent="0.25">
      <c r="A4" s="27"/>
      <c r="P4" s="28">
        <f>A1</f>
        <v>46327</v>
      </c>
      <c r="Q4" s="28">
        <f t="shared" ref="Q4:AS4" si="0">P4+1</f>
        <v>46328</v>
      </c>
      <c r="R4" s="28">
        <f t="shared" si="0"/>
        <v>46329</v>
      </c>
      <c r="S4" s="28">
        <f t="shared" si="0"/>
        <v>46330</v>
      </c>
      <c r="T4" s="28">
        <f t="shared" si="0"/>
        <v>46331</v>
      </c>
      <c r="U4" s="28">
        <f t="shared" si="0"/>
        <v>46332</v>
      </c>
      <c r="V4" s="28">
        <f t="shared" si="0"/>
        <v>46333</v>
      </c>
      <c r="W4" s="28">
        <f t="shared" si="0"/>
        <v>46334</v>
      </c>
      <c r="X4" s="28">
        <f t="shared" si="0"/>
        <v>46335</v>
      </c>
      <c r="Y4" s="28">
        <f t="shared" si="0"/>
        <v>46336</v>
      </c>
      <c r="Z4" s="28">
        <f t="shared" si="0"/>
        <v>46337</v>
      </c>
      <c r="AA4" s="28">
        <f t="shared" si="0"/>
        <v>46338</v>
      </c>
      <c r="AB4" s="28">
        <f t="shared" si="0"/>
        <v>46339</v>
      </c>
      <c r="AC4" s="28">
        <f t="shared" si="0"/>
        <v>46340</v>
      </c>
      <c r="AD4" s="28">
        <f t="shared" si="0"/>
        <v>46341</v>
      </c>
      <c r="AE4" s="28">
        <f t="shared" si="0"/>
        <v>46342</v>
      </c>
      <c r="AF4" s="28">
        <f t="shared" si="0"/>
        <v>46343</v>
      </c>
      <c r="AG4" s="28">
        <f t="shared" si="0"/>
        <v>46344</v>
      </c>
      <c r="AH4" s="28">
        <f t="shared" si="0"/>
        <v>46345</v>
      </c>
      <c r="AI4" s="28">
        <f t="shared" si="0"/>
        <v>46346</v>
      </c>
      <c r="AJ4" s="28">
        <f t="shared" si="0"/>
        <v>46347</v>
      </c>
      <c r="AK4" s="28">
        <f t="shared" si="0"/>
        <v>46348</v>
      </c>
      <c r="AL4" s="28">
        <f t="shared" si="0"/>
        <v>46349</v>
      </c>
      <c r="AM4" s="28">
        <f t="shared" si="0"/>
        <v>46350</v>
      </c>
      <c r="AN4" s="28">
        <f t="shared" si="0"/>
        <v>46351</v>
      </c>
      <c r="AO4" s="28">
        <f t="shared" si="0"/>
        <v>46352</v>
      </c>
      <c r="AP4" s="28">
        <f t="shared" si="0"/>
        <v>46353</v>
      </c>
      <c r="AQ4" s="28">
        <f t="shared" si="0"/>
        <v>46354</v>
      </c>
      <c r="AR4" s="28">
        <f t="shared" si="0"/>
        <v>46355</v>
      </c>
      <c r="AS4" s="28">
        <f t="shared" si="0"/>
        <v>46356</v>
      </c>
      <c r="AT4" s="28"/>
      <c r="AU4" s="27"/>
      <c r="AV4" s="27"/>
      <c r="AW4" s="27"/>
      <c r="AX4" s="27"/>
      <c r="AY4" s="27"/>
      <c r="AZ4" s="27"/>
      <c r="BA4" s="27"/>
    </row>
    <row r="5" spans="1:57" x14ac:dyDescent="0.25">
      <c r="A5" s="295" t="str">
        <f>TEXT(A1,"mmmmmmmmmmmm")</f>
        <v>novembre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</row>
    <row r="6" spans="1:57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</row>
    <row r="7" spans="1:57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</row>
    <row r="8" spans="1:57" s="29" customFormat="1" ht="21.75" customHeight="1" thickBot="1" x14ac:dyDescent="0.3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64"/>
      <c r="Q8" s="18"/>
      <c r="R8" s="18"/>
      <c r="S8" s="18"/>
      <c r="T8" s="18"/>
      <c r="U8" s="18"/>
      <c r="V8" s="18"/>
      <c r="W8" s="164"/>
      <c r="X8" s="18"/>
      <c r="Y8" s="18"/>
      <c r="Z8" s="108" t="s">
        <v>192</v>
      </c>
      <c r="AA8" s="18"/>
      <c r="AB8" s="18"/>
      <c r="AC8" s="164"/>
      <c r="AD8" s="164"/>
      <c r="AE8" s="18"/>
      <c r="AF8" s="18"/>
      <c r="AG8" s="18"/>
      <c r="AH8" s="18"/>
      <c r="AI8" s="149"/>
      <c r="AJ8" s="164"/>
      <c r="AK8" s="149"/>
      <c r="AL8" s="149"/>
      <c r="AM8" s="149"/>
      <c r="AN8" s="149"/>
      <c r="AO8" s="149"/>
      <c r="AP8" s="149"/>
      <c r="AQ8" s="149"/>
      <c r="AR8" s="164"/>
      <c r="AS8" s="149"/>
    </row>
    <row r="9" spans="1:57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57" t="s">
        <v>205</v>
      </c>
      <c r="P9" s="181">
        <f t="shared" ref="P9:AS9" si="1">IFERROR(WEEKDAY(P4),"")</f>
        <v>1</v>
      </c>
      <c r="Q9" s="150">
        <f t="shared" si="1"/>
        <v>2</v>
      </c>
      <c r="R9" s="151">
        <f t="shared" si="1"/>
        <v>3</v>
      </c>
      <c r="S9" s="151">
        <f t="shared" si="1"/>
        <v>4</v>
      </c>
      <c r="T9" s="151">
        <f t="shared" si="1"/>
        <v>5</v>
      </c>
      <c r="U9" s="151">
        <f t="shared" si="1"/>
        <v>6</v>
      </c>
      <c r="V9" s="151">
        <f t="shared" si="1"/>
        <v>7</v>
      </c>
      <c r="W9" s="151">
        <f t="shared" si="1"/>
        <v>1</v>
      </c>
      <c r="X9" s="151">
        <f t="shared" si="1"/>
        <v>2</v>
      </c>
      <c r="Y9" s="151">
        <f t="shared" si="1"/>
        <v>3</v>
      </c>
      <c r="Z9" s="273">
        <f t="shared" si="1"/>
        <v>4</v>
      </c>
      <c r="AA9" s="151">
        <f t="shared" si="1"/>
        <v>5</v>
      </c>
      <c r="AB9" s="151">
        <f t="shared" si="1"/>
        <v>6</v>
      </c>
      <c r="AC9" s="151">
        <f t="shared" si="1"/>
        <v>7</v>
      </c>
      <c r="AD9" s="151">
        <f t="shared" si="1"/>
        <v>1</v>
      </c>
      <c r="AE9" s="151">
        <f t="shared" si="1"/>
        <v>2</v>
      </c>
      <c r="AF9" s="151">
        <f t="shared" si="1"/>
        <v>3</v>
      </c>
      <c r="AG9" s="151">
        <f t="shared" si="1"/>
        <v>4</v>
      </c>
      <c r="AH9" s="151">
        <f t="shared" si="1"/>
        <v>5</v>
      </c>
      <c r="AI9" s="151">
        <f t="shared" si="1"/>
        <v>6</v>
      </c>
      <c r="AJ9" s="151">
        <f t="shared" si="1"/>
        <v>7</v>
      </c>
      <c r="AK9" s="151">
        <f t="shared" si="1"/>
        <v>1</v>
      </c>
      <c r="AL9" s="151">
        <f t="shared" si="1"/>
        <v>2</v>
      </c>
      <c r="AM9" s="151">
        <f t="shared" si="1"/>
        <v>3</v>
      </c>
      <c r="AN9" s="151">
        <f t="shared" si="1"/>
        <v>4</v>
      </c>
      <c r="AO9" s="151">
        <f t="shared" si="1"/>
        <v>5</v>
      </c>
      <c r="AP9" s="151">
        <f t="shared" si="1"/>
        <v>6</v>
      </c>
      <c r="AQ9" s="151">
        <f t="shared" si="1"/>
        <v>7</v>
      </c>
      <c r="AR9" s="151">
        <f t="shared" si="1"/>
        <v>1</v>
      </c>
      <c r="AS9" s="152">
        <f t="shared" si="1"/>
        <v>2</v>
      </c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58" t="s">
        <v>216</v>
      </c>
      <c r="P10" s="182">
        <f t="shared" ref="P10:AS10" si="2">DAY(P4)</f>
        <v>1</v>
      </c>
      <c r="Q10" s="154">
        <f t="shared" si="2"/>
        <v>2</v>
      </c>
      <c r="R10" s="155">
        <f t="shared" si="2"/>
        <v>3</v>
      </c>
      <c r="S10" s="155">
        <f t="shared" si="2"/>
        <v>4</v>
      </c>
      <c r="T10" s="155">
        <f t="shared" si="2"/>
        <v>5</v>
      </c>
      <c r="U10" s="155">
        <f t="shared" si="2"/>
        <v>6</v>
      </c>
      <c r="V10" s="155">
        <f t="shared" si="2"/>
        <v>7</v>
      </c>
      <c r="W10" s="155">
        <f t="shared" si="2"/>
        <v>8</v>
      </c>
      <c r="X10" s="155">
        <f t="shared" si="2"/>
        <v>9</v>
      </c>
      <c r="Y10" s="155">
        <f t="shared" si="2"/>
        <v>10</v>
      </c>
      <c r="Z10" s="274">
        <f t="shared" si="2"/>
        <v>11</v>
      </c>
      <c r="AA10" s="155">
        <f t="shared" si="2"/>
        <v>12</v>
      </c>
      <c r="AB10" s="155">
        <f t="shared" si="2"/>
        <v>13</v>
      </c>
      <c r="AC10" s="155">
        <f t="shared" si="2"/>
        <v>14</v>
      </c>
      <c r="AD10" s="155">
        <f t="shared" si="2"/>
        <v>15</v>
      </c>
      <c r="AE10" s="155">
        <f t="shared" si="2"/>
        <v>16</v>
      </c>
      <c r="AF10" s="155">
        <f t="shared" si="2"/>
        <v>17</v>
      </c>
      <c r="AG10" s="155">
        <f t="shared" si="2"/>
        <v>18</v>
      </c>
      <c r="AH10" s="155">
        <f t="shared" si="2"/>
        <v>19</v>
      </c>
      <c r="AI10" s="155">
        <f t="shared" si="2"/>
        <v>20</v>
      </c>
      <c r="AJ10" s="155">
        <f t="shared" si="2"/>
        <v>21</v>
      </c>
      <c r="AK10" s="155">
        <f t="shared" si="2"/>
        <v>22</v>
      </c>
      <c r="AL10" s="155">
        <f t="shared" si="2"/>
        <v>23</v>
      </c>
      <c r="AM10" s="155">
        <f t="shared" si="2"/>
        <v>24</v>
      </c>
      <c r="AN10" s="155">
        <f t="shared" si="2"/>
        <v>25</v>
      </c>
      <c r="AO10" s="155">
        <f t="shared" si="2"/>
        <v>26</v>
      </c>
      <c r="AP10" s="155">
        <f t="shared" si="2"/>
        <v>27</v>
      </c>
      <c r="AQ10" s="155">
        <f t="shared" si="2"/>
        <v>28</v>
      </c>
      <c r="AR10" s="155">
        <f t="shared" si="2"/>
        <v>29</v>
      </c>
      <c r="AS10" s="154">
        <f t="shared" si="2"/>
        <v>30</v>
      </c>
    </row>
    <row r="11" spans="1:57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230"/>
      <c r="Q11" s="22"/>
      <c r="R11" s="22"/>
      <c r="S11" s="22"/>
      <c r="T11" s="22"/>
      <c r="U11" s="22"/>
      <c r="V11" s="104"/>
      <c r="W11" s="104"/>
      <c r="X11" s="22"/>
      <c r="Y11" s="22"/>
      <c r="Z11" s="114"/>
      <c r="AA11" s="22"/>
      <c r="AB11" s="22"/>
      <c r="AC11" s="104"/>
      <c r="AD11" s="104"/>
      <c r="AE11" s="22"/>
      <c r="AF11" s="22"/>
      <c r="AG11" s="22"/>
      <c r="AH11" s="22"/>
      <c r="AI11" s="22"/>
      <c r="AJ11" s="104"/>
      <c r="AK11" s="104"/>
      <c r="AL11" s="22"/>
      <c r="AM11" s="22"/>
      <c r="AN11" s="22"/>
      <c r="AO11" s="22"/>
      <c r="AP11" s="22"/>
      <c r="AQ11" s="104"/>
      <c r="AR11" s="104"/>
      <c r="AS11" s="22"/>
      <c r="AT11" s="1"/>
      <c r="AU11" s="290" t="s">
        <v>217</v>
      </c>
      <c r="AV11" s="291"/>
      <c r="AW11" s="291"/>
      <c r="AX11" s="291"/>
      <c r="AY11" s="291"/>
      <c r="AZ11" s="291"/>
      <c r="BA11" s="291"/>
      <c r="BB11" s="291"/>
      <c r="BC11" s="291"/>
      <c r="BD11" s="291"/>
      <c r="BE11" s="292"/>
    </row>
    <row r="12" spans="1:57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216"/>
      <c r="Q12" s="8"/>
      <c r="R12" s="8"/>
      <c r="S12" s="8"/>
      <c r="T12" s="8"/>
      <c r="U12" s="8"/>
      <c r="V12" s="94"/>
      <c r="W12" s="94"/>
      <c r="X12" s="8"/>
      <c r="Y12" s="8"/>
      <c r="Z12" s="112"/>
      <c r="AA12" s="8"/>
      <c r="AB12" s="8"/>
      <c r="AC12" s="94"/>
      <c r="AD12" s="94"/>
      <c r="AE12" s="8"/>
      <c r="AF12" s="8"/>
      <c r="AG12" s="8"/>
      <c r="AH12" s="8"/>
      <c r="AI12" s="8"/>
      <c r="AJ12" s="94"/>
      <c r="AK12" s="94"/>
      <c r="AL12" s="8"/>
      <c r="AM12" s="8"/>
      <c r="AN12" s="8"/>
      <c r="AO12" s="8"/>
      <c r="AP12" s="8"/>
      <c r="AQ12" s="94"/>
      <c r="AR12" s="94"/>
      <c r="AS12" s="8"/>
      <c r="AT12" s="1"/>
      <c r="AU12" s="168" t="s">
        <v>194</v>
      </c>
      <c r="AV12" s="78" t="s">
        <v>195</v>
      </c>
      <c r="AW12" s="12" t="s">
        <v>196</v>
      </c>
      <c r="AX12" s="79" t="s">
        <v>197</v>
      </c>
      <c r="AY12" s="10" t="s">
        <v>198</v>
      </c>
      <c r="AZ12" s="80" t="s">
        <v>199</v>
      </c>
      <c r="BA12" s="11" t="s">
        <v>200</v>
      </c>
      <c r="BB12" s="81" t="s">
        <v>201</v>
      </c>
      <c r="BC12" s="82" t="s">
        <v>202</v>
      </c>
      <c r="BD12" s="83" t="s">
        <v>203</v>
      </c>
      <c r="BE12" s="16" t="s">
        <v>205</v>
      </c>
    </row>
    <row r="13" spans="1:57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216"/>
      <c r="Q13" s="8"/>
      <c r="R13" s="8"/>
      <c r="S13" s="8"/>
      <c r="T13" s="8"/>
      <c r="U13" s="8"/>
      <c r="V13" s="94"/>
      <c r="W13" s="94"/>
      <c r="X13" s="8"/>
      <c r="Y13" s="8"/>
      <c r="Z13" s="112"/>
      <c r="AA13" s="8"/>
      <c r="AB13" s="8"/>
      <c r="AC13" s="94"/>
      <c r="AD13" s="94"/>
      <c r="AE13" s="8"/>
      <c r="AF13" s="8"/>
      <c r="AG13" s="8"/>
      <c r="AH13" s="8"/>
      <c r="AI13" s="8"/>
      <c r="AJ13" s="94"/>
      <c r="AK13" s="94"/>
      <c r="AL13" s="8"/>
      <c r="AM13" s="8"/>
      <c r="AN13" s="8"/>
      <c r="AO13" s="8"/>
      <c r="AP13" s="8"/>
      <c r="AQ13" s="94"/>
      <c r="AR13" s="94"/>
      <c r="AS13" s="8"/>
      <c r="AT13" s="1"/>
      <c r="AU13" s="19">
        <f>COUNTIF(P11:AS29,"p")</f>
        <v>0</v>
      </c>
      <c r="AV13" s="19">
        <f>COUNTIF(P11:AS29,"PC")</f>
        <v>0</v>
      </c>
      <c r="AW13" s="19">
        <f>COUNTIF(P11:AS29,"f")</f>
        <v>0</v>
      </c>
      <c r="AX13" s="19">
        <f>COUNTIF(P11:AS29,"ast")</f>
        <v>0</v>
      </c>
      <c r="AY13" s="19">
        <f>COUNTIF(P11:AS29,"ca")</f>
        <v>0</v>
      </c>
      <c r="AZ13" s="19">
        <f>COUNTIF(P11:AS29,"rtt")</f>
        <v>0</v>
      </c>
      <c r="BA13" s="19">
        <f>COUNTIF(P11:AS29,"CEX")</f>
        <v>0</v>
      </c>
      <c r="BB13" s="19">
        <f>COUNTIF(P11:AS29,"RES")</f>
        <v>0</v>
      </c>
      <c r="BC13" s="19">
        <f>COUNTIF(P11:AS29,"MA")</f>
        <v>0</v>
      </c>
      <c r="BD13" s="19">
        <f>COUNTIF(P11:AS29,"AT")</f>
        <v>0</v>
      </c>
      <c r="BE13" s="19">
        <f>COUNTIF(P11:AS29,"TP")</f>
        <v>0</v>
      </c>
    </row>
    <row r="14" spans="1:57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216"/>
      <c r="Q14" s="8"/>
      <c r="R14" s="8"/>
      <c r="S14" s="8"/>
      <c r="T14" s="8"/>
      <c r="U14" s="8"/>
      <c r="V14" s="94"/>
      <c r="W14" s="94"/>
      <c r="X14" s="8"/>
      <c r="Y14" s="8"/>
      <c r="Z14" s="112"/>
      <c r="AA14" s="8"/>
      <c r="AB14" s="8"/>
      <c r="AC14" s="94"/>
      <c r="AD14" s="94"/>
      <c r="AE14" s="8"/>
      <c r="AF14" s="8"/>
      <c r="AG14" s="8"/>
      <c r="AH14" s="8"/>
      <c r="AI14" s="8"/>
      <c r="AJ14" s="94"/>
      <c r="AK14" s="94"/>
      <c r="AL14" s="8"/>
      <c r="AM14" s="8"/>
      <c r="AN14" s="8"/>
      <c r="AO14" s="8"/>
      <c r="AP14" s="8"/>
      <c r="AQ14" s="94"/>
      <c r="AR14" s="94"/>
      <c r="AS14" s="8"/>
      <c r="AT14" s="1"/>
    </row>
    <row r="15" spans="1:57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216"/>
      <c r="Q15" s="8"/>
      <c r="R15" s="8"/>
      <c r="S15" s="8"/>
      <c r="T15" s="8"/>
      <c r="U15" s="8"/>
      <c r="V15" s="94"/>
      <c r="W15" s="94"/>
      <c r="X15" s="8"/>
      <c r="Y15" s="8"/>
      <c r="Z15" s="112"/>
      <c r="AA15" s="8"/>
      <c r="AB15" s="8"/>
      <c r="AC15" s="94"/>
      <c r="AD15" s="94"/>
      <c r="AE15" s="8"/>
      <c r="AF15" s="8"/>
      <c r="AG15" s="8"/>
      <c r="AH15" s="8"/>
      <c r="AI15" s="8"/>
      <c r="AJ15" s="94"/>
      <c r="AK15" s="94"/>
      <c r="AL15" s="8"/>
      <c r="AM15" s="8"/>
      <c r="AN15" s="8"/>
      <c r="AO15" s="8"/>
      <c r="AP15" s="8"/>
      <c r="AQ15" s="94"/>
      <c r="AR15" s="94"/>
      <c r="AS15" s="8"/>
      <c r="AT15" s="1"/>
    </row>
    <row r="16" spans="1:57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216"/>
      <c r="Q16" s="8"/>
      <c r="R16" s="8"/>
      <c r="S16" s="8"/>
      <c r="T16" s="8"/>
      <c r="U16" s="8"/>
      <c r="V16" s="94"/>
      <c r="W16" s="94"/>
      <c r="X16" s="8"/>
      <c r="Y16" s="8"/>
      <c r="Z16" s="112"/>
      <c r="AA16" s="8"/>
      <c r="AB16" s="8"/>
      <c r="AC16" s="94"/>
      <c r="AD16" s="94"/>
      <c r="AE16" s="8"/>
      <c r="AF16" s="8"/>
      <c r="AG16" s="8"/>
      <c r="AH16" s="8"/>
      <c r="AI16" s="8"/>
      <c r="AJ16" s="94"/>
      <c r="AK16" s="94"/>
      <c r="AL16" s="8"/>
      <c r="AM16" s="8"/>
      <c r="AN16" s="8"/>
      <c r="AO16" s="8"/>
      <c r="AP16" s="8"/>
      <c r="AQ16" s="94"/>
      <c r="AR16" s="94"/>
      <c r="AS16" s="8"/>
      <c r="AT16" s="1"/>
    </row>
    <row r="17" spans="1:46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216"/>
      <c r="Q17" s="8"/>
      <c r="R17" s="8"/>
      <c r="S17" s="8"/>
      <c r="T17" s="8"/>
      <c r="U17" s="8"/>
      <c r="V17" s="94"/>
      <c r="W17" s="94"/>
      <c r="X17" s="8"/>
      <c r="Y17" s="8"/>
      <c r="Z17" s="112"/>
      <c r="AA17" s="8"/>
      <c r="AB17" s="8"/>
      <c r="AC17" s="94"/>
      <c r="AD17" s="94"/>
      <c r="AE17" s="8"/>
      <c r="AF17" s="8"/>
      <c r="AG17" s="8"/>
      <c r="AH17" s="8"/>
      <c r="AI17" s="8"/>
      <c r="AJ17" s="94"/>
      <c r="AK17" s="94"/>
      <c r="AL17" s="8"/>
      <c r="AM17" s="8"/>
      <c r="AN17" s="8"/>
      <c r="AO17" s="8"/>
      <c r="AP17" s="8"/>
      <c r="AQ17" s="94"/>
      <c r="AR17" s="94"/>
      <c r="AS17" s="8"/>
      <c r="AT17" s="1"/>
    </row>
    <row r="18" spans="1:46" ht="20.100000000000001" customHeight="1" thickBot="1" x14ac:dyDescent="0.3">
      <c r="A18" s="200"/>
      <c r="B18" s="201"/>
      <c r="C18" s="202"/>
      <c r="D18" s="213">
        <f t="shared" si="3"/>
        <v>0</v>
      </c>
      <c r="E18" s="214">
        <f t="shared" si="4"/>
        <v>0</v>
      </c>
      <c r="F18" s="214">
        <f t="shared" si="5"/>
        <v>0</v>
      </c>
      <c r="G18" s="214">
        <f t="shared" si="6"/>
        <v>0</v>
      </c>
      <c r="H18" s="214">
        <f t="shared" si="7"/>
        <v>0</v>
      </c>
      <c r="I18" s="214">
        <f t="shared" si="8"/>
        <v>0</v>
      </c>
      <c r="J18" s="214">
        <f t="shared" si="9"/>
        <v>0</v>
      </c>
      <c r="K18" s="214">
        <f t="shared" si="10"/>
        <v>0</v>
      </c>
      <c r="L18" s="214">
        <f t="shared" si="11"/>
        <v>0</v>
      </c>
      <c r="M18" s="214">
        <f t="shared" si="12"/>
        <v>0</v>
      </c>
      <c r="N18" s="214">
        <f t="shared" si="13"/>
        <v>0</v>
      </c>
      <c r="O18" s="215">
        <f t="shared" si="14"/>
        <v>0</v>
      </c>
      <c r="P18" s="216"/>
      <c r="Q18" s="127"/>
      <c r="R18" s="127"/>
      <c r="S18" s="127"/>
      <c r="T18" s="127"/>
      <c r="U18" s="127"/>
      <c r="V18" s="127"/>
      <c r="W18" s="127"/>
      <c r="X18" s="127"/>
      <c r="Y18" s="127"/>
      <c r="Z18" s="112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"/>
    </row>
    <row r="19" spans="1:46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216"/>
      <c r="Q19" s="8"/>
      <c r="R19" s="8"/>
      <c r="S19" s="8"/>
      <c r="T19" s="8"/>
      <c r="U19" s="8"/>
      <c r="V19" s="94"/>
      <c r="W19" s="94"/>
      <c r="X19" s="8"/>
      <c r="Y19" s="8"/>
      <c r="Z19" s="112"/>
      <c r="AA19" s="8"/>
      <c r="AB19" s="8"/>
      <c r="AC19" s="94"/>
      <c r="AD19" s="94"/>
      <c r="AE19" s="8"/>
      <c r="AF19" s="8"/>
      <c r="AG19" s="8"/>
      <c r="AH19" s="8"/>
      <c r="AI19" s="8"/>
      <c r="AJ19" s="94"/>
      <c r="AK19" s="94"/>
      <c r="AL19" s="8"/>
      <c r="AM19" s="8"/>
      <c r="AN19" s="8"/>
      <c r="AO19" s="8"/>
      <c r="AP19" s="8"/>
      <c r="AQ19" s="94"/>
      <c r="AR19" s="94"/>
      <c r="AS19" s="8"/>
      <c r="AT19" s="1"/>
    </row>
    <row r="20" spans="1:46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231"/>
      <c r="Q20" s="21"/>
      <c r="R20" s="21"/>
      <c r="S20" s="21"/>
      <c r="T20" s="21"/>
      <c r="U20" s="21"/>
      <c r="V20" s="95"/>
      <c r="W20" s="95"/>
      <c r="X20" s="21"/>
      <c r="Y20" s="21"/>
      <c r="Z20" s="113"/>
      <c r="AA20" s="21"/>
      <c r="AB20" s="21"/>
      <c r="AC20" s="95"/>
      <c r="AD20" s="95"/>
      <c r="AE20" s="21"/>
      <c r="AF20" s="21"/>
      <c r="AG20" s="21"/>
      <c r="AH20" s="21"/>
      <c r="AI20" s="21"/>
      <c r="AJ20" s="95"/>
      <c r="AK20" s="95"/>
      <c r="AL20" s="21"/>
      <c r="AM20" s="21"/>
      <c r="AN20" s="21"/>
      <c r="AO20" s="21"/>
      <c r="AP20" s="21"/>
      <c r="AQ20" s="95"/>
      <c r="AR20" s="95"/>
      <c r="AS20" s="21"/>
      <c r="AT20" s="1"/>
    </row>
    <row r="21" spans="1:46" ht="20.100000000000001" customHeight="1" thickBot="1" x14ac:dyDescent="0.3">
      <c r="A21" s="54" t="str">
        <f>IFERROR(IF(config!E13="","",config!E13),"")</f>
        <v>MAINTENANCE</v>
      </c>
      <c r="B21" s="54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179"/>
      <c r="AR21" s="179"/>
      <c r="AS21" s="179"/>
    </row>
    <row r="22" spans="1:46" ht="20.100000000000001" customHeight="1" thickBot="1" x14ac:dyDescent="0.3">
      <c r="A22" s="46" t="str">
        <f>IFERROR(IF(config!E14="","",config!E14),"")</f>
        <v>SURVEILLANT DE TRAVAUX</v>
      </c>
      <c r="B22" s="46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180"/>
      <c r="AR22" s="180"/>
      <c r="AS22" s="180"/>
    </row>
    <row r="23" spans="1:46" ht="20.100000000000001" customHeight="1" thickBot="1" x14ac:dyDescent="0.3">
      <c r="A23" s="30" t="str">
        <f>IFERROR(IF(config!E15="","",config!E15),"")</f>
        <v>C004587</v>
      </c>
      <c r="B23" s="40" t="str">
        <f>IFERROR(IF(config!F15="","",config!F15),"")</f>
        <v xml:space="preserve">BOURGOIN </v>
      </c>
      <c r="C23" s="102" t="str">
        <f>IFERROR(IF(config!G15="","",config!G15),"")</f>
        <v>Jean-Baptiste</v>
      </c>
      <c r="D23" s="103">
        <f>COUNTIF(P23:AS23,"p")</f>
        <v>0</v>
      </c>
      <c r="E23" s="22">
        <f>COUNTIF(P23:AS23,"PC")</f>
        <v>0</v>
      </c>
      <c r="F23" s="22">
        <f>COUNTIF(P23:AS23,"f")</f>
        <v>0</v>
      </c>
      <c r="G23" s="22">
        <f>COUNTIF(P23:AS23,"ast")</f>
        <v>0</v>
      </c>
      <c r="H23" s="22">
        <f>COUNTIF(P23:AS23,"cA")</f>
        <v>0</v>
      </c>
      <c r="I23" s="22">
        <f>COUNTIF(P23:AS23,"rtt")</f>
        <v>0</v>
      </c>
      <c r="J23" s="22">
        <f>COUNTIF(P23:AS23,"cex")</f>
        <v>0</v>
      </c>
      <c r="K23" s="22">
        <f>COUNTIF(P23:AS23,"res")</f>
        <v>0</v>
      </c>
      <c r="L23" s="22">
        <f>COUNTIF(P23:AS23,"mA")</f>
        <v>0</v>
      </c>
      <c r="M23" s="22">
        <f>COUNTIF(P23:AS23,"at")</f>
        <v>0</v>
      </c>
      <c r="N23" s="22">
        <f>COUNTIF(P23:AS23,"TAD")</f>
        <v>0</v>
      </c>
      <c r="O23" s="106">
        <f>COUNTIF(P23:AS23,"TP")</f>
        <v>0</v>
      </c>
      <c r="P23" s="230"/>
      <c r="Q23" s="22"/>
      <c r="R23" s="22"/>
      <c r="S23" s="22"/>
      <c r="T23" s="22"/>
      <c r="U23" s="22"/>
      <c r="V23" s="104"/>
      <c r="W23" s="104"/>
      <c r="X23" s="22"/>
      <c r="Y23" s="22"/>
      <c r="Z23" s="114"/>
      <c r="AA23" s="22"/>
      <c r="AB23" s="22"/>
      <c r="AC23" s="104"/>
      <c r="AD23" s="104"/>
      <c r="AE23" s="22"/>
      <c r="AF23" s="22"/>
      <c r="AG23" s="22"/>
      <c r="AH23" s="22"/>
      <c r="AI23" s="22"/>
      <c r="AJ23" s="104"/>
      <c r="AK23" s="104"/>
      <c r="AL23" s="22"/>
      <c r="AM23" s="22"/>
      <c r="AN23" s="22"/>
      <c r="AO23" s="22"/>
      <c r="AP23" s="22"/>
      <c r="AQ23" s="104"/>
      <c r="AR23" s="104"/>
      <c r="AS23" s="22"/>
    </row>
    <row r="24" spans="1:46" ht="20.100000000000001" customHeight="1" thickBot="1" x14ac:dyDescent="0.3">
      <c r="A24" s="131" t="str">
        <f>IFERROR(IF(config!E16="","",config!E16),"")</f>
        <v>N02645</v>
      </c>
      <c r="B24" s="132" t="str">
        <f>IFERROR(IF(config!F16="","",config!F16),"")</f>
        <v>MERCADIEU</v>
      </c>
      <c r="C24" s="133" t="str">
        <f>IFERROR(IF(config!G16="","",config!G16),"")</f>
        <v>Baptiste</v>
      </c>
      <c r="D24" s="134">
        <f>COUNTIF(P24:AS24,"p")</f>
        <v>0</v>
      </c>
      <c r="E24" s="123">
        <f>COUNTIF(P24:AS24,"PC")</f>
        <v>0</v>
      </c>
      <c r="F24" s="123">
        <f>COUNTIF(P24:AS24,"f")</f>
        <v>0</v>
      </c>
      <c r="G24" s="123">
        <f>COUNTIF(P24:AS24,"ast")</f>
        <v>0</v>
      </c>
      <c r="H24" s="123">
        <f>COUNTIF(P24:AS24,"cA")</f>
        <v>0</v>
      </c>
      <c r="I24" s="123">
        <f>COUNTIF(P24:AS24,"rtt")</f>
        <v>0</v>
      </c>
      <c r="J24" s="123">
        <f>COUNTIF(P24:AS24,"cex")</f>
        <v>0</v>
      </c>
      <c r="K24" s="123">
        <f>COUNTIF(P24:AS24,"res")</f>
        <v>0</v>
      </c>
      <c r="L24" s="123">
        <f>COUNTIF(P24:AS24,"mA")</f>
        <v>0</v>
      </c>
      <c r="M24" s="123">
        <f>COUNTIF(P24:AS24,"at")</f>
        <v>0</v>
      </c>
      <c r="N24" s="123">
        <f>COUNTIF(P24:AS24,"TAD")</f>
        <v>0</v>
      </c>
      <c r="O24" s="140">
        <f>COUNTIF(P24:AS24,"TP")</f>
        <v>0</v>
      </c>
      <c r="P24" s="230"/>
      <c r="Q24" s="22"/>
      <c r="R24" s="8"/>
      <c r="S24" s="8"/>
      <c r="T24" s="8"/>
      <c r="U24" s="8"/>
      <c r="V24" s="94"/>
      <c r="W24" s="94"/>
      <c r="X24" s="8"/>
      <c r="Y24" s="8"/>
      <c r="Z24" s="112"/>
      <c r="AA24" s="8"/>
      <c r="AB24" s="8"/>
      <c r="AC24" s="94"/>
      <c r="AD24" s="94"/>
      <c r="AE24" s="8"/>
      <c r="AF24" s="8"/>
      <c r="AG24" s="8"/>
      <c r="AH24" s="8"/>
      <c r="AI24" s="8"/>
      <c r="AJ24" s="94"/>
      <c r="AK24" s="94"/>
      <c r="AL24" s="8"/>
      <c r="AM24" s="8"/>
      <c r="AN24" s="8"/>
      <c r="AO24" s="8"/>
      <c r="AP24" s="8"/>
      <c r="AQ24" s="94"/>
      <c r="AR24" s="94"/>
      <c r="AS24" s="8"/>
    </row>
    <row r="25" spans="1:46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pans="1:46" ht="20.100000000000001" customHeight="1" thickBot="1" x14ac:dyDescent="0.3">
      <c r="A26" s="33" t="str">
        <f>IFERROR(IF(config!E18="","",config!E18),"")</f>
        <v>C004845</v>
      </c>
      <c r="B26" s="40" t="str">
        <f>IFERROR(IF(config!F18="","",config!F18),"")</f>
        <v>GARCIA</v>
      </c>
      <c r="C26" s="102" t="str">
        <f>IFERROR(IF(config!G18="","",config!G18),"")</f>
        <v>Yoan</v>
      </c>
      <c r="D26" s="103">
        <f>COUNTIF(P26:AS26,"p")</f>
        <v>0</v>
      </c>
      <c r="E26" s="22">
        <f>COUNTIF(P26:AS26,"PC")</f>
        <v>0</v>
      </c>
      <c r="F26" s="22">
        <f>COUNTIF(P26:AS26,"f")</f>
        <v>0</v>
      </c>
      <c r="G26" s="22">
        <f>COUNTIF(P26:AS26,"ast")</f>
        <v>0</v>
      </c>
      <c r="H26" s="22">
        <f>COUNTIF(P26:AS26,"cA")</f>
        <v>0</v>
      </c>
      <c r="I26" s="22">
        <f>COUNTIF(P26:AS26,"rtt")</f>
        <v>0</v>
      </c>
      <c r="J26" s="22">
        <f>COUNTIF(P26:AS26,"cex")</f>
        <v>0</v>
      </c>
      <c r="K26" s="22">
        <f>COUNTIF(P26:AS26,"res")</f>
        <v>0</v>
      </c>
      <c r="L26" s="22">
        <f>COUNTIF(P26:AS26,"mA")</f>
        <v>0</v>
      </c>
      <c r="M26" s="22">
        <f>COUNTIF(P26:AS26,"at")</f>
        <v>0</v>
      </c>
      <c r="N26" s="22">
        <f>COUNTIF(P26:AS26,"TAD")</f>
        <v>0</v>
      </c>
      <c r="O26" s="22">
        <f>COUNTIF(P26:AS26,"TP")</f>
        <v>0</v>
      </c>
      <c r="P26" s="230"/>
      <c r="Q26" s="22"/>
      <c r="R26" s="22"/>
      <c r="S26" s="22"/>
      <c r="T26" s="22"/>
      <c r="U26" s="22"/>
      <c r="V26" s="104"/>
      <c r="W26" s="104"/>
      <c r="X26" s="22"/>
      <c r="Y26" s="22"/>
      <c r="Z26" s="114"/>
      <c r="AA26" s="22"/>
      <c r="AB26" s="22"/>
      <c r="AC26" s="104"/>
      <c r="AD26" s="104"/>
      <c r="AE26" s="22"/>
      <c r="AF26" s="22"/>
      <c r="AG26" s="22"/>
      <c r="AH26" s="22"/>
      <c r="AI26" s="22"/>
      <c r="AJ26" s="104"/>
      <c r="AK26" s="104"/>
      <c r="AL26" s="22"/>
      <c r="AM26" s="22"/>
      <c r="AN26" s="22"/>
      <c r="AO26" s="22"/>
      <c r="AP26" s="22"/>
      <c r="AQ26" s="104"/>
      <c r="AR26" s="104"/>
      <c r="AS26" s="22"/>
    </row>
    <row r="27" spans="1:46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230"/>
      <c r="Q27" s="22"/>
      <c r="R27" s="22"/>
      <c r="S27" s="22"/>
      <c r="T27" s="22"/>
      <c r="U27" s="22"/>
      <c r="V27" s="94"/>
      <c r="W27" s="94"/>
      <c r="X27" s="8"/>
      <c r="Y27" s="8"/>
      <c r="Z27" s="112"/>
      <c r="AA27" s="8"/>
      <c r="AB27" s="8"/>
      <c r="AC27" s="94"/>
      <c r="AD27" s="94"/>
      <c r="AE27" s="8"/>
      <c r="AF27" s="8"/>
      <c r="AG27" s="8"/>
      <c r="AH27" s="8"/>
      <c r="AI27" s="8"/>
      <c r="AJ27" s="94"/>
      <c r="AK27" s="94"/>
      <c r="AL27" s="8"/>
      <c r="AM27" s="8"/>
      <c r="AN27" s="8"/>
      <c r="AO27" s="8"/>
      <c r="AP27" s="8"/>
      <c r="AQ27" s="94"/>
      <c r="AR27" s="94"/>
      <c r="AS27" s="8"/>
    </row>
    <row r="28" spans="1:46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230"/>
      <c r="Q28" s="22"/>
      <c r="R28" s="22"/>
      <c r="S28" s="22"/>
      <c r="T28" s="22"/>
      <c r="U28" s="22"/>
      <c r="V28" s="104"/>
      <c r="W28" s="104"/>
      <c r="X28" s="22"/>
      <c r="Y28" s="22"/>
      <c r="Z28" s="114"/>
      <c r="AA28" s="22"/>
      <c r="AB28" s="22"/>
      <c r="AC28" s="104"/>
      <c r="AD28" s="104"/>
      <c r="AE28" s="22"/>
      <c r="AF28" s="22"/>
      <c r="AG28" s="22"/>
      <c r="AH28" s="22"/>
      <c r="AI28" s="22"/>
      <c r="AJ28" s="104"/>
      <c r="AK28" s="104"/>
      <c r="AL28" s="22"/>
      <c r="AM28" s="22"/>
      <c r="AN28" s="22"/>
      <c r="AO28" s="22"/>
      <c r="AP28" s="22"/>
      <c r="AQ28" s="104"/>
      <c r="AR28" s="104"/>
      <c r="AS28" s="22"/>
    </row>
    <row r="29" spans="1:46" ht="20.100000000000001" customHeight="1" thickBot="1" x14ac:dyDescent="0.3">
      <c r="A29" s="131" t="str">
        <f>IFERROR(IF(config!E21="","",config!E21),"")</f>
        <v>C005216</v>
      </c>
      <c r="B29" s="132" t="str">
        <f>IFERROR(IF(config!F21="","",config!F21),"")</f>
        <v>PIEL</v>
      </c>
      <c r="C29" s="133" t="str">
        <f>IFERROR(IF(config!G21="","",config!G21),"")</f>
        <v>Frédy</v>
      </c>
      <c r="D29" s="134">
        <f>COUNTIF(P29:AS29,"p")</f>
        <v>0</v>
      </c>
      <c r="E29" s="123">
        <f>COUNTIF(P29:AS29,"PC")</f>
        <v>0</v>
      </c>
      <c r="F29" s="123">
        <f>COUNTIF(P29:AS29,"f")</f>
        <v>0</v>
      </c>
      <c r="G29" s="123">
        <f>COUNTIF(P29:AS29,"ast")</f>
        <v>0</v>
      </c>
      <c r="H29" s="123">
        <f>COUNTIF(P29:AS29,"cA")</f>
        <v>0</v>
      </c>
      <c r="I29" s="123">
        <f>COUNTIF(P29:AS29,"rtt")</f>
        <v>0</v>
      </c>
      <c r="J29" s="123">
        <f>COUNTIF(P29:AS29,"cex")</f>
        <v>0</v>
      </c>
      <c r="K29" s="123">
        <f>COUNTIF(P29:AS29,"res")</f>
        <v>0</v>
      </c>
      <c r="L29" s="123">
        <f>COUNTIF(P29:AS29,"mA")</f>
        <v>0</v>
      </c>
      <c r="M29" s="123">
        <f>COUNTIF(P29:AS29,"at")</f>
        <v>0</v>
      </c>
      <c r="N29" s="123">
        <f>COUNTIF(P29:AS29,"TAD")</f>
        <v>0</v>
      </c>
      <c r="O29" s="123">
        <f>COUNTIF(P29:AS29,"TP")</f>
        <v>0</v>
      </c>
      <c r="P29" s="187"/>
      <c r="Q29" s="10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</row>
    <row r="30" spans="1:46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</row>
    <row r="31" spans="1:46" ht="20.100000000000001" customHeight="1" thickBot="1" x14ac:dyDescent="0.3">
      <c r="A31" s="131" t="str">
        <f>IFERROR(IF(config!E23="","",config!E23),"")</f>
        <v>JN020502</v>
      </c>
      <c r="B31" s="132" t="str">
        <f>IFERROR(IF(config!F23="","",config!F23),"")</f>
        <v>GOURVIAT</v>
      </c>
      <c r="C31" s="133" t="str">
        <f>IFERROR(IF(config!G23="","",config!G23),"")</f>
        <v>Annabelle</v>
      </c>
      <c r="D31" s="134">
        <f t="shared" ref="D31:D36" si="15">COUNTIF(P31:AS31,"p")</f>
        <v>0</v>
      </c>
      <c r="E31" s="123">
        <f t="shared" ref="E31:E36" si="16">COUNTIF(P31:AS31,"PC")</f>
        <v>0</v>
      </c>
      <c r="F31" s="123">
        <f t="shared" ref="F31:F36" si="17">COUNTIF(P31:AS31,"f")</f>
        <v>0</v>
      </c>
      <c r="G31" s="123">
        <f t="shared" ref="G31:G36" si="18">COUNTIF(P31:AS31,"ast")</f>
        <v>0</v>
      </c>
      <c r="H31" s="123">
        <f t="shared" ref="H31:H36" si="19">COUNTIF(P31:AS31,"cA")</f>
        <v>0</v>
      </c>
      <c r="I31" s="123">
        <f t="shared" ref="I31:I36" si="20">COUNTIF(P31:AS31,"rtt")</f>
        <v>0</v>
      </c>
      <c r="J31" s="123">
        <f t="shared" ref="J31:J36" si="21">COUNTIF(P31:AS31,"cex")</f>
        <v>0</v>
      </c>
      <c r="K31" s="123">
        <f t="shared" ref="K31:K36" si="22">COUNTIF(P31:AS31,"res")</f>
        <v>0</v>
      </c>
      <c r="L31" s="123">
        <f t="shared" ref="L31:L36" si="23">COUNTIF(P31:AS31,"mA")</f>
        <v>0</v>
      </c>
      <c r="M31" s="123">
        <f t="shared" ref="M31:M36" si="24">COUNTIF(P31:AS31,"at")</f>
        <v>0</v>
      </c>
      <c r="N31" s="123">
        <f t="shared" ref="N31:N36" si="25">COUNTIF(P31:AS31,"TAD")</f>
        <v>0</v>
      </c>
      <c r="O31" s="123">
        <f t="shared" ref="O31:O36" si="26">COUNTIF(P31:AS31,"TP")</f>
        <v>0</v>
      </c>
      <c r="P31" s="230"/>
      <c r="Q31" s="22"/>
      <c r="R31" s="8"/>
      <c r="S31" s="8"/>
      <c r="T31" s="8"/>
      <c r="U31" s="8"/>
      <c r="V31" s="94"/>
      <c r="W31" s="94"/>
      <c r="X31" s="8"/>
      <c r="Y31" s="8"/>
      <c r="Z31" s="112"/>
      <c r="AA31" s="8"/>
      <c r="AB31" s="8"/>
      <c r="AC31" s="94"/>
      <c r="AD31" s="94"/>
      <c r="AE31" s="8"/>
      <c r="AF31" s="8"/>
      <c r="AG31" s="8"/>
      <c r="AH31" s="8"/>
      <c r="AI31" s="8"/>
      <c r="AJ31" s="94"/>
      <c r="AK31" s="94"/>
      <c r="AL31" s="8"/>
      <c r="AM31" s="8"/>
      <c r="AN31" s="8"/>
      <c r="AO31" s="8"/>
      <c r="AP31" s="8"/>
      <c r="AQ31" s="94"/>
      <c r="AR31" s="94"/>
      <c r="AS31" s="8"/>
    </row>
    <row r="32" spans="1:46" ht="20.100000000000001" customHeight="1" thickBot="1" x14ac:dyDescent="0.3">
      <c r="A32" s="131" t="str">
        <f>IFERROR(IF(config!E24="","",config!E24),"")</f>
        <v>JT032516</v>
      </c>
      <c r="B32" s="132" t="str">
        <f>IFERROR(IF(config!F24="","",config!F24),"")</f>
        <v>LARTIGUE</v>
      </c>
      <c r="C32" s="133" t="str">
        <f>IFERROR(IF(config!G24="","",config!G24),"")</f>
        <v>Laura</v>
      </c>
      <c r="D32" s="134">
        <f t="shared" si="15"/>
        <v>0</v>
      </c>
      <c r="E32" s="123">
        <f t="shared" si="16"/>
        <v>0</v>
      </c>
      <c r="F32" s="123">
        <f t="shared" si="17"/>
        <v>0</v>
      </c>
      <c r="G32" s="123">
        <f t="shared" si="18"/>
        <v>0</v>
      </c>
      <c r="H32" s="123">
        <f t="shared" si="19"/>
        <v>0</v>
      </c>
      <c r="I32" s="123">
        <f t="shared" si="20"/>
        <v>0</v>
      </c>
      <c r="J32" s="123">
        <f t="shared" si="21"/>
        <v>0</v>
      </c>
      <c r="K32" s="123">
        <f t="shared" si="22"/>
        <v>0</v>
      </c>
      <c r="L32" s="123">
        <f t="shared" si="23"/>
        <v>0</v>
      </c>
      <c r="M32" s="123">
        <f t="shared" si="24"/>
        <v>0</v>
      </c>
      <c r="N32" s="123">
        <f t="shared" si="25"/>
        <v>0</v>
      </c>
      <c r="O32" s="123">
        <f t="shared" si="26"/>
        <v>0</v>
      </c>
      <c r="P32" s="230"/>
      <c r="Q32" s="22"/>
      <c r="R32" s="8"/>
      <c r="S32" s="8"/>
      <c r="T32" s="8"/>
      <c r="U32" s="8"/>
      <c r="V32" s="94"/>
      <c r="W32" s="94"/>
      <c r="X32" s="8"/>
      <c r="Y32" s="8"/>
      <c r="Z32" s="112"/>
      <c r="AA32" s="8"/>
      <c r="AB32" s="8"/>
      <c r="AC32" s="94"/>
      <c r="AD32" s="94"/>
      <c r="AE32" s="8"/>
      <c r="AF32" s="8"/>
      <c r="AG32" s="8"/>
      <c r="AH32" s="8"/>
      <c r="AI32" s="8"/>
      <c r="AJ32" s="94"/>
      <c r="AK32" s="94"/>
      <c r="AL32" s="8"/>
      <c r="AM32" s="8"/>
      <c r="AN32" s="8"/>
      <c r="AO32" s="8"/>
      <c r="AP32" s="8"/>
      <c r="AQ32" s="94"/>
      <c r="AR32" s="94"/>
      <c r="AS32" s="8"/>
    </row>
    <row r="33" spans="1:57" ht="20.100000000000001" customHeight="1" thickBot="1" x14ac:dyDescent="0.3">
      <c r="A33" s="131" t="str">
        <f>IFERROR(IF(config!E25="","",config!E25),"")</f>
        <v>JN010897</v>
      </c>
      <c r="B33" s="132" t="str">
        <f>IFERROR(IF(config!F25="","",config!F25),"")</f>
        <v>TRIQUENEAUX</v>
      </c>
      <c r="C33" s="133" t="str">
        <f>IFERROR(IF(config!G25="","",config!G25),"")</f>
        <v>Benoit</v>
      </c>
      <c r="D33" s="134">
        <f t="shared" si="15"/>
        <v>0</v>
      </c>
      <c r="E33" s="123">
        <f t="shared" si="16"/>
        <v>0</v>
      </c>
      <c r="F33" s="123">
        <f t="shared" si="17"/>
        <v>0</v>
      </c>
      <c r="G33" s="123">
        <f t="shared" si="18"/>
        <v>0</v>
      </c>
      <c r="H33" s="123">
        <f t="shared" si="19"/>
        <v>0</v>
      </c>
      <c r="I33" s="123">
        <f t="shared" si="20"/>
        <v>0</v>
      </c>
      <c r="J33" s="123">
        <f t="shared" si="21"/>
        <v>0</v>
      </c>
      <c r="K33" s="123">
        <f t="shared" si="22"/>
        <v>0</v>
      </c>
      <c r="L33" s="123">
        <f t="shared" si="23"/>
        <v>0</v>
      </c>
      <c r="M33" s="123">
        <f t="shared" si="24"/>
        <v>0</v>
      </c>
      <c r="N33" s="123">
        <f t="shared" si="25"/>
        <v>0</v>
      </c>
      <c r="O33" s="123">
        <f t="shared" si="26"/>
        <v>0</v>
      </c>
      <c r="P33" s="230"/>
      <c r="Q33" s="22"/>
      <c r="R33" s="8"/>
      <c r="S33" s="8"/>
      <c r="T33" s="8"/>
      <c r="U33" s="8"/>
      <c r="V33" s="94"/>
      <c r="W33" s="94"/>
      <c r="X33" s="8"/>
      <c r="Y33" s="8"/>
      <c r="Z33" s="112"/>
      <c r="AA33" s="8"/>
      <c r="AB33" s="8"/>
      <c r="AC33" s="94"/>
      <c r="AD33" s="94"/>
      <c r="AE33" s="8"/>
      <c r="AF33" s="8"/>
      <c r="AG33" s="8"/>
      <c r="AH33" s="8"/>
      <c r="AI33" s="8"/>
      <c r="AJ33" s="94"/>
      <c r="AK33" s="94"/>
      <c r="AL33" s="8"/>
      <c r="AM33" s="8"/>
      <c r="AN33" s="8"/>
      <c r="AO33" s="8"/>
      <c r="AP33" s="8"/>
      <c r="AQ33" s="94"/>
      <c r="AR33" s="94"/>
      <c r="AS33" s="8"/>
    </row>
    <row r="34" spans="1:57" ht="20.100000000000001" customHeight="1" thickBot="1" x14ac:dyDescent="0.3">
      <c r="A34" s="131" t="str">
        <f>IFERROR(IF(config!E26="","",config!E26),"")</f>
        <v>JN010381</v>
      </c>
      <c r="B34" s="132" t="str">
        <f>IFERROR(IF(config!F26="","",config!F26),"")</f>
        <v>ESPERON</v>
      </c>
      <c r="C34" s="133" t="str">
        <f>IFERROR(IF(config!G26="","",config!G26),"")</f>
        <v>Alain</v>
      </c>
      <c r="D34" s="134">
        <f t="shared" si="15"/>
        <v>0</v>
      </c>
      <c r="E34" s="123">
        <f t="shared" si="16"/>
        <v>0</v>
      </c>
      <c r="F34" s="123">
        <f t="shared" si="17"/>
        <v>0</v>
      </c>
      <c r="G34" s="123">
        <f t="shared" si="18"/>
        <v>0</v>
      </c>
      <c r="H34" s="123">
        <f t="shared" si="19"/>
        <v>0</v>
      </c>
      <c r="I34" s="123">
        <f t="shared" si="20"/>
        <v>0</v>
      </c>
      <c r="J34" s="123">
        <f t="shared" si="21"/>
        <v>0</v>
      </c>
      <c r="K34" s="123">
        <f t="shared" si="22"/>
        <v>0</v>
      </c>
      <c r="L34" s="123">
        <f t="shared" si="23"/>
        <v>0</v>
      </c>
      <c r="M34" s="123">
        <f t="shared" si="24"/>
        <v>0</v>
      </c>
      <c r="N34" s="123">
        <f t="shared" si="25"/>
        <v>0</v>
      </c>
      <c r="O34" s="123">
        <f t="shared" si="26"/>
        <v>0</v>
      </c>
      <c r="P34" s="230"/>
      <c r="Q34" s="22"/>
      <c r="R34" s="8"/>
      <c r="S34" s="8"/>
      <c r="T34" s="8"/>
      <c r="U34" s="8"/>
      <c r="V34" s="94"/>
      <c r="W34" s="94"/>
      <c r="X34" s="8"/>
      <c r="Y34" s="8"/>
      <c r="Z34" s="112"/>
      <c r="AA34" s="8"/>
      <c r="AB34" s="8"/>
      <c r="AC34" s="94"/>
      <c r="AD34" s="94"/>
      <c r="AE34" s="8"/>
      <c r="AF34" s="8"/>
      <c r="AG34" s="8"/>
      <c r="AH34" s="8"/>
      <c r="AI34" s="8"/>
      <c r="AJ34" s="94"/>
      <c r="AK34" s="94"/>
      <c r="AL34" s="8"/>
      <c r="AM34" s="8"/>
      <c r="AN34" s="8"/>
      <c r="AO34" s="8"/>
      <c r="AP34" s="8"/>
      <c r="AQ34" s="94"/>
      <c r="AR34" s="94"/>
      <c r="AS34" s="8"/>
    </row>
    <row r="35" spans="1:57" ht="20.100000000000001" customHeight="1" thickBot="1" x14ac:dyDescent="0.3">
      <c r="A35" s="131" t="str">
        <f>IFERROR(IF(config!E27="","",config!E27),"")</f>
        <v>JN010750</v>
      </c>
      <c r="B35" s="132" t="str">
        <f>IFERROR(IF(config!F27="","",config!F27),"")</f>
        <v>ROUGLAN</v>
      </c>
      <c r="C35" s="133" t="str">
        <f>IFERROR(IF(config!G27="","",config!G27),"")</f>
        <v>William</v>
      </c>
      <c r="D35" s="134">
        <f t="shared" si="15"/>
        <v>0</v>
      </c>
      <c r="E35" s="123">
        <f t="shared" si="16"/>
        <v>0</v>
      </c>
      <c r="F35" s="123">
        <f t="shared" si="17"/>
        <v>0</v>
      </c>
      <c r="G35" s="123">
        <f t="shared" si="18"/>
        <v>0</v>
      </c>
      <c r="H35" s="123">
        <f t="shared" si="19"/>
        <v>0</v>
      </c>
      <c r="I35" s="123">
        <f t="shared" si="20"/>
        <v>0</v>
      </c>
      <c r="J35" s="123">
        <f t="shared" si="21"/>
        <v>0</v>
      </c>
      <c r="K35" s="123">
        <f t="shared" si="22"/>
        <v>0</v>
      </c>
      <c r="L35" s="123">
        <f t="shared" si="23"/>
        <v>0</v>
      </c>
      <c r="M35" s="123">
        <f t="shared" si="24"/>
        <v>0</v>
      </c>
      <c r="N35" s="123">
        <f t="shared" si="25"/>
        <v>0</v>
      </c>
      <c r="O35" s="123">
        <f t="shared" si="26"/>
        <v>0</v>
      </c>
      <c r="P35" s="230"/>
      <c r="Q35" s="22"/>
      <c r="R35" s="8"/>
      <c r="S35" s="8"/>
      <c r="T35" s="8"/>
      <c r="U35" s="8"/>
      <c r="V35" s="94"/>
      <c r="W35" s="94"/>
      <c r="X35" s="8"/>
      <c r="Y35" s="8"/>
      <c r="Z35" s="112"/>
      <c r="AA35" s="8"/>
      <c r="AB35" s="8"/>
      <c r="AC35" s="94"/>
      <c r="AD35" s="94"/>
      <c r="AE35" s="8"/>
      <c r="AF35" s="8"/>
      <c r="AG35" s="8"/>
      <c r="AH35" s="8"/>
      <c r="AI35" s="8"/>
      <c r="AJ35" s="94"/>
      <c r="AK35" s="94"/>
      <c r="AL35" s="8"/>
      <c r="AM35" s="8"/>
      <c r="AN35" s="8"/>
      <c r="AO35" s="8"/>
      <c r="AP35" s="8"/>
      <c r="AQ35" s="94"/>
      <c r="AR35" s="94"/>
      <c r="AS35" s="8"/>
    </row>
    <row r="36" spans="1:57" ht="20.100000000000001" customHeight="1" thickBot="1" x14ac:dyDescent="0.3">
      <c r="A36" s="131" t="str">
        <f>IFERROR(IF(config!E28="","",config!E28),"")</f>
        <v>JN010461</v>
      </c>
      <c r="B36" s="132" t="str">
        <f>IFERROR(IF(config!F28="","",config!F28),"")</f>
        <v>NOURRI</v>
      </c>
      <c r="C36" s="133" t="str">
        <f>IFERROR(IF(config!G28="","",config!G28),"")</f>
        <v>Danny</v>
      </c>
      <c r="D36" s="134">
        <f t="shared" si="15"/>
        <v>0</v>
      </c>
      <c r="E36" s="123">
        <f t="shared" si="16"/>
        <v>0</v>
      </c>
      <c r="F36" s="123">
        <f t="shared" si="17"/>
        <v>0</v>
      </c>
      <c r="G36" s="123">
        <f t="shared" si="18"/>
        <v>0</v>
      </c>
      <c r="H36" s="123">
        <f t="shared" si="19"/>
        <v>0</v>
      </c>
      <c r="I36" s="123">
        <f t="shared" si="20"/>
        <v>0</v>
      </c>
      <c r="J36" s="123">
        <f t="shared" si="21"/>
        <v>0</v>
      </c>
      <c r="K36" s="123">
        <f t="shared" si="22"/>
        <v>0</v>
      </c>
      <c r="L36" s="123">
        <f t="shared" si="23"/>
        <v>0</v>
      </c>
      <c r="M36" s="123">
        <f t="shared" si="24"/>
        <v>0</v>
      </c>
      <c r="N36" s="123">
        <f t="shared" si="25"/>
        <v>0</v>
      </c>
      <c r="O36" s="123">
        <f t="shared" si="26"/>
        <v>0</v>
      </c>
      <c r="P36" s="230"/>
      <c r="Q36" s="22"/>
      <c r="R36" s="8"/>
      <c r="S36" s="8"/>
      <c r="T36" s="8"/>
      <c r="U36" s="8"/>
      <c r="V36" s="94"/>
      <c r="W36" s="94"/>
      <c r="X36" s="8"/>
      <c r="Y36" s="8"/>
      <c r="Z36" s="112"/>
      <c r="AA36" s="8"/>
      <c r="AB36" s="8"/>
      <c r="AC36" s="94"/>
      <c r="AD36" s="94"/>
      <c r="AE36" s="8"/>
      <c r="AF36" s="8"/>
      <c r="AG36" s="8"/>
      <c r="AH36" s="8"/>
      <c r="AI36" s="8"/>
      <c r="AJ36" s="94"/>
      <c r="AK36" s="94"/>
      <c r="AL36" s="8"/>
      <c r="AM36" s="8"/>
      <c r="AN36" s="8"/>
      <c r="AO36" s="8"/>
      <c r="AP36" s="8"/>
      <c r="AQ36" s="94"/>
      <c r="AR36" s="94"/>
      <c r="AS36" s="8"/>
    </row>
    <row r="37" spans="1:57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</row>
    <row r="38" spans="1:57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U38" s="290" t="s">
        <v>218</v>
      </c>
      <c r="AV38" s="291"/>
      <c r="AW38" s="291"/>
      <c r="AX38" s="291"/>
      <c r="AY38" s="291"/>
      <c r="AZ38" s="291"/>
      <c r="BA38" s="291"/>
      <c r="BB38" s="291"/>
      <c r="BC38" s="291"/>
      <c r="BD38" s="291"/>
      <c r="BE38" s="292"/>
    </row>
    <row r="39" spans="1:57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230"/>
      <c r="Q39" s="22"/>
      <c r="R39" s="22"/>
      <c r="S39" s="22"/>
      <c r="T39" s="22"/>
      <c r="U39" s="22"/>
      <c r="V39" s="104"/>
      <c r="W39" s="104"/>
      <c r="X39" s="22"/>
      <c r="Y39" s="22"/>
      <c r="Z39" s="114"/>
      <c r="AA39" s="22"/>
      <c r="AB39" s="22"/>
      <c r="AC39" s="104"/>
      <c r="AD39" s="104"/>
      <c r="AE39" s="22"/>
      <c r="AF39" s="22"/>
      <c r="AG39" s="22"/>
      <c r="AH39" s="22"/>
      <c r="AI39" s="22"/>
      <c r="AJ39" s="104"/>
      <c r="AK39" s="104"/>
      <c r="AL39" s="22"/>
      <c r="AM39" s="22"/>
      <c r="AN39" s="22"/>
      <c r="AO39" s="22"/>
      <c r="AP39" s="22"/>
      <c r="AQ39" s="104"/>
      <c r="AR39" s="104"/>
      <c r="AS39" s="22"/>
      <c r="AU39" s="168" t="s">
        <v>194</v>
      </c>
      <c r="AV39" s="78" t="s">
        <v>195</v>
      </c>
      <c r="AW39" s="12" t="s">
        <v>196</v>
      </c>
      <c r="AX39" s="79" t="s">
        <v>197</v>
      </c>
      <c r="AY39" s="10" t="s">
        <v>198</v>
      </c>
      <c r="AZ39" s="80" t="s">
        <v>199</v>
      </c>
      <c r="BA39" s="11" t="s">
        <v>200</v>
      </c>
      <c r="BB39" s="81" t="s">
        <v>201</v>
      </c>
      <c r="BC39" s="82" t="s">
        <v>202</v>
      </c>
      <c r="BD39" s="83" t="s">
        <v>203</v>
      </c>
      <c r="BE39" s="16" t="s">
        <v>205</v>
      </c>
    </row>
    <row r="40" spans="1:57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230"/>
      <c r="Q40" s="22"/>
      <c r="R40" s="22"/>
      <c r="S40" s="22"/>
      <c r="T40" s="22"/>
      <c r="U40" s="22"/>
      <c r="V40" s="104"/>
      <c r="W40" s="104"/>
      <c r="X40" s="22"/>
      <c r="Y40" s="22"/>
      <c r="Z40" s="114"/>
      <c r="AA40" s="22"/>
      <c r="AB40" s="22"/>
      <c r="AC40" s="104"/>
      <c r="AD40" s="104"/>
      <c r="AE40" s="22"/>
      <c r="AF40" s="22"/>
      <c r="AG40" s="22"/>
      <c r="AH40" s="22"/>
      <c r="AI40" s="22"/>
      <c r="AJ40" s="104"/>
      <c r="AK40" s="104"/>
      <c r="AL40" s="22"/>
      <c r="AM40" s="22"/>
      <c r="AN40" s="22"/>
      <c r="AO40" s="22"/>
      <c r="AP40" s="22"/>
      <c r="AQ40" s="104"/>
      <c r="AR40" s="104"/>
      <c r="AS40" s="22"/>
      <c r="AT40" s="19"/>
      <c r="AU40" s="19">
        <f>COUNTIF(P39:AS49,"p")</f>
        <v>0</v>
      </c>
      <c r="AV40" s="19">
        <f>COUNTIF(P39:AS49,"pc")</f>
        <v>0</v>
      </c>
      <c r="AW40" s="19">
        <f>COUNTIF(P39:AS49,"f")</f>
        <v>0</v>
      </c>
      <c r="AX40" s="19">
        <f>COUNTIF(P39:AS49,"ast")</f>
        <v>0</v>
      </c>
      <c r="AY40" s="19">
        <f>COUNTIF(P39:AS49,"cA")</f>
        <v>0</v>
      </c>
      <c r="AZ40" s="19">
        <f>COUNTIF(P39:AS49,"rtt")</f>
        <v>0</v>
      </c>
      <c r="BA40" s="19">
        <f>COUNTIF(P39:AS49,"cex")</f>
        <v>0</v>
      </c>
      <c r="BB40" s="19">
        <f>COUNTIF(P39:AS49,"RES")</f>
        <v>0</v>
      </c>
      <c r="BC40" s="19">
        <f>COUNTIF(P39:AS49,"MA")</f>
        <v>0</v>
      </c>
      <c r="BD40" s="19">
        <f>COUNTIF(P39:AS49,"at")</f>
        <v>0</v>
      </c>
      <c r="BE40" s="19">
        <f>COUNTIF(P39:AS49,"TP")</f>
        <v>0</v>
      </c>
    </row>
    <row r="41" spans="1:57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230"/>
      <c r="Q41" s="22"/>
      <c r="R41" s="22"/>
      <c r="S41" s="22"/>
      <c r="T41" s="22"/>
      <c r="U41" s="22"/>
      <c r="V41" s="104"/>
      <c r="W41" s="104"/>
      <c r="X41" s="22"/>
      <c r="Y41" s="22"/>
      <c r="Z41" s="114"/>
      <c r="AA41" s="22"/>
      <c r="AB41" s="22"/>
      <c r="AC41" s="104"/>
      <c r="AD41" s="104"/>
      <c r="AE41" s="22"/>
      <c r="AF41" s="22"/>
      <c r="AG41" s="22"/>
      <c r="AH41" s="22"/>
      <c r="AI41" s="22"/>
      <c r="AJ41" s="104"/>
      <c r="AK41" s="104"/>
      <c r="AL41" s="22"/>
      <c r="AM41" s="22"/>
      <c r="AN41" s="22"/>
      <c r="AO41" s="22"/>
      <c r="AP41" s="22"/>
      <c r="AQ41" s="104"/>
      <c r="AR41" s="104"/>
      <c r="AS41" s="22"/>
    </row>
    <row r="42" spans="1:57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230"/>
      <c r="Q42" s="22"/>
      <c r="R42" s="22"/>
      <c r="S42" s="22"/>
      <c r="T42" s="22"/>
      <c r="U42" s="22"/>
      <c r="V42" s="104"/>
      <c r="W42" s="104"/>
      <c r="X42" s="22"/>
      <c r="Y42" s="22"/>
      <c r="Z42" s="114"/>
      <c r="AA42" s="22"/>
      <c r="AB42" s="22"/>
      <c r="AC42" s="104"/>
      <c r="AD42" s="104"/>
      <c r="AE42" s="22"/>
      <c r="AF42" s="22"/>
      <c r="AG42" s="22"/>
      <c r="AH42" s="22"/>
      <c r="AI42" s="22"/>
      <c r="AJ42" s="104"/>
      <c r="AK42" s="104"/>
      <c r="AL42" s="22"/>
      <c r="AM42" s="22"/>
      <c r="AN42" s="22"/>
      <c r="AO42" s="22"/>
      <c r="AP42" s="22"/>
      <c r="AQ42" s="104"/>
      <c r="AR42" s="104"/>
      <c r="AS42" s="22"/>
      <c r="AT42" s="19"/>
    </row>
    <row r="43" spans="1:57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230"/>
      <c r="Q43" s="22"/>
      <c r="R43" s="22"/>
      <c r="S43" s="22"/>
      <c r="T43" s="22"/>
      <c r="U43" s="22"/>
      <c r="V43" s="104"/>
      <c r="W43" s="104"/>
      <c r="X43" s="22"/>
      <c r="Y43" s="22"/>
      <c r="Z43" s="114"/>
      <c r="AA43" s="22"/>
      <c r="AB43" s="22"/>
      <c r="AC43" s="104"/>
      <c r="AD43" s="104"/>
      <c r="AE43" s="22"/>
      <c r="AF43" s="22"/>
      <c r="AG43" s="22"/>
      <c r="AH43" s="22"/>
      <c r="AI43" s="22"/>
      <c r="AJ43" s="104"/>
      <c r="AK43" s="104"/>
      <c r="AL43" s="22"/>
      <c r="AM43" s="22"/>
      <c r="AN43" s="22"/>
      <c r="AO43" s="22"/>
      <c r="AP43" s="22"/>
      <c r="AQ43" s="104"/>
      <c r="AR43" s="104"/>
      <c r="AS43" s="22"/>
    </row>
    <row r="44" spans="1:57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230"/>
      <c r="Q44" s="22"/>
      <c r="R44" s="22"/>
      <c r="S44" s="22"/>
      <c r="T44" s="22"/>
      <c r="U44" s="22"/>
      <c r="V44" s="104"/>
      <c r="W44" s="104"/>
      <c r="X44" s="22"/>
      <c r="Y44" s="22"/>
      <c r="Z44" s="114"/>
      <c r="AA44" s="22"/>
      <c r="AB44" s="22"/>
      <c r="AC44" s="104"/>
      <c r="AD44" s="104"/>
      <c r="AE44" s="22"/>
      <c r="AF44" s="22"/>
      <c r="AG44" s="22"/>
      <c r="AH44" s="22"/>
      <c r="AI44" s="22"/>
      <c r="AJ44" s="104"/>
      <c r="AK44" s="104"/>
      <c r="AL44" s="22"/>
      <c r="AM44" s="22"/>
      <c r="AN44" s="22"/>
      <c r="AO44" s="22"/>
      <c r="AP44" s="22"/>
      <c r="AQ44" s="104"/>
      <c r="AR44" s="104"/>
      <c r="AS44" s="22"/>
    </row>
    <row r="45" spans="1:57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0</v>
      </c>
      <c r="N45" s="20">
        <f t="shared" si="37"/>
        <v>0</v>
      </c>
      <c r="O45" s="92">
        <f t="shared" si="38"/>
        <v>0</v>
      </c>
      <c r="P45" s="230"/>
      <c r="Q45" s="22"/>
      <c r="R45" s="22"/>
      <c r="S45" s="22"/>
      <c r="T45" s="22"/>
      <c r="U45" s="22"/>
      <c r="V45" s="104"/>
      <c r="W45" s="104"/>
      <c r="X45" s="22"/>
      <c r="Y45" s="22"/>
      <c r="Z45" s="114"/>
      <c r="AA45" s="22"/>
      <c r="AB45" s="22"/>
      <c r="AC45" s="104"/>
      <c r="AD45" s="104"/>
      <c r="AE45" s="22"/>
      <c r="AF45" s="22"/>
      <c r="AG45" s="22"/>
      <c r="AH45" s="22"/>
      <c r="AI45" s="22"/>
      <c r="AJ45" s="104"/>
      <c r="AK45" s="104"/>
      <c r="AL45" s="22"/>
      <c r="AM45" s="22"/>
      <c r="AN45" s="22"/>
      <c r="AO45" s="22"/>
      <c r="AP45" s="22"/>
      <c r="AQ45" s="104"/>
      <c r="AR45" s="104"/>
      <c r="AS45" s="22"/>
    </row>
    <row r="46" spans="1:57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230"/>
      <c r="Q46" s="22"/>
      <c r="R46" s="22"/>
      <c r="S46" s="22"/>
      <c r="T46" s="22"/>
      <c r="U46" s="22"/>
      <c r="V46" s="104"/>
      <c r="W46" s="104"/>
      <c r="X46" s="22"/>
      <c r="Y46" s="22"/>
      <c r="Z46" s="114"/>
      <c r="AA46" s="22"/>
      <c r="AB46" s="22"/>
      <c r="AC46" s="104"/>
      <c r="AD46" s="104"/>
      <c r="AE46" s="22"/>
      <c r="AF46" s="22"/>
      <c r="AG46" s="22"/>
      <c r="AH46" s="22"/>
      <c r="AI46" s="22"/>
      <c r="AJ46" s="104"/>
      <c r="AK46" s="104"/>
      <c r="AL46" s="22"/>
      <c r="AM46" s="22"/>
      <c r="AN46" s="22"/>
      <c r="AO46" s="22"/>
      <c r="AP46" s="22"/>
      <c r="AQ46" s="104"/>
      <c r="AR46" s="104"/>
      <c r="AS46" s="22"/>
    </row>
    <row r="47" spans="1:57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230"/>
      <c r="Q47" s="22"/>
      <c r="R47" s="22"/>
      <c r="S47" s="22"/>
      <c r="T47" s="22"/>
      <c r="U47" s="22"/>
      <c r="V47" s="104"/>
      <c r="W47" s="104"/>
      <c r="X47" s="22"/>
      <c r="Y47" s="22"/>
      <c r="Z47" s="114"/>
      <c r="AA47" s="22"/>
      <c r="AB47" s="22"/>
      <c r="AC47" s="104"/>
      <c r="AD47" s="104"/>
      <c r="AE47" s="22"/>
      <c r="AF47" s="22"/>
      <c r="AG47" s="22"/>
      <c r="AH47" s="22"/>
      <c r="AI47" s="22"/>
      <c r="AJ47" s="104"/>
      <c r="AK47" s="104"/>
      <c r="AL47" s="22"/>
      <c r="AM47" s="22"/>
      <c r="AN47" s="22"/>
      <c r="AO47" s="22"/>
      <c r="AP47" s="22"/>
      <c r="AQ47" s="104"/>
      <c r="AR47" s="104"/>
      <c r="AS47" s="22"/>
    </row>
    <row r="48" spans="1:57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230"/>
      <c r="Q48" s="22"/>
      <c r="R48" s="22"/>
      <c r="S48" s="22"/>
      <c r="T48" s="22"/>
      <c r="U48" s="22"/>
      <c r="V48" s="104"/>
      <c r="W48" s="104"/>
      <c r="X48" s="22"/>
      <c r="Y48" s="22"/>
      <c r="Z48" s="114"/>
      <c r="AA48" s="22"/>
      <c r="AB48" s="22"/>
      <c r="AC48" s="104"/>
      <c r="AD48" s="104"/>
      <c r="AE48" s="22"/>
      <c r="AF48" s="22"/>
      <c r="AG48" s="22"/>
      <c r="AH48" s="22"/>
      <c r="AI48" s="22"/>
      <c r="AJ48" s="104"/>
      <c r="AK48" s="104"/>
      <c r="AL48" s="22"/>
      <c r="AM48" s="22"/>
      <c r="AN48" s="22"/>
      <c r="AO48" s="22"/>
      <c r="AP48" s="22"/>
      <c r="AQ48" s="104"/>
      <c r="AR48" s="104"/>
      <c r="AS48" s="22"/>
    </row>
    <row r="49" spans="1:57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134">
        <f t="shared" si="27"/>
        <v>0</v>
      </c>
      <c r="E49" s="123">
        <f t="shared" si="28"/>
        <v>0</v>
      </c>
      <c r="F49" s="123">
        <f t="shared" si="29"/>
        <v>0</v>
      </c>
      <c r="G49" s="123">
        <f t="shared" si="30"/>
        <v>0</v>
      </c>
      <c r="H49" s="123">
        <f t="shared" si="31"/>
        <v>0</v>
      </c>
      <c r="I49" s="123">
        <f t="shared" si="32"/>
        <v>0</v>
      </c>
      <c r="J49" s="123">
        <f t="shared" si="33"/>
        <v>0</v>
      </c>
      <c r="K49" s="123">
        <f t="shared" si="34"/>
        <v>0</v>
      </c>
      <c r="L49" s="123">
        <f t="shared" si="35"/>
        <v>0</v>
      </c>
      <c r="M49" s="123">
        <f t="shared" si="36"/>
        <v>0</v>
      </c>
      <c r="N49" s="123">
        <f t="shared" si="37"/>
        <v>0</v>
      </c>
      <c r="O49" s="140">
        <f t="shared" si="38"/>
        <v>0</v>
      </c>
      <c r="P49" s="230"/>
      <c r="Q49" s="22"/>
      <c r="R49" s="22"/>
      <c r="S49" s="22"/>
      <c r="T49" s="22"/>
      <c r="U49" s="22"/>
      <c r="V49" s="104"/>
      <c r="W49" s="104"/>
      <c r="X49" s="22"/>
      <c r="Y49" s="22"/>
      <c r="Z49" s="114"/>
      <c r="AA49" s="22"/>
      <c r="AB49" s="22"/>
      <c r="AC49" s="104"/>
      <c r="AD49" s="104"/>
      <c r="AE49" s="22"/>
      <c r="AF49" s="22"/>
      <c r="AG49" s="22"/>
      <c r="AH49" s="22"/>
      <c r="AI49" s="22"/>
      <c r="AJ49" s="104"/>
      <c r="AK49" s="104"/>
      <c r="AL49" s="22"/>
      <c r="AM49" s="22"/>
      <c r="AN49" s="22"/>
      <c r="AO49" s="22"/>
      <c r="AP49" s="22"/>
      <c r="AQ49" s="104"/>
      <c r="AR49" s="104"/>
      <c r="AS49" s="22"/>
    </row>
    <row r="50" spans="1:57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177"/>
      <c r="AU50" s="290" t="s">
        <v>219</v>
      </c>
      <c r="AV50" s="291"/>
      <c r="AW50" s="291"/>
      <c r="AX50" s="291"/>
      <c r="AY50" s="291"/>
      <c r="AZ50" s="291"/>
      <c r="BA50" s="291"/>
      <c r="BB50" s="291"/>
      <c r="BC50" s="291"/>
      <c r="BD50" s="291"/>
      <c r="BE50" s="292"/>
    </row>
    <row r="51" spans="1:57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103">
        <f t="shared" ref="D51:D62" si="39">COUNTIF(P51:AS51,"p")</f>
        <v>0</v>
      </c>
      <c r="E51" s="22">
        <f t="shared" ref="E51:E62" si="40">COUNTIF(P51:AS51,"PC")</f>
        <v>0</v>
      </c>
      <c r="F51" s="22">
        <f t="shared" ref="F51:F62" si="41">COUNTIF(P51:AS51,"f")</f>
        <v>0</v>
      </c>
      <c r="G51" s="22">
        <f t="shared" ref="G51:G62" si="42">COUNTIF(P51:AS51,"ast")</f>
        <v>0</v>
      </c>
      <c r="H51" s="22">
        <f t="shared" ref="H51:H62" si="43">COUNTIF(P51:AS51,"cA")</f>
        <v>0</v>
      </c>
      <c r="I51" s="22">
        <f t="shared" ref="I51:I62" si="44">COUNTIF(P51:AS51,"rtt")</f>
        <v>0</v>
      </c>
      <c r="J51" s="22">
        <f t="shared" ref="J51:J62" si="45">COUNTIF(P51:AS51,"cex")</f>
        <v>0</v>
      </c>
      <c r="K51" s="22">
        <f t="shared" ref="K51:K62" si="46">COUNTIF(P51:AS51,"res")</f>
        <v>0</v>
      </c>
      <c r="L51" s="22">
        <f t="shared" ref="L51:L62" si="47">COUNTIF(P51:AS51,"mA")</f>
        <v>0</v>
      </c>
      <c r="M51" s="22">
        <f t="shared" ref="M51:M62" si="48">COUNTIF(P51:AS51,"at")</f>
        <v>0</v>
      </c>
      <c r="N51" s="22">
        <f t="shared" ref="N51:N62" si="49">COUNTIF(P51:AS51,"TAD")</f>
        <v>0</v>
      </c>
      <c r="O51" s="106">
        <f t="shared" ref="O51:O62" si="50">COUNTIF(P51:AS51,"TP")</f>
        <v>0</v>
      </c>
      <c r="P51" s="230"/>
      <c r="Q51" s="22"/>
      <c r="R51" s="22"/>
      <c r="S51" s="22"/>
      <c r="T51" s="22"/>
      <c r="U51" s="22"/>
      <c r="V51" s="104"/>
      <c r="W51" s="104"/>
      <c r="X51" s="22"/>
      <c r="Y51" s="22"/>
      <c r="Z51" s="114"/>
      <c r="AA51" s="22"/>
      <c r="AB51" s="22"/>
      <c r="AC51" s="104"/>
      <c r="AD51" s="104"/>
      <c r="AE51" s="22"/>
      <c r="AF51" s="22"/>
      <c r="AG51" s="22"/>
      <c r="AH51" s="22"/>
      <c r="AI51" s="22"/>
      <c r="AJ51" s="104"/>
      <c r="AK51" s="104"/>
      <c r="AL51" s="22"/>
      <c r="AM51" s="22"/>
      <c r="AN51" s="22"/>
      <c r="AO51" s="22"/>
      <c r="AP51" s="22"/>
      <c r="AQ51" s="104"/>
      <c r="AR51" s="104"/>
      <c r="AS51" s="22"/>
      <c r="AU51" s="168" t="s">
        <v>194</v>
      </c>
      <c r="AV51" s="78" t="s">
        <v>195</v>
      </c>
      <c r="AW51" s="12" t="s">
        <v>196</v>
      </c>
      <c r="AX51" s="79" t="s">
        <v>197</v>
      </c>
      <c r="AY51" s="10" t="s">
        <v>198</v>
      </c>
      <c r="AZ51" s="80" t="s">
        <v>199</v>
      </c>
      <c r="BA51" s="11" t="s">
        <v>200</v>
      </c>
      <c r="BB51" s="81" t="s">
        <v>201</v>
      </c>
      <c r="BC51" s="82" t="s">
        <v>202</v>
      </c>
      <c r="BD51" s="83" t="s">
        <v>203</v>
      </c>
      <c r="BE51" s="16" t="s">
        <v>205</v>
      </c>
    </row>
    <row r="52" spans="1:57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230"/>
      <c r="Q52" s="22"/>
      <c r="R52" s="22"/>
      <c r="S52" s="22"/>
      <c r="T52" s="22"/>
      <c r="U52" s="22"/>
      <c r="V52" s="104"/>
      <c r="W52" s="104"/>
      <c r="X52" s="22"/>
      <c r="Y52" s="22"/>
      <c r="Z52" s="114"/>
      <c r="AA52" s="22"/>
      <c r="AB52" s="22"/>
      <c r="AC52" s="104"/>
      <c r="AD52" s="104"/>
      <c r="AE52" s="22"/>
      <c r="AF52" s="22"/>
      <c r="AG52" s="22"/>
      <c r="AH52" s="22"/>
      <c r="AI52" s="22"/>
      <c r="AJ52" s="104"/>
      <c r="AK52" s="104"/>
      <c r="AL52" s="22"/>
      <c r="AM52" s="22"/>
      <c r="AN52" s="22"/>
      <c r="AO52" s="22"/>
      <c r="AP52" s="22"/>
      <c r="AQ52" s="104"/>
      <c r="AR52" s="104"/>
      <c r="AS52" s="22"/>
      <c r="AT52" s="19"/>
      <c r="AU52" s="19">
        <f>COUNTIF(P51:AS62,"P")</f>
        <v>0</v>
      </c>
      <c r="AV52" s="19">
        <f>COUNTIF(P51:AS62,"PC")</f>
        <v>0</v>
      </c>
      <c r="AW52" s="19">
        <f>COUNTIF(P51:AS62,"F")</f>
        <v>0</v>
      </c>
      <c r="AX52" s="19">
        <f>COUNTIF(P51:AS62,"AST")</f>
        <v>0</v>
      </c>
      <c r="AY52" s="19">
        <f>COUNTIF(P51:AS62,"CA")</f>
        <v>0</v>
      </c>
      <c r="AZ52" s="19">
        <f>COUNTIF(P51:AS62,"RTT")</f>
        <v>0</v>
      </c>
      <c r="BA52" s="19">
        <f>COUNTIF(P51:AS62,"CEX")</f>
        <v>0</v>
      </c>
      <c r="BB52" s="19">
        <f>COUNTIF(P51:AS62,"RES")</f>
        <v>0</v>
      </c>
      <c r="BC52" s="19">
        <f>COUNTIF(P51:AS62,"MA")</f>
        <v>0</v>
      </c>
      <c r="BD52" s="19">
        <f>COUNTIF(P51:AS62,"AT")</f>
        <v>0</v>
      </c>
      <c r="BE52" s="19">
        <f>COUNTIF(P51:AS62,"TP")</f>
        <v>0</v>
      </c>
    </row>
    <row r="53" spans="1:57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230"/>
      <c r="Q53" s="22"/>
      <c r="R53" s="22"/>
      <c r="S53" s="22"/>
      <c r="T53" s="22"/>
      <c r="U53" s="22"/>
      <c r="V53" s="104"/>
      <c r="W53" s="104"/>
      <c r="X53" s="22"/>
      <c r="Y53" s="22"/>
      <c r="Z53" s="114"/>
      <c r="AA53" s="22"/>
      <c r="AB53" s="22"/>
      <c r="AC53" s="104"/>
      <c r="AD53" s="104"/>
      <c r="AE53" s="22"/>
      <c r="AF53" s="22"/>
      <c r="AG53" s="22"/>
      <c r="AH53" s="22"/>
      <c r="AI53" s="22"/>
      <c r="AJ53" s="104"/>
      <c r="AK53" s="104"/>
      <c r="AL53" s="22"/>
      <c r="AM53" s="22"/>
      <c r="AN53" s="22"/>
      <c r="AO53" s="22"/>
      <c r="AP53" s="22"/>
      <c r="AQ53" s="104"/>
      <c r="AR53" s="104"/>
      <c r="AS53" s="22"/>
    </row>
    <row r="54" spans="1:57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230"/>
      <c r="Q54" s="22"/>
      <c r="R54" s="22"/>
      <c r="S54" s="22"/>
      <c r="T54" s="22"/>
      <c r="U54" s="22"/>
      <c r="V54" s="104"/>
      <c r="W54" s="104"/>
      <c r="X54" s="22"/>
      <c r="Y54" s="22"/>
      <c r="Z54" s="114"/>
      <c r="AA54" s="22"/>
      <c r="AB54" s="22"/>
      <c r="AC54" s="104"/>
      <c r="AD54" s="104"/>
      <c r="AE54" s="22"/>
      <c r="AF54" s="22"/>
      <c r="AG54" s="22"/>
      <c r="AH54" s="22"/>
      <c r="AI54" s="22"/>
      <c r="AJ54" s="104"/>
      <c r="AK54" s="104"/>
      <c r="AL54" s="22"/>
      <c r="AM54" s="22"/>
      <c r="AN54" s="22"/>
      <c r="AO54" s="22"/>
      <c r="AP54" s="22"/>
      <c r="AQ54" s="104"/>
      <c r="AR54" s="104"/>
      <c r="AS54" s="22"/>
    </row>
    <row r="55" spans="1:57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230"/>
      <c r="Q55" s="22"/>
      <c r="R55" s="22"/>
      <c r="S55" s="22"/>
      <c r="T55" s="22"/>
      <c r="U55" s="22"/>
      <c r="V55" s="104"/>
      <c r="W55" s="104"/>
      <c r="X55" s="22"/>
      <c r="Y55" s="22"/>
      <c r="Z55" s="114"/>
      <c r="AA55" s="22"/>
      <c r="AB55" s="22"/>
      <c r="AC55" s="104"/>
      <c r="AD55" s="104"/>
      <c r="AE55" s="22"/>
      <c r="AF55" s="22"/>
      <c r="AG55" s="22"/>
      <c r="AH55" s="22"/>
      <c r="AI55" s="22"/>
      <c r="AJ55" s="104"/>
      <c r="AK55" s="104"/>
      <c r="AL55" s="22"/>
      <c r="AM55" s="22"/>
      <c r="AN55" s="22"/>
      <c r="AO55" s="22"/>
      <c r="AP55" s="22"/>
      <c r="AQ55" s="104"/>
      <c r="AR55" s="104"/>
      <c r="AS55" s="22"/>
    </row>
    <row r="56" spans="1:57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230"/>
      <c r="Q56" s="22"/>
      <c r="R56" s="22"/>
      <c r="S56" s="22"/>
      <c r="T56" s="22"/>
      <c r="U56" s="22"/>
      <c r="V56" s="104"/>
      <c r="W56" s="104"/>
      <c r="X56" s="22"/>
      <c r="Y56" s="22"/>
      <c r="Z56" s="114"/>
      <c r="AA56" s="22"/>
      <c r="AB56" s="22"/>
      <c r="AC56" s="104"/>
      <c r="AD56" s="104"/>
      <c r="AE56" s="22"/>
      <c r="AF56" s="22"/>
      <c r="AG56" s="22"/>
      <c r="AH56" s="22"/>
      <c r="AI56" s="22"/>
      <c r="AJ56" s="104"/>
      <c r="AK56" s="104"/>
      <c r="AL56" s="22"/>
      <c r="AM56" s="22"/>
      <c r="AN56" s="22"/>
      <c r="AO56" s="22"/>
      <c r="AP56" s="22"/>
      <c r="AQ56" s="104"/>
      <c r="AR56" s="104"/>
      <c r="AS56" s="22"/>
    </row>
    <row r="57" spans="1:57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230"/>
      <c r="Q57" s="22"/>
      <c r="R57" s="22"/>
      <c r="S57" s="22"/>
      <c r="T57" s="22"/>
      <c r="U57" s="22"/>
      <c r="V57" s="104"/>
      <c r="W57" s="104"/>
      <c r="X57" s="22"/>
      <c r="Y57" s="22"/>
      <c r="Z57" s="114"/>
      <c r="AA57" s="22"/>
      <c r="AB57" s="22"/>
      <c r="AC57" s="104"/>
      <c r="AD57" s="104"/>
      <c r="AE57" s="22"/>
      <c r="AF57" s="22"/>
      <c r="AG57" s="22"/>
      <c r="AH57" s="22"/>
      <c r="AI57" s="22"/>
      <c r="AJ57" s="104"/>
      <c r="AK57" s="104"/>
      <c r="AL57" s="22"/>
      <c r="AM57" s="22"/>
      <c r="AN57" s="22"/>
      <c r="AO57" s="22"/>
      <c r="AP57" s="22"/>
      <c r="AQ57" s="104"/>
      <c r="AR57" s="104"/>
      <c r="AS57" s="22"/>
      <c r="AT57" s="19"/>
    </row>
    <row r="58" spans="1:57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230"/>
      <c r="Q58" s="22"/>
      <c r="R58" s="22"/>
      <c r="S58" s="22"/>
      <c r="T58" s="22"/>
      <c r="U58" s="22"/>
      <c r="V58" s="104"/>
      <c r="W58" s="104"/>
      <c r="X58" s="22"/>
      <c r="Y58" s="22"/>
      <c r="Z58" s="114"/>
      <c r="AA58" s="22"/>
      <c r="AB58" s="22"/>
      <c r="AC58" s="104"/>
      <c r="AD58" s="104"/>
      <c r="AE58" s="22"/>
      <c r="AF58" s="22"/>
      <c r="AG58" s="22"/>
      <c r="AH58" s="22"/>
      <c r="AI58" s="22"/>
      <c r="AJ58" s="104"/>
      <c r="AK58" s="104"/>
      <c r="AL58" s="22"/>
      <c r="AM58" s="22"/>
      <c r="AN58" s="22"/>
      <c r="AO58" s="22"/>
      <c r="AP58" s="22"/>
      <c r="AQ58" s="104"/>
      <c r="AR58" s="104"/>
      <c r="AS58" s="22"/>
    </row>
    <row r="59" spans="1:57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230"/>
      <c r="Q59" s="22"/>
      <c r="R59" s="22"/>
      <c r="S59" s="22"/>
      <c r="T59" s="22"/>
      <c r="U59" s="22"/>
      <c r="V59" s="104"/>
      <c r="W59" s="104"/>
      <c r="X59" s="22"/>
      <c r="Y59" s="22"/>
      <c r="Z59" s="114"/>
      <c r="AA59" s="22"/>
      <c r="AB59" s="22"/>
      <c r="AC59" s="104"/>
      <c r="AD59" s="104"/>
      <c r="AE59" s="22"/>
      <c r="AF59" s="22"/>
      <c r="AG59" s="22"/>
      <c r="AH59" s="22"/>
      <c r="AI59" s="22"/>
      <c r="AJ59" s="104"/>
      <c r="AK59" s="104"/>
      <c r="AL59" s="22"/>
      <c r="AM59" s="22"/>
      <c r="AN59" s="22"/>
      <c r="AO59" s="22"/>
      <c r="AP59" s="22"/>
      <c r="AQ59" s="104"/>
      <c r="AR59" s="104"/>
      <c r="AS59" s="22"/>
    </row>
    <row r="60" spans="1:57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230"/>
      <c r="Q60" s="22"/>
      <c r="R60" s="22"/>
      <c r="S60" s="22"/>
      <c r="T60" s="22"/>
      <c r="U60" s="22"/>
      <c r="V60" s="104"/>
      <c r="W60" s="104"/>
      <c r="X60" s="22"/>
      <c r="Y60" s="22"/>
      <c r="Z60" s="114"/>
      <c r="AA60" s="22"/>
      <c r="AB60" s="22"/>
      <c r="AC60" s="104"/>
      <c r="AD60" s="104"/>
      <c r="AE60" s="22"/>
      <c r="AF60" s="22"/>
      <c r="AG60" s="22"/>
      <c r="AH60" s="22"/>
      <c r="AI60" s="22"/>
      <c r="AJ60" s="104"/>
      <c r="AK60" s="104"/>
      <c r="AL60" s="22"/>
      <c r="AM60" s="22"/>
      <c r="AN60" s="22"/>
      <c r="AO60" s="22"/>
      <c r="AP60" s="22"/>
      <c r="AQ60" s="104"/>
      <c r="AR60" s="104"/>
      <c r="AS60" s="22"/>
    </row>
    <row r="61" spans="1:57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230"/>
      <c r="Q61" s="22"/>
      <c r="R61" s="22"/>
      <c r="S61" s="22"/>
      <c r="T61" s="22"/>
      <c r="U61" s="22"/>
      <c r="V61" s="104"/>
      <c r="W61" s="104"/>
      <c r="X61" s="22"/>
      <c r="Y61" s="22"/>
      <c r="Z61" s="114"/>
      <c r="AA61" s="22"/>
      <c r="AB61" s="22"/>
      <c r="AC61" s="104"/>
      <c r="AD61" s="104"/>
      <c r="AE61" s="22"/>
      <c r="AF61" s="22"/>
      <c r="AG61" s="22"/>
      <c r="AH61" s="22"/>
      <c r="AI61" s="22"/>
      <c r="AJ61" s="104"/>
      <c r="AK61" s="104"/>
      <c r="AL61" s="22"/>
      <c r="AM61" s="22"/>
      <c r="AN61" s="22"/>
      <c r="AO61" s="22"/>
      <c r="AP61" s="22"/>
      <c r="AQ61" s="104"/>
      <c r="AR61" s="104"/>
      <c r="AS61" s="22"/>
    </row>
    <row r="62" spans="1:57" ht="20.100000000000001" customHeight="1" thickBot="1" x14ac:dyDescent="0.3">
      <c r="A62" s="174" t="str">
        <f>IFERROR(IF(config!E54="","",config!E54),"")</f>
        <v>N019975</v>
      </c>
      <c r="B62" s="174" t="str">
        <f>IFERROR(IF(config!F54="","",config!F54),"")</f>
        <v>VILLENEUVE</v>
      </c>
      <c r="C62" s="175" t="str">
        <f>IFERROR(IF(config!G54="","",config!G54),"")</f>
        <v>Fabrice</v>
      </c>
      <c r="D62" s="134">
        <f t="shared" si="39"/>
        <v>0</v>
      </c>
      <c r="E62" s="123">
        <f t="shared" si="40"/>
        <v>0</v>
      </c>
      <c r="F62" s="123">
        <f t="shared" si="41"/>
        <v>0</v>
      </c>
      <c r="G62" s="123">
        <f t="shared" si="42"/>
        <v>0</v>
      </c>
      <c r="H62" s="123">
        <f t="shared" si="43"/>
        <v>0</v>
      </c>
      <c r="I62" s="123">
        <f t="shared" si="44"/>
        <v>0</v>
      </c>
      <c r="J62" s="123">
        <f t="shared" si="45"/>
        <v>0</v>
      </c>
      <c r="K62" s="123">
        <f t="shared" si="46"/>
        <v>0</v>
      </c>
      <c r="L62" s="123">
        <f t="shared" si="47"/>
        <v>0</v>
      </c>
      <c r="M62" s="123">
        <f t="shared" si="48"/>
        <v>0</v>
      </c>
      <c r="N62" s="123">
        <f t="shared" si="49"/>
        <v>0</v>
      </c>
      <c r="O62" s="140">
        <f t="shared" si="50"/>
        <v>0</v>
      </c>
      <c r="P62" s="230"/>
      <c r="Q62" s="22"/>
      <c r="R62" s="22"/>
      <c r="S62" s="22"/>
      <c r="T62" s="22"/>
      <c r="U62" s="22"/>
      <c r="V62" s="104"/>
      <c r="W62" s="104"/>
      <c r="X62" s="22"/>
      <c r="Y62" s="22"/>
      <c r="Z62" s="114"/>
      <c r="AA62" s="22"/>
      <c r="AB62" s="22"/>
      <c r="AC62" s="104"/>
      <c r="AD62" s="104"/>
      <c r="AE62" s="22"/>
      <c r="AF62" s="22"/>
      <c r="AG62" s="22"/>
      <c r="AH62" s="22"/>
      <c r="AI62" s="22"/>
      <c r="AJ62" s="104"/>
      <c r="AK62" s="104"/>
      <c r="AL62" s="22"/>
      <c r="AM62" s="22"/>
      <c r="AN62" s="22"/>
      <c r="AO62" s="22"/>
      <c r="AP62" s="22"/>
      <c r="AQ62" s="104"/>
      <c r="AR62" s="104"/>
      <c r="AS62" s="22"/>
    </row>
    <row r="63" spans="1:57" ht="20.100000000000001" customHeight="1" thickBot="1" x14ac:dyDescent="0.3">
      <c r="A63" s="302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U63" s="290" t="s">
        <v>221</v>
      </c>
      <c r="AV63" s="291"/>
      <c r="AW63" s="291"/>
      <c r="AX63" s="291"/>
      <c r="AY63" s="291"/>
      <c r="AZ63" s="291"/>
      <c r="BA63" s="291"/>
      <c r="BB63" s="291"/>
      <c r="BC63" s="291"/>
      <c r="BD63" s="291"/>
      <c r="BE63" s="292"/>
    </row>
    <row r="64" spans="1:57" ht="20.100000000000001" customHeight="1" thickBot="1" x14ac:dyDescent="0.3">
      <c r="A64" s="171" t="str">
        <f>IFERROR(IF(config!E56="","",config!E56),"")</f>
        <v>COMMUN - MAGASINIER ET AGENTS ENTRETIEN</v>
      </c>
      <c r="B64" s="172" t="str">
        <f>IFERROR(IF(config!F56="","",config!F56),"")</f>
        <v/>
      </c>
      <c r="C64" s="173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92">
        <f t="shared" ref="O64:O69" si="62">COUNTIF(P64:AS64,"TP")</f>
        <v>0</v>
      </c>
      <c r="P64" s="230"/>
      <c r="Q64" s="22"/>
      <c r="R64" s="22"/>
      <c r="S64" s="22"/>
      <c r="T64" s="22"/>
      <c r="U64" s="22"/>
      <c r="V64" s="104"/>
      <c r="W64" s="104"/>
      <c r="X64" s="22"/>
      <c r="Y64" s="22"/>
      <c r="Z64" s="114"/>
      <c r="AA64" s="22"/>
      <c r="AB64" s="22"/>
      <c r="AC64" s="104"/>
      <c r="AD64" s="104"/>
      <c r="AE64" s="22"/>
      <c r="AF64" s="22"/>
      <c r="AG64" s="22"/>
      <c r="AH64" s="22"/>
      <c r="AI64" s="22"/>
      <c r="AJ64" s="104"/>
      <c r="AK64" s="104"/>
      <c r="AL64" s="22"/>
      <c r="AM64" s="22"/>
      <c r="AN64" s="22"/>
      <c r="AO64" s="22"/>
      <c r="AP64" s="22"/>
      <c r="AQ64" s="104"/>
      <c r="AR64" s="104"/>
      <c r="AS64" s="22"/>
      <c r="AU64" s="168" t="s">
        <v>194</v>
      </c>
      <c r="AV64" s="78" t="s">
        <v>195</v>
      </c>
      <c r="AW64" s="12" t="s">
        <v>196</v>
      </c>
      <c r="AX64" s="79" t="s">
        <v>197</v>
      </c>
      <c r="AY64" s="10" t="s">
        <v>198</v>
      </c>
      <c r="AZ64" s="80" t="s">
        <v>199</v>
      </c>
      <c r="BA64" s="11" t="s">
        <v>200</v>
      </c>
      <c r="BB64" s="81" t="s">
        <v>201</v>
      </c>
      <c r="BC64" s="82" t="s">
        <v>202</v>
      </c>
      <c r="BD64" s="83" t="s">
        <v>203</v>
      </c>
      <c r="BE64" s="16" t="s">
        <v>205</v>
      </c>
    </row>
    <row r="65" spans="1:57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92">
        <f t="shared" si="62"/>
        <v>0</v>
      </c>
      <c r="P65" s="230"/>
      <c r="Q65" s="22"/>
      <c r="R65" s="22"/>
      <c r="S65" s="22"/>
      <c r="T65" s="22"/>
      <c r="U65" s="22"/>
      <c r="V65" s="104"/>
      <c r="W65" s="104"/>
      <c r="X65" s="22"/>
      <c r="Y65" s="22"/>
      <c r="Z65" s="114"/>
      <c r="AA65" s="22"/>
      <c r="AB65" s="22"/>
      <c r="AC65" s="104"/>
      <c r="AD65" s="104"/>
      <c r="AE65" s="22"/>
      <c r="AF65" s="22"/>
      <c r="AG65" s="22"/>
      <c r="AH65" s="22"/>
      <c r="AI65" s="22"/>
      <c r="AJ65" s="104"/>
      <c r="AK65" s="104"/>
      <c r="AL65" s="22"/>
      <c r="AM65" s="22"/>
      <c r="AN65" s="22"/>
      <c r="AO65" s="22"/>
      <c r="AP65" s="22"/>
      <c r="AQ65" s="104"/>
      <c r="AR65" s="104"/>
      <c r="AS65" s="22"/>
      <c r="AU65" s="19">
        <f>COUNTIF(P64:AS75,"P")</f>
        <v>0</v>
      </c>
      <c r="AV65" s="19">
        <f>COUNTIF(P64:AS75,"PC")</f>
        <v>0</v>
      </c>
      <c r="AW65" s="19">
        <f>COUNTIF(P64:AS75,"F")</f>
        <v>0</v>
      </c>
      <c r="AX65" s="19">
        <f>COUNTIF(P64:AS75,"AST")</f>
        <v>0</v>
      </c>
      <c r="AY65" s="19">
        <f>COUNTIF(P64:AS75,"Ca")</f>
        <v>0</v>
      </c>
      <c r="AZ65" s="19">
        <f>COUNTIF(P64:AS75,"RTT")</f>
        <v>0</v>
      </c>
      <c r="BA65" s="19">
        <f>COUNTIF(P64:AS75,"CEX")</f>
        <v>0</v>
      </c>
      <c r="BB65" s="19">
        <f>COUNTIF(P64:AS75,"RES")</f>
        <v>0</v>
      </c>
      <c r="BC65" s="19">
        <f>COUNTIF(P64:AS75,"MA")</f>
        <v>0</v>
      </c>
      <c r="BD65" s="19">
        <f>COUNTIF(P64:AS75,"AT")</f>
        <v>0</v>
      </c>
      <c r="BE65" s="19">
        <f>COUNTIF(P64:AS75,"TP")</f>
        <v>0</v>
      </c>
    </row>
    <row r="66" spans="1:57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92">
        <f t="shared" si="62"/>
        <v>0</v>
      </c>
      <c r="P66" s="230"/>
      <c r="Q66" s="22"/>
      <c r="R66" s="22"/>
      <c r="S66" s="22"/>
      <c r="T66" s="22"/>
      <c r="U66" s="22"/>
      <c r="V66" s="104"/>
      <c r="W66" s="104"/>
      <c r="X66" s="22"/>
      <c r="Y66" s="22"/>
      <c r="Z66" s="114"/>
      <c r="AA66" s="22"/>
      <c r="AB66" s="22"/>
      <c r="AC66" s="104"/>
      <c r="AD66" s="104"/>
      <c r="AE66" s="22"/>
      <c r="AF66" s="22"/>
      <c r="AG66" s="22"/>
      <c r="AH66" s="22"/>
      <c r="AI66" s="22"/>
      <c r="AJ66" s="104"/>
      <c r="AK66" s="104"/>
      <c r="AL66" s="22"/>
      <c r="AM66" s="22"/>
      <c r="AN66" s="22"/>
      <c r="AO66" s="22"/>
      <c r="AP66" s="22"/>
      <c r="AQ66" s="104"/>
      <c r="AR66" s="104"/>
      <c r="AS66" s="22"/>
    </row>
    <row r="67" spans="1:57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92">
        <f t="shared" si="62"/>
        <v>0</v>
      </c>
      <c r="P67" s="230"/>
      <c r="Q67" s="22"/>
      <c r="R67" s="22"/>
      <c r="S67" s="22"/>
      <c r="T67" s="22"/>
      <c r="U67" s="22"/>
      <c r="V67" s="104"/>
      <c r="W67" s="104"/>
      <c r="X67" s="22"/>
      <c r="Y67" s="22"/>
      <c r="Z67" s="114"/>
      <c r="AA67" s="22"/>
      <c r="AB67" s="22"/>
      <c r="AC67" s="104"/>
      <c r="AD67" s="104"/>
      <c r="AE67" s="22"/>
      <c r="AF67" s="22"/>
      <c r="AG67" s="22"/>
      <c r="AH67" s="22"/>
      <c r="AI67" s="22"/>
      <c r="AJ67" s="104"/>
      <c r="AK67" s="104"/>
      <c r="AL67" s="22"/>
      <c r="AM67" s="22"/>
      <c r="AN67" s="22"/>
      <c r="AO67" s="22"/>
      <c r="AP67" s="22"/>
      <c r="AQ67" s="104"/>
      <c r="AR67" s="104"/>
      <c r="AS67" s="22"/>
    </row>
    <row r="68" spans="1:57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92">
        <f t="shared" si="62"/>
        <v>0</v>
      </c>
      <c r="P68" s="230"/>
      <c r="Q68" s="22"/>
      <c r="R68" s="22"/>
      <c r="S68" s="22"/>
      <c r="T68" s="22"/>
      <c r="U68" s="22"/>
      <c r="V68" s="104"/>
      <c r="W68" s="104"/>
      <c r="X68" s="22"/>
      <c r="Y68" s="22"/>
      <c r="Z68" s="114"/>
      <c r="AA68" s="22"/>
      <c r="AB68" s="22"/>
      <c r="AC68" s="104"/>
      <c r="AD68" s="104"/>
      <c r="AE68" s="22"/>
      <c r="AF68" s="22"/>
      <c r="AG68" s="22"/>
      <c r="AH68" s="22"/>
      <c r="AI68" s="22"/>
      <c r="AJ68" s="104"/>
      <c r="AK68" s="104"/>
      <c r="AL68" s="22"/>
      <c r="AM68" s="22"/>
      <c r="AN68" s="22"/>
      <c r="AO68" s="22"/>
      <c r="AP68" s="22"/>
      <c r="AQ68" s="104"/>
      <c r="AR68" s="104"/>
      <c r="AS68" s="22"/>
    </row>
    <row r="69" spans="1:57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8">
        <f t="shared" si="51"/>
        <v>0</v>
      </c>
      <c r="E69" s="89">
        <f t="shared" si="52"/>
        <v>0</v>
      </c>
      <c r="F69" s="89">
        <f t="shared" si="53"/>
        <v>0</v>
      </c>
      <c r="G69" s="89">
        <f t="shared" si="54"/>
        <v>0</v>
      </c>
      <c r="H69" s="89">
        <f t="shared" si="55"/>
        <v>0</v>
      </c>
      <c r="I69" s="89">
        <f t="shared" si="56"/>
        <v>0</v>
      </c>
      <c r="J69" s="89">
        <f t="shared" si="57"/>
        <v>0</v>
      </c>
      <c r="K69" s="89">
        <f t="shared" si="58"/>
        <v>0</v>
      </c>
      <c r="L69" s="89">
        <f t="shared" si="59"/>
        <v>0</v>
      </c>
      <c r="M69" s="89">
        <f t="shared" si="60"/>
        <v>0</v>
      </c>
      <c r="N69" s="89">
        <f t="shared" si="61"/>
        <v>0</v>
      </c>
      <c r="O69" s="93">
        <f t="shared" si="62"/>
        <v>0</v>
      </c>
      <c r="P69" s="230"/>
      <c r="Q69" s="22"/>
      <c r="R69" s="22"/>
      <c r="S69" s="22"/>
      <c r="T69" s="22"/>
      <c r="U69" s="22"/>
      <c r="V69" s="104"/>
      <c r="W69" s="104"/>
      <c r="X69" s="22"/>
      <c r="Y69" s="22"/>
      <c r="Z69" s="114"/>
      <c r="AA69" s="22"/>
      <c r="AB69" s="22"/>
      <c r="AC69" s="104"/>
      <c r="AD69" s="104"/>
      <c r="AE69" s="22"/>
      <c r="AF69" s="22"/>
      <c r="AG69" s="22"/>
      <c r="AH69" s="22"/>
      <c r="AI69" s="22"/>
      <c r="AJ69" s="104"/>
      <c r="AK69" s="104"/>
      <c r="AL69" s="22"/>
      <c r="AM69" s="22"/>
      <c r="AN69" s="22"/>
      <c r="AO69" s="22"/>
      <c r="AP69" s="22"/>
      <c r="AQ69" s="104"/>
      <c r="AR69" s="104"/>
      <c r="AS69" s="22"/>
    </row>
    <row r="78" spans="1:57" x14ac:dyDescent="0.25">
      <c r="T78" s="19" t="s">
        <v>194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390" priority="73" operator="equal">
      <formula>"repos"</formula>
    </cfRule>
    <cfRule type="cellIs" dxfId="389" priority="74" operator="equal">
      <formula>"permanence"</formula>
    </cfRule>
    <cfRule type="cellIs" dxfId="388" priority="75" operator="equal">
      <formula>"dimanche"</formula>
    </cfRule>
    <cfRule type="cellIs" dxfId="387" priority="76" operator="equal">
      <formula>"formation"</formula>
    </cfRule>
    <cfRule type="cellIs" dxfId="386" priority="77" operator="equal">
      <formula>"conges exc"</formula>
    </cfRule>
    <cfRule type="cellIs" dxfId="385" priority="78" operator="equal">
      <formula>"conges"</formula>
    </cfRule>
    <cfRule type="cellIs" dxfId="384" priority="79" operator="equal">
      <formula>"asa"</formula>
    </cfRule>
    <cfRule type="cellIs" dxfId="383" priority="80" operator="equal">
      <formula>"maladie / at"</formula>
    </cfRule>
    <cfRule type="cellIs" dxfId="382" priority="81" operator="equal">
      <formula>"presence"</formula>
    </cfRule>
  </conditionalFormatting>
  <conditionalFormatting sqref="D11:O20 D23:O24 D26:O29 D31:O36 D39:O49 D51:O62 D64:O69">
    <cfRule type="cellIs" dxfId="381" priority="82" operator="equal">
      <formula>0</formula>
    </cfRule>
  </conditionalFormatting>
  <conditionalFormatting sqref="P9:AS9">
    <cfRule type="expression" dxfId="380" priority="84">
      <formula>OR(P$9=1, P$9=7)</formula>
    </cfRule>
  </conditionalFormatting>
  <conditionalFormatting sqref="P9:AS10">
    <cfRule type="expression" dxfId="379" priority="83">
      <formula>OR(P$9=1,P$9=7)</formula>
    </cfRule>
  </conditionalFormatting>
  <conditionalFormatting sqref="P26:AS29 P31:AS36">
    <cfRule type="containsText" dxfId="378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377" priority="39" operator="containsText" text="AT">
      <formula>NOT(ISERROR(SEARCH("AT",P26)))</formula>
    </cfRule>
    <cfRule type="containsText" dxfId="376" priority="40" operator="containsText" text="MA">
      <formula>NOT(ISERROR(SEARCH("MA",P26)))</formula>
    </cfRule>
    <cfRule type="containsText" dxfId="375" priority="41" operator="containsText" text="RES">
      <formula>NOT(ISERROR(SEARCH("RES",P26)))</formula>
    </cfRule>
    <cfRule type="containsText" dxfId="374" priority="42" operator="containsText" text="CEX">
      <formula>NOT(ISERROR(SEARCH("CEX",P26)))</formula>
    </cfRule>
    <cfRule type="containsText" dxfId="373" priority="43" operator="containsText" text="RTT">
      <formula>NOT(ISERROR(SEARCH("RTT",P26)))</formula>
    </cfRule>
    <cfRule type="beginsWith" dxfId="372" priority="44" operator="beginsWith" text="CA">
      <formula>LEFT(P26,LEN("CA"))="CA"</formula>
    </cfRule>
    <cfRule type="containsText" dxfId="371" priority="45" operator="containsText" text="AST">
      <formula>NOT(ISERROR(SEARCH("AST",P26)))</formula>
    </cfRule>
    <cfRule type="containsText" dxfId="370" priority="46" operator="containsText" text="F">
      <formula>NOT(ISERROR(SEARCH("F",P26)))</formula>
    </cfRule>
    <cfRule type="containsText" dxfId="369" priority="47" operator="containsText" text="PC">
      <formula>NOT(ISERROR(SEARCH("PC",P26)))</formula>
    </cfRule>
    <cfRule type="containsText" dxfId="368" priority="48" operator="containsText" text="P">
      <formula>NOT(ISERROR(SEARCH("P",P26)))</formula>
    </cfRule>
  </conditionalFormatting>
  <conditionalFormatting sqref="P39:AS49">
    <cfRule type="containsText" dxfId="367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366" priority="27" operator="containsText" text="AT">
      <formula>NOT(ISERROR(SEARCH("AT",P39)))</formula>
    </cfRule>
    <cfRule type="containsText" dxfId="365" priority="28" operator="containsText" text="MA">
      <formula>NOT(ISERROR(SEARCH("MA",P39)))</formula>
    </cfRule>
    <cfRule type="containsText" dxfId="364" priority="29" operator="containsText" text="RES">
      <formula>NOT(ISERROR(SEARCH("RES",P39)))</formula>
    </cfRule>
    <cfRule type="containsText" dxfId="363" priority="30" operator="containsText" text="CEX">
      <formula>NOT(ISERROR(SEARCH("CEX",P39)))</formula>
    </cfRule>
    <cfRule type="containsText" dxfId="362" priority="31" operator="containsText" text="RTT">
      <formula>NOT(ISERROR(SEARCH("RTT",P39)))</formula>
    </cfRule>
    <cfRule type="beginsWith" dxfId="361" priority="32" operator="beginsWith" text="CA">
      <formula>LEFT(P39,LEN("CA"))="CA"</formula>
    </cfRule>
    <cfRule type="containsText" dxfId="360" priority="33" operator="containsText" text="AST">
      <formula>NOT(ISERROR(SEARCH("AST",P39)))</formula>
    </cfRule>
    <cfRule type="containsText" dxfId="359" priority="34" operator="containsText" text="F">
      <formula>NOT(ISERROR(SEARCH("F",P39)))</formula>
    </cfRule>
    <cfRule type="containsText" dxfId="358" priority="35" operator="containsText" text="PC">
      <formula>NOT(ISERROR(SEARCH("PC",P39)))</formula>
    </cfRule>
    <cfRule type="containsText" dxfId="357" priority="36" operator="containsText" text="P">
      <formula>NOT(ISERROR(SEARCH("P",P39)))</formula>
    </cfRule>
  </conditionalFormatting>
  <conditionalFormatting sqref="P51:AS62">
    <cfRule type="containsText" dxfId="356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355" priority="15" operator="containsText" text="AT">
      <formula>NOT(ISERROR(SEARCH("AT",P51)))</formula>
    </cfRule>
    <cfRule type="containsText" dxfId="354" priority="16" operator="containsText" text="MA">
      <formula>NOT(ISERROR(SEARCH("MA",P51)))</formula>
    </cfRule>
    <cfRule type="containsText" dxfId="353" priority="17" operator="containsText" text="RES">
      <formula>NOT(ISERROR(SEARCH("RES",P51)))</formula>
    </cfRule>
    <cfRule type="containsText" dxfId="352" priority="18" operator="containsText" text="CEX">
      <formula>NOT(ISERROR(SEARCH("CEX",P51)))</formula>
    </cfRule>
    <cfRule type="containsText" dxfId="351" priority="19" operator="containsText" text="RTT">
      <formula>NOT(ISERROR(SEARCH("RTT",P51)))</formula>
    </cfRule>
    <cfRule type="beginsWith" dxfId="350" priority="20" operator="beginsWith" text="CA">
      <formula>LEFT(P51,LEN("CA"))="CA"</formula>
    </cfRule>
    <cfRule type="containsText" dxfId="349" priority="21" operator="containsText" text="AST">
      <formula>NOT(ISERROR(SEARCH("AST",P51)))</formula>
    </cfRule>
    <cfRule type="containsText" dxfId="348" priority="22" operator="containsText" text="F">
      <formula>NOT(ISERROR(SEARCH("F",P51)))</formula>
    </cfRule>
    <cfRule type="containsText" dxfId="347" priority="23" operator="containsText" text="PC">
      <formula>NOT(ISERROR(SEARCH("PC",P51)))</formula>
    </cfRule>
    <cfRule type="containsText" dxfId="346" priority="24" operator="containsText" text="P">
      <formula>NOT(ISERROR(SEARCH("P",P51)))</formula>
    </cfRule>
  </conditionalFormatting>
  <conditionalFormatting sqref="P64:AS69">
    <cfRule type="containsText" dxfId="34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344" priority="3" operator="containsText" text="AT">
      <formula>NOT(ISERROR(SEARCH("AT",P64)))</formula>
    </cfRule>
    <cfRule type="containsText" dxfId="343" priority="4" operator="containsText" text="MA">
      <formula>NOT(ISERROR(SEARCH("MA",P64)))</formula>
    </cfRule>
    <cfRule type="containsText" dxfId="342" priority="5" operator="containsText" text="RES">
      <formula>NOT(ISERROR(SEARCH("RES",P64)))</formula>
    </cfRule>
    <cfRule type="containsText" dxfId="341" priority="6" operator="containsText" text="CEX">
      <formula>NOT(ISERROR(SEARCH("CEX",P64)))</formula>
    </cfRule>
    <cfRule type="containsText" dxfId="340" priority="7" operator="containsText" text="RTT">
      <formula>NOT(ISERROR(SEARCH("RTT",P64)))</formula>
    </cfRule>
    <cfRule type="beginsWith" dxfId="339" priority="8" operator="beginsWith" text="CA">
      <formula>LEFT(P64,LEN("CA"))="CA"</formula>
    </cfRule>
    <cfRule type="containsText" dxfId="338" priority="9" operator="containsText" text="AST">
      <formula>NOT(ISERROR(SEARCH("AST",P64)))</formula>
    </cfRule>
    <cfRule type="containsText" dxfId="337" priority="10" operator="containsText" text="F">
      <formula>NOT(ISERROR(SEARCH("F",P64)))</formula>
    </cfRule>
    <cfRule type="containsText" dxfId="336" priority="11" operator="containsText" text="PC">
      <formula>NOT(ISERROR(SEARCH("PC",P64)))</formula>
    </cfRule>
    <cfRule type="containsText" dxfId="335" priority="12" operator="containsText" text="P">
      <formula>NOT(ISERROR(SEARCH("P",P64)))</formula>
    </cfRule>
  </conditionalFormatting>
  <conditionalFormatting sqref="P11:AT20 P23:AS24">
    <cfRule type="containsText" dxfId="334" priority="49" operator="containsText" text="TP">
      <formula>NOT(ISERROR(SEARCH("TP",P11)))</formula>
    </cfRule>
    <cfRule type="containsText" priority="50" operator="containsText" text="TAD">
      <formula>NOT(ISERROR(SEARCH("TAD",P11)))</formula>
    </cfRule>
    <cfRule type="containsText" dxfId="333" priority="51" operator="containsText" text="AT">
      <formula>NOT(ISERROR(SEARCH("AT",P11)))</formula>
    </cfRule>
    <cfRule type="containsText" dxfId="332" priority="52" operator="containsText" text="MA">
      <formula>NOT(ISERROR(SEARCH("MA",P11)))</formula>
    </cfRule>
    <cfRule type="containsText" dxfId="331" priority="53" operator="containsText" text="RES">
      <formula>NOT(ISERROR(SEARCH("RES",P11)))</formula>
    </cfRule>
    <cfRule type="containsText" dxfId="330" priority="54" operator="containsText" text="CEX">
      <formula>NOT(ISERROR(SEARCH("CEX",P11)))</formula>
    </cfRule>
    <cfRule type="containsText" dxfId="329" priority="55" operator="containsText" text="RTT">
      <formula>NOT(ISERROR(SEARCH("RTT",P11)))</formula>
    </cfRule>
    <cfRule type="beginsWith" dxfId="328" priority="56" operator="beginsWith" text="CA">
      <formula>LEFT(P11,LEN("CA"))="CA"</formula>
    </cfRule>
    <cfRule type="containsText" dxfId="327" priority="57" operator="containsText" text="AST">
      <formula>NOT(ISERROR(SEARCH("AST",P11)))</formula>
    </cfRule>
    <cfRule type="containsText" dxfId="326" priority="58" operator="containsText" text="F">
      <formula>NOT(ISERROR(SEARCH("F",P11)))</formula>
    </cfRule>
    <cfRule type="containsText" dxfId="325" priority="59" operator="containsText" text="PC">
      <formula>NOT(ISERROR(SEARCH("PC",P11)))</formula>
    </cfRule>
    <cfRule type="containsText" dxfId="324" priority="60" operator="containsText" text="P">
      <formula>NOT(ISERROR(SEARCH("P",P11)))</formula>
    </cfRule>
  </conditionalFormatting>
  <dataValidations count="3">
    <dataValidation type="list" allowBlank="1" showInputMessage="1" showErrorMessage="1" sqref="P11:AT20 P23:AS24 P26:AS29 P31:AS36 P39:AS49 P51:AS62 P64:AS69" xr:uid="{00000000-0002-0000-0B00-000000000000}">
      <formula1>"P, PC, F, AST, CA, RTT, CEX, RES, MA, AT, TAD, TP"</formula1>
    </dataValidation>
    <dataValidation type="list" allowBlank="1" showInputMessage="1" showErrorMessage="1" sqref="T78" xr:uid="{00000000-0002-0000-0B00-000001000000}">
      <formula1>$D$9:$O$9</formula1>
    </dataValidation>
    <dataValidation type="list" allowBlank="1" showInputMessage="1" showErrorMessage="1" sqref="P10:AS10" xr:uid="{00000000-0002-0000-0B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F78"/>
  <sheetViews>
    <sheetView zoomScale="85" zoomScaleNormal="85" workbookViewId="0">
      <pane xSplit="2" ySplit="10" topLeftCell="C11" activePane="bottomRight" state="frozen"/>
      <selection pane="topRight" activeCell="AQ41" sqref="AQ41"/>
      <selection pane="bottomLeft" activeCell="AQ41" sqref="AQ41"/>
      <selection pane="bottomRight" activeCell="AJ9" sqref="AJ9:AJ20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6" width="4.2851562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config!B16</f>
        <v>46357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config!C16</f>
        <v>46387</v>
      </c>
    </row>
    <row r="3" spans="1:58" ht="15" customHeight="1" x14ac:dyDescent="0.25">
      <c r="A3" s="27"/>
    </row>
    <row r="4" spans="1:58" ht="56.25" customHeight="1" x14ac:dyDescent="0.25">
      <c r="A4" s="27"/>
      <c r="P4" s="28">
        <f>A1</f>
        <v>46357</v>
      </c>
      <c r="Q4" s="28">
        <f t="shared" ref="Q4:AT4" si="0">P4+1</f>
        <v>46358</v>
      </c>
      <c r="R4" s="28">
        <f t="shared" si="0"/>
        <v>46359</v>
      </c>
      <c r="S4" s="28">
        <f t="shared" si="0"/>
        <v>46360</v>
      </c>
      <c r="T4" s="28">
        <f t="shared" si="0"/>
        <v>46361</v>
      </c>
      <c r="U4" s="28">
        <f t="shared" si="0"/>
        <v>46362</v>
      </c>
      <c r="V4" s="28">
        <f t="shared" si="0"/>
        <v>46363</v>
      </c>
      <c r="W4" s="28">
        <f t="shared" si="0"/>
        <v>46364</v>
      </c>
      <c r="X4" s="28">
        <f t="shared" si="0"/>
        <v>46365</v>
      </c>
      <c r="Y4" s="28">
        <f t="shared" si="0"/>
        <v>46366</v>
      </c>
      <c r="Z4" s="28">
        <f t="shared" si="0"/>
        <v>46367</v>
      </c>
      <c r="AA4" s="28">
        <f t="shared" si="0"/>
        <v>46368</v>
      </c>
      <c r="AB4" s="28">
        <f t="shared" si="0"/>
        <v>46369</v>
      </c>
      <c r="AC4" s="28">
        <f t="shared" si="0"/>
        <v>46370</v>
      </c>
      <c r="AD4" s="28">
        <f t="shared" si="0"/>
        <v>46371</v>
      </c>
      <c r="AE4" s="28">
        <f t="shared" si="0"/>
        <v>46372</v>
      </c>
      <c r="AF4" s="28">
        <f t="shared" si="0"/>
        <v>46373</v>
      </c>
      <c r="AG4" s="28">
        <f t="shared" si="0"/>
        <v>46374</v>
      </c>
      <c r="AH4" s="28">
        <f t="shared" si="0"/>
        <v>46375</v>
      </c>
      <c r="AI4" s="28">
        <f t="shared" si="0"/>
        <v>46376</v>
      </c>
      <c r="AJ4" s="28">
        <f t="shared" si="0"/>
        <v>46377</v>
      </c>
      <c r="AK4" s="28">
        <f t="shared" si="0"/>
        <v>46378</v>
      </c>
      <c r="AL4" s="28">
        <f t="shared" si="0"/>
        <v>46379</v>
      </c>
      <c r="AM4" s="28">
        <f t="shared" si="0"/>
        <v>46380</v>
      </c>
      <c r="AN4" s="28">
        <f t="shared" si="0"/>
        <v>46381</v>
      </c>
      <c r="AO4" s="28">
        <f t="shared" si="0"/>
        <v>46382</v>
      </c>
      <c r="AP4" s="28">
        <f t="shared" si="0"/>
        <v>46383</v>
      </c>
      <c r="AQ4" s="28">
        <f t="shared" si="0"/>
        <v>46384</v>
      </c>
      <c r="AR4" s="28">
        <f t="shared" si="0"/>
        <v>46385</v>
      </c>
      <c r="AS4" s="28">
        <f t="shared" si="0"/>
        <v>46386</v>
      </c>
      <c r="AT4" s="28">
        <f t="shared" si="0"/>
        <v>46387</v>
      </c>
      <c r="AU4" s="27"/>
      <c r="AV4" s="27"/>
      <c r="AW4" s="27"/>
      <c r="AX4" s="27"/>
      <c r="AY4" s="27"/>
      <c r="AZ4" s="27"/>
      <c r="BA4" s="27"/>
      <c r="BB4" s="27"/>
    </row>
    <row r="5" spans="1:58" ht="36" customHeight="1" x14ac:dyDescent="0.25">
      <c r="A5" s="295" t="str">
        <f>TEXT(A1,"mmmmmmmmmmmm")</f>
        <v>décembre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3"/>
    </row>
    <row r="6" spans="1:58" ht="36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3"/>
    </row>
    <row r="7" spans="1:58" ht="36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3"/>
    </row>
    <row r="8" spans="1:58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21"/>
      <c r="AJ8" s="164"/>
      <c r="AK8" s="121"/>
      <c r="AL8" s="121"/>
      <c r="AM8" s="121"/>
      <c r="AN8" s="108" t="s">
        <v>192</v>
      </c>
      <c r="AO8" s="121"/>
      <c r="AP8" s="121"/>
      <c r="AQ8" s="121"/>
      <c r="AR8" s="121"/>
      <c r="AS8" s="121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44">
        <f t="shared" ref="P9:AT9" si="1">IFERROR(WEEKDAY(P4),"")</f>
        <v>3</v>
      </c>
      <c r="Q9" s="44">
        <f t="shared" si="1"/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28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24">
        <f t="shared" si="1"/>
        <v>4</v>
      </c>
      <c r="AT9" s="24">
        <f t="shared" si="1"/>
        <v>5</v>
      </c>
      <c r="AU9" s="26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25">
        <f t="shared" ref="P10:AT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5">
        <f t="shared" si="2"/>
        <v>31</v>
      </c>
      <c r="AU10" s="26"/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87"/>
      <c r="Q11" s="183"/>
      <c r="R11" s="20"/>
      <c r="S11" s="20"/>
      <c r="T11" s="86"/>
      <c r="U11" s="86"/>
      <c r="V11" s="20"/>
      <c r="W11" s="20"/>
      <c r="X11" s="20"/>
      <c r="Y11" s="20"/>
      <c r="Z11" s="20"/>
      <c r="AA11" s="86"/>
      <c r="AB11" s="86"/>
      <c r="AC11" s="20"/>
      <c r="AD11" s="20"/>
      <c r="AE11" s="123"/>
      <c r="AF11" s="123"/>
      <c r="AG11" s="20"/>
      <c r="AH11" s="86"/>
      <c r="AI11" s="86"/>
      <c r="AJ11" s="20"/>
      <c r="AK11" s="20"/>
      <c r="AL11" s="20"/>
      <c r="AM11" s="20"/>
      <c r="AN11" s="20"/>
      <c r="AO11" s="86"/>
      <c r="AP11" s="86"/>
      <c r="AQ11" s="20"/>
      <c r="AR11" s="20"/>
      <c r="AS11" s="20"/>
      <c r="AT11" s="1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90"/>
      <c r="Q12" s="186"/>
      <c r="R12" s="8"/>
      <c r="S12" s="8"/>
      <c r="T12" s="94"/>
      <c r="U12" s="94"/>
      <c r="V12" s="20"/>
      <c r="W12" s="8"/>
      <c r="X12" s="8"/>
      <c r="Y12" s="8"/>
      <c r="Z12" s="8"/>
      <c r="AA12" s="94"/>
      <c r="AB12" s="94"/>
      <c r="AC12" s="8"/>
      <c r="AD12" s="8"/>
      <c r="AE12" s="8"/>
      <c r="AF12" s="8"/>
      <c r="AG12" s="8"/>
      <c r="AH12" s="94"/>
      <c r="AI12" s="94"/>
      <c r="AJ12" s="8"/>
      <c r="AK12" s="20"/>
      <c r="AL12" s="8"/>
      <c r="AM12" s="8"/>
      <c r="AN12" s="8"/>
      <c r="AO12" s="94"/>
      <c r="AP12" s="94"/>
      <c r="AQ12" s="8"/>
      <c r="AR12" s="8"/>
      <c r="AS12" s="8"/>
      <c r="AT12" s="1"/>
      <c r="AV12" s="15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103"/>
      <c r="Q13" s="186"/>
      <c r="R13" s="8"/>
      <c r="S13" s="8"/>
      <c r="T13" s="94"/>
      <c r="U13" s="94"/>
      <c r="V13" s="8"/>
      <c r="W13" s="8"/>
      <c r="X13" s="8"/>
      <c r="Y13" s="8"/>
      <c r="Z13" s="8"/>
      <c r="AA13" s="94"/>
      <c r="AB13" s="94"/>
      <c r="AC13" s="8"/>
      <c r="AD13" s="8"/>
      <c r="AE13" s="22"/>
      <c r="AF13" s="22"/>
      <c r="AG13" s="8"/>
      <c r="AH13" s="94"/>
      <c r="AI13" s="94"/>
      <c r="AJ13" s="8"/>
      <c r="AK13" s="20"/>
      <c r="AL13" s="8"/>
      <c r="AM13" s="8"/>
      <c r="AN13" s="8"/>
      <c r="AO13" s="94"/>
      <c r="AP13" s="94"/>
      <c r="AQ13" s="8"/>
      <c r="AR13" s="8"/>
      <c r="AS13" s="8"/>
      <c r="AT13" s="1"/>
      <c r="AV13" s="19">
        <f>COUNTIF(P11:AS29,"p")</f>
        <v>0</v>
      </c>
      <c r="AW13" s="19">
        <f>COUNTIF(P11:AS29,"PC")</f>
        <v>0</v>
      </c>
      <c r="AX13" s="19">
        <f>COUNTIF(P11:AS29,"f")</f>
        <v>0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145" t="str">
        <f>IFERROR(IF(config!E6="","",config!E6),"")</f>
        <v>N016820</v>
      </c>
      <c r="B14" s="146" t="str">
        <f>IFERROR(IF(config!F6="","",config!F6),"")</f>
        <v>GRENET</v>
      </c>
      <c r="C14" s="147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187"/>
      <c r="Q14" s="107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8"/>
      <c r="AK14" s="94"/>
      <c r="AL14" s="94"/>
      <c r="AM14" s="94"/>
      <c r="AN14" s="94"/>
      <c r="AO14" s="94"/>
      <c r="AP14" s="94"/>
      <c r="AQ14" s="94"/>
      <c r="AR14" s="94"/>
      <c r="AS14" s="125"/>
      <c r="AT14" s="227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103"/>
      <c r="Q15" s="186"/>
      <c r="R15" s="8"/>
      <c r="S15" s="8"/>
      <c r="T15" s="94"/>
      <c r="U15" s="94"/>
      <c r="V15" s="166"/>
      <c r="W15" s="8"/>
      <c r="X15" s="8"/>
      <c r="Y15" s="8"/>
      <c r="Z15" s="8"/>
      <c r="AA15" s="94"/>
      <c r="AB15" s="94"/>
      <c r="AC15" s="8"/>
      <c r="AD15" s="8"/>
      <c r="AE15" s="8"/>
      <c r="AF15" s="8"/>
      <c r="AG15" s="8"/>
      <c r="AH15" s="94"/>
      <c r="AI15" s="94"/>
      <c r="AJ15" s="8"/>
      <c r="AK15" s="8"/>
      <c r="AL15" s="8"/>
      <c r="AM15" s="8"/>
      <c r="AN15" s="8"/>
      <c r="AO15" s="94"/>
      <c r="AP15" s="94"/>
      <c r="AQ15" s="8"/>
      <c r="AR15" s="8"/>
      <c r="AS15" s="8"/>
      <c r="AT15" s="1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90"/>
      <c r="Q16" s="186"/>
      <c r="R16" s="8"/>
      <c r="S16" s="8"/>
      <c r="T16" s="94"/>
      <c r="U16" s="185"/>
      <c r="V16" s="8"/>
      <c r="W16" s="186"/>
      <c r="X16" s="8"/>
      <c r="Y16" s="8"/>
      <c r="Z16" s="8"/>
      <c r="AA16" s="94"/>
      <c r="AB16" s="94"/>
      <c r="AC16" s="8"/>
      <c r="AD16" s="8"/>
      <c r="AE16" s="8"/>
      <c r="AF16" s="8"/>
      <c r="AG16" s="8"/>
      <c r="AH16" s="94"/>
      <c r="AI16" s="94"/>
      <c r="AJ16" s="8"/>
      <c r="AK16" s="8"/>
      <c r="AL16" s="8"/>
      <c r="AM16" s="8"/>
      <c r="AN16" s="8"/>
      <c r="AO16" s="94"/>
      <c r="AP16" s="94"/>
      <c r="AQ16" s="8"/>
      <c r="AR16" s="8"/>
      <c r="AS16" s="8"/>
      <c r="AT16" s="1"/>
    </row>
    <row r="17" spans="1:47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90"/>
      <c r="Q17" s="186"/>
      <c r="R17" s="8"/>
      <c r="S17" s="8"/>
      <c r="T17" s="94"/>
      <c r="U17" s="185"/>
      <c r="V17" s="8"/>
      <c r="W17" s="186"/>
      <c r="X17" s="8"/>
      <c r="Y17" s="8"/>
      <c r="Z17" s="8"/>
      <c r="AA17" s="94"/>
      <c r="AB17" s="94"/>
      <c r="AC17" s="8"/>
      <c r="AD17" s="8"/>
      <c r="AE17" s="8"/>
      <c r="AF17" s="8"/>
      <c r="AG17" s="8"/>
      <c r="AH17" s="94"/>
      <c r="AI17" s="94"/>
      <c r="AJ17" s="8"/>
      <c r="AK17" s="8"/>
      <c r="AL17" s="8"/>
      <c r="AM17" s="8"/>
      <c r="AN17" s="8"/>
      <c r="AO17" s="94"/>
      <c r="AP17" s="94"/>
      <c r="AQ17" s="8"/>
      <c r="AR17" s="8"/>
      <c r="AS17" s="8"/>
      <c r="AT17" s="1"/>
    </row>
    <row r="18" spans="1:47" ht="20.100000000000001" customHeight="1" thickBot="1" x14ac:dyDescent="0.3">
      <c r="A18" s="32" t="str">
        <f>IFERROR(IF(config!E10="","",config!E10),"")</f>
        <v>N010036</v>
      </c>
      <c r="B18" s="39" t="str">
        <f>IFERROR(IF(config!F10="","",config!F10),"")</f>
        <v>BETTINGER</v>
      </c>
      <c r="C18" s="69" t="str">
        <f>IFERROR(IF(config!G10="","",config!G10),"")</f>
        <v>Philippe</v>
      </c>
      <c r="D18" s="87">
        <f t="shared" si="3"/>
        <v>0</v>
      </c>
      <c r="E18" s="20">
        <f t="shared" si="4"/>
        <v>0</v>
      </c>
      <c r="F18" s="20">
        <f t="shared" si="5"/>
        <v>0</v>
      </c>
      <c r="G18" s="20">
        <f t="shared" si="6"/>
        <v>0</v>
      </c>
      <c r="H18" s="20">
        <f t="shared" si="7"/>
        <v>0</v>
      </c>
      <c r="I18" s="20">
        <f t="shared" si="8"/>
        <v>0</v>
      </c>
      <c r="J18" s="20">
        <f t="shared" si="9"/>
        <v>0</v>
      </c>
      <c r="K18" s="20">
        <f t="shared" si="10"/>
        <v>0</v>
      </c>
      <c r="L18" s="20">
        <f t="shared" si="11"/>
        <v>0</v>
      </c>
      <c r="M18" s="20">
        <f t="shared" si="12"/>
        <v>0</v>
      </c>
      <c r="N18" s="20">
        <f t="shared" si="13"/>
        <v>0</v>
      </c>
      <c r="O18" s="92">
        <f t="shared" si="14"/>
        <v>0</v>
      </c>
      <c r="P18" s="90"/>
      <c r="Q18" s="186"/>
      <c r="R18" s="8"/>
      <c r="S18" s="8"/>
      <c r="T18" s="94"/>
      <c r="U18" s="185"/>
      <c r="V18" s="8"/>
      <c r="W18" s="186"/>
      <c r="X18" s="8"/>
      <c r="Y18" s="8"/>
      <c r="Z18" s="8"/>
      <c r="AA18" s="94"/>
      <c r="AB18" s="94"/>
      <c r="AC18" s="8"/>
      <c r="AD18" s="8"/>
      <c r="AE18" s="8"/>
      <c r="AF18" s="8"/>
      <c r="AG18" s="8"/>
      <c r="AH18" s="94"/>
      <c r="AI18" s="94"/>
      <c r="AJ18" s="8"/>
      <c r="AK18" s="8"/>
      <c r="AL18" s="8"/>
      <c r="AM18" s="8"/>
      <c r="AN18" s="8"/>
      <c r="AO18" s="94"/>
      <c r="AP18" s="94"/>
      <c r="AQ18" s="8"/>
      <c r="AR18" s="8"/>
      <c r="AS18" s="8"/>
      <c r="AT18" s="1"/>
    </row>
    <row r="19" spans="1:47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103"/>
      <c r="Q19" s="186"/>
      <c r="R19" s="8"/>
      <c r="S19" s="8"/>
      <c r="T19" s="94"/>
      <c r="U19" s="185"/>
      <c r="V19" s="8"/>
      <c r="W19" s="186"/>
      <c r="X19" s="8"/>
      <c r="Y19" s="8"/>
      <c r="Z19" s="8"/>
      <c r="AA19" s="94"/>
      <c r="AB19" s="94"/>
      <c r="AC19" s="8"/>
      <c r="AD19" s="8"/>
      <c r="AE19" s="8"/>
      <c r="AF19" s="8"/>
      <c r="AG19" s="8"/>
      <c r="AH19" s="94"/>
      <c r="AI19" s="94"/>
      <c r="AJ19" s="8"/>
      <c r="AK19" s="8"/>
      <c r="AL19" s="8"/>
      <c r="AM19" s="8"/>
      <c r="AN19" s="8"/>
      <c r="AO19" s="94"/>
      <c r="AP19" s="94"/>
      <c r="AQ19" s="8"/>
      <c r="AR19" s="8"/>
      <c r="AS19" s="8"/>
      <c r="AT19" s="1"/>
    </row>
    <row r="20" spans="1:47" ht="20.100000000000001" customHeight="1" thickBot="1" x14ac:dyDescent="0.3">
      <c r="A20" s="31" t="str">
        <f>IFERROR(IF(config!E12="","",config!E12),"")</f>
        <v>N017539</v>
      </c>
      <c r="B20" s="42" t="str">
        <f>IFERROR(IF(config!F12="","",config!F12),"")</f>
        <v>VRBOVSKA</v>
      </c>
      <c r="C20" s="70" t="str">
        <f>IFERROR(IF(config!G12="","",config!G12),"")</f>
        <v>Xavier</v>
      </c>
      <c r="D20" s="88">
        <f t="shared" si="3"/>
        <v>0</v>
      </c>
      <c r="E20" s="89">
        <f t="shared" si="4"/>
        <v>0</v>
      </c>
      <c r="F20" s="89">
        <f t="shared" si="5"/>
        <v>0</v>
      </c>
      <c r="G20" s="89">
        <f t="shared" si="6"/>
        <v>0</v>
      </c>
      <c r="H20" s="89">
        <f t="shared" si="7"/>
        <v>0</v>
      </c>
      <c r="I20" s="89">
        <f t="shared" si="8"/>
        <v>0</v>
      </c>
      <c r="J20" s="89">
        <f t="shared" si="9"/>
        <v>0</v>
      </c>
      <c r="K20" s="89">
        <f t="shared" si="10"/>
        <v>0</v>
      </c>
      <c r="L20" s="89">
        <f t="shared" si="11"/>
        <v>0</v>
      </c>
      <c r="M20" s="89">
        <f t="shared" si="12"/>
        <v>0</v>
      </c>
      <c r="N20" s="89">
        <f t="shared" si="13"/>
        <v>0</v>
      </c>
      <c r="O20" s="89">
        <f t="shared" si="14"/>
        <v>0</v>
      </c>
      <c r="P20" s="190"/>
      <c r="Q20" s="21"/>
      <c r="R20" s="21"/>
      <c r="S20" s="21"/>
      <c r="T20" s="95"/>
      <c r="U20" s="95"/>
      <c r="V20" s="184"/>
      <c r="W20" s="21"/>
      <c r="X20" s="21"/>
      <c r="Y20" s="21"/>
      <c r="Z20" s="21"/>
      <c r="AA20" s="95"/>
      <c r="AB20" s="95"/>
      <c r="AC20" s="21"/>
      <c r="AD20" s="21"/>
      <c r="AE20" s="21"/>
      <c r="AF20" s="21"/>
      <c r="AG20" s="21"/>
      <c r="AH20" s="95"/>
      <c r="AI20" s="95"/>
      <c r="AJ20" s="21"/>
      <c r="AK20" s="21"/>
      <c r="AL20" s="21"/>
      <c r="AM20" s="21"/>
      <c r="AN20" s="21"/>
      <c r="AO20" s="95"/>
      <c r="AP20" s="95"/>
      <c r="AQ20" s="21"/>
      <c r="AR20" s="21"/>
      <c r="AS20" s="36"/>
      <c r="AT20" s="1"/>
    </row>
    <row r="21" spans="1:47" ht="20.100000000000001" customHeight="1" thickBot="1" x14ac:dyDescent="0.3">
      <c r="A21" s="191" t="str">
        <f>IFERROR(IF(config!E13="","",config!E13),"")</f>
        <v>MAINTENANCE</v>
      </c>
      <c r="B21" s="99"/>
      <c r="C21" s="99"/>
      <c r="D21" s="192"/>
      <c r="E21" s="193"/>
      <c r="F21" s="193"/>
      <c r="G21" s="193"/>
      <c r="H21" s="193"/>
      <c r="I21" s="193"/>
      <c r="J21" s="193"/>
      <c r="K21" s="194"/>
      <c r="L21" s="195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100"/>
      <c r="AR21" s="100"/>
      <c r="AS21" s="100"/>
      <c r="AT21" s="254"/>
    </row>
    <row r="22" spans="1:47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  <c r="AT22" s="255"/>
    </row>
    <row r="23" spans="1:47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20">
        <f>COUNTIF(P23:AS23,"TP")</f>
        <v>0</v>
      </c>
      <c r="P23" s="188"/>
      <c r="Q23" s="20"/>
      <c r="R23" s="20"/>
      <c r="S23" s="183"/>
      <c r="T23" s="86"/>
      <c r="U23" s="86"/>
      <c r="V23" s="92"/>
      <c r="W23" s="20"/>
      <c r="X23" s="20"/>
      <c r="Y23" s="183"/>
      <c r="Z23" s="20"/>
      <c r="AA23" s="86"/>
      <c r="AB23" s="86"/>
      <c r="AC23" s="8"/>
      <c r="AD23" s="8"/>
      <c r="AE23" s="8"/>
      <c r="AF23" s="8"/>
      <c r="AG23" s="8"/>
      <c r="AH23" s="86"/>
      <c r="AI23" s="86"/>
      <c r="AJ23" s="111"/>
      <c r="AK23" s="20"/>
      <c r="AL23" s="20"/>
      <c r="AM23" s="20"/>
      <c r="AN23" s="20"/>
      <c r="AO23" s="86"/>
      <c r="AP23" s="86"/>
      <c r="AQ23" s="20"/>
      <c r="AR23" s="20"/>
      <c r="AS23" s="20"/>
      <c r="AT23" s="1"/>
    </row>
    <row r="24" spans="1:47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7">
        <f>COUNTIF(P24:AS24,"p")</f>
        <v>0</v>
      </c>
      <c r="E24" s="20">
        <f>COUNTIF(P24:AS24,"PC")</f>
        <v>0</v>
      </c>
      <c r="F24" s="20">
        <f>COUNTIF(P24:AS24,"f")</f>
        <v>0</v>
      </c>
      <c r="G24" s="20">
        <f>COUNTIF(P24:AS24,"ast")</f>
        <v>0</v>
      </c>
      <c r="H24" s="20">
        <f>COUNTIF(P24:AS24,"cA")</f>
        <v>0</v>
      </c>
      <c r="I24" s="20">
        <f>COUNTIF(P24:AS24,"rtt")</f>
        <v>0</v>
      </c>
      <c r="J24" s="20">
        <f>COUNTIF(P24:AS24,"cex")</f>
        <v>0</v>
      </c>
      <c r="K24" s="20">
        <f>COUNTIF(P24:AS24,"res")</f>
        <v>0</v>
      </c>
      <c r="L24" s="20">
        <f>COUNTIF(P24:AS24,"mA")</f>
        <v>0</v>
      </c>
      <c r="M24" s="20">
        <f>COUNTIF(P24:AS24,"at")</f>
        <v>0</v>
      </c>
      <c r="N24" s="20">
        <f>COUNTIF(P24:AS24,"TAD")</f>
        <v>0</v>
      </c>
      <c r="O24" s="20">
        <f>COUNTIF(P24:AS24,"TP")</f>
        <v>0</v>
      </c>
      <c r="P24" s="91"/>
      <c r="Q24" s="22"/>
      <c r="R24" s="22"/>
      <c r="S24" s="21"/>
      <c r="T24" s="95"/>
      <c r="U24" s="95"/>
      <c r="V24" s="21"/>
      <c r="W24" s="22"/>
      <c r="X24" s="22"/>
      <c r="Y24" s="22"/>
      <c r="Z24" s="22"/>
      <c r="AA24" s="95"/>
      <c r="AB24" s="95"/>
      <c r="AC24" s="8"/>
      <c r="AD24" s="8"/>
      <c r="AE24" s="8"/>
      <c r="AF24" s="8"/>
      <c r="AG24" s="8"/>
      <c r="AH24" s="95"/>
      <c r="AI24" s="95"/>
      <c r="AJ24" s="113"/>
      <c r="AK24" s="20"/>
      <c r="AL24" s="20"/>
      <c r="AM24" s="21"/>
      <c r="AN24" s="20"/>
      <c r="AO24" s="95"/>
      <c r="AP24" s="95"/>
      <c r="AQ24" s="21"/>
      <c r="AR24" s="21"/>
      <c r="AS24" s="21"/>
      <c r="AT24" s="1"/>
    </row>
    <row r="25" spans="1:47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130"/>
      <c r="AK25" s="98"/>
      <c r="AL25" s="98"/>
      <c r="AM25" s="98"/>
      <c r="AN25" s="98"/>
      <c r="AO25" s="98"/>
      <c r="AP25" s="98"/>
      <c r="AQ25" s="98"/>
      <c r="AR25" s="98"/>
      <c r="AS25" s="98"/>
      <c r="AT25" s="98"/>
    </row>
    <row r="26" spans="1:47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20">
        <f>COUNTIF(P26:AS26,"TP")</f>
        <v>0</v>
      </c>
      <c r="P26" s="87"/>
      <c r="Q26" s="87"/>
      <c r="R26" s="87"/>
      <c r="S26" s="87"/>
      <c r="T26" s="86"/>
      <c r="U26" s="86"/>
      <c r="V26" s="20"/>
      <c r="W26" s="20"/>
      <c r="X26" s="20"/>
      <c r="Y26" s="20"/>
      <c r="Z26" s="20"/>
      <c r="AA26" s="86"/>
      <c r="AB26" s="86"/>
      <c r="AC26" s="20"/>
      <c r="AD26" s="20"/>
      <c r="AE26" s="20"/>
      <c r="AF26" s="20"/>
      <c r="AG26" s="20"/>
      <c r="AH26" s="86"/>
      <c r="AI26" s="86"/>
      <c r="AJ26" s="111"/>
      <c r="AK26" s="20"/>
      <c r="AL26" s="20"/>
      <c r="AM26" s="20"/>
      <c r="AN26" s="20"/>
      <c r="AO26" s="86"/>
      <c r="AP26" s="86"/>
      <c r="AQ26" s="20"/>
      <c r="AR26" s="20"/>
      <c r="AS26" s="20"/>
      <c r="AT26" s="1"/>
    </row>
    <row r="27" spans="1:47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189"/>
      <c r="Q27" s="101"/>
      <c r="R27" s="8"/>
      <c r="S27" s="8"/>
      <c r="T27" s="94"/>
      <c r="U27" s="94"/>
      <c r="V27" s="8"/>
      <c r="W27" s="8"/>
      <c r="X27" s="8"/>
      <c r="Y27" s="8"/>
      <c r="Z27" s="8"/>
      <c r="AA27" s="94"/>
      <c r="AB27" s="94"/>
      <c r="AC27" s="8"/>
      <c r="AD27" s="8"/>
      <c r="AE27" s="8"/>
      <c r="AF27" s="8"/>
      <c r="AG27" s="8"/>
      <c r="AH27" s="94"/>
      <c r="AI27" s="94"/>
      <c r="AJ27" s="112"/>
      <c r="AK27" s="8"/>
      <c r="AL27" s="8"/>
      <c r="AM27" s="8"/>
      <c r="AN27" s="8"/>
      <c r="AO27" s="94"/>
      <c r="AP27" s="94"/>
      <c r="AQ27" s="8"/>
      <c r="AR27" s="8"/>
      <c r="AS27" s="35"/>
      <c r="AT27" s="1"/>
    </row>
    <row r="28" spans="1:47" ht="20.100000000000001" customHeight="1" x14ac:dyDescent="0.25">
      <c r="A28" s="275" t="str">
        <f>IFERROR(IF(config!E20="","",config!E20),"")</f>
        <v>N020065</v>
      </c>
      <c r="B28" s="276" t="str">
        <f>IFERROR(IF(config!F20="","",config!F20),"")</f>
        <v>SAMITIER</v>
      </c>
      <c r="C28" s="277" t="str">
        <f>IFERROR(IF(config!G20="","",config!G20),"")</f>
        <v>Beatrice</v>
      </c>
      <c r="D28" s="134">
        <f>COUNTIF(P28:AS28,"p")</f>
        <v>0</v>
      </c>
      <c r="E28" s="123">
        <f>COUNTIF(P28:AS28,"PC")</f>
        <v>0</v>
      </c>
      <c r="F28" s="123">
        <f>COUNTIF(P28:AS28,"f")</f>
        <v>0</v>
      </c>
      <c r="G28" s="123">
        <f>COUNTIF(P28:AS28,"ast")</f>
        <v>0</v>
      </c>
      <c r="H28" s="123">
        <f>COUNTIF(P28:AS28,"cA")</f>
        <v>0</v>
      </c>
      <c r="I28" s="123">
        <f>COUNTIF(P28:AS28,"rtt")</f>
        <v>0</v>
      </c>
      <c r="J28" s="123">
        <f>COUNTIF(P28:AS28,"cex")</f>
        <v>0</v>
      </c>
      <c r="K28" s="123">
        <f>COUNTIF(P28:AS28,"res")</f>
        <v>0</v>
      </c>
      <c r="L28" s="123">
        <f>COUNTIF(P28:AS28,"mA")</f>
        <v>0</v>
      </c>
      <c r="M28" s="123">
        <f>COUNTIF(P28:AS28,"at")</f>
        <v>0</v>
      </c>
      <c r="N28" s="123">
        <f>COUNTIF(P28:AS28,"TAD")</f>
        <v>0</v>
      </c>
      <c r="O28" s="123">
        <f>COUNTIF(P28:AS28,"TP")</f>
        <v>0</v>
      </c>
      <c r="P28" s="278"/>
      <c r="Q28" s="279"/>
      <c r="R28" s="166"/>
      <c r="S28" s="166"/>
      <c r="T28" s="161"/>
      <c r="U28" s="161"/>
      <c r="V28" s="166"/>
      <c r="W28" s="166"/>
      <c r="X28" s="166"/>
      <c r="Y28" s="166"/>
      <c r="Z28" s="166"/>
      <c r="AA28" s="161"/>
      <c r="AB28" s="161"/>
      <c r="AC28" s="166"/>
      <c r="AD28" s="166"/>
      <c r="AE28" s="166"/>
      <c r="AF28" s="166"/>
      <c r="AG28" s="166"/>
      <c r="AH28" s="161"/>
      <c r="AI28" s="161"/>
      <c r="AJ28" s="162"/>
      <c r="AK28" s="166"/>
      <c r="AL28" s="166"/>
      <c r="AM28" s="166"/>
      <c r="AN28" s="166"/>
      <c r="AO28" s="161"/>
      <c r="AP28" s="161"/>
      <c r="AQ28" s="166"/>
      <c r="AR28" s="166"/>
      <c r="AS28" s="166"/>
      <c r="AT28" s="1"/>
    </row>
    <row r="29" spans="1:47" ht="20.100000000000001" customHeight="1" thickBot="1" x14ac:dyDescent="0.3">
      <c r="A29" s="39" t="str">
        <f>IFERROR(IF(config!E21="","",config!E21),"")</f>
        <v>C005216</v>
      </c>
      <c r="B29" s="39" t="str">
        <f>IFERROR(IF(config!F21="","",config!F21),"")</f>
        <v>PIEL</v>
      </c>
      <c r="C29" s="39" t="str">
        <f>IFERROR(IF(config!G21="","",config!G21),"")</f>
        <v>Frédy</v>
      </c>
      <c r="D29" s="8">
        <f>COUNTIF(P29:AS29,"p")</f>
        <v>0</v>
      </c>
      <c r="E29" s="8">
        <f>COUNTIF(P29:AS29,"PC")</f>
        <v>0</v>
      </c>
      <c r="F29" s="8">
        <f>COUNTIF(P29:AS29,"f")</f>
        <v>0</v>
      </c>
      <c r="G29" s="8">
        <f>COUNTIF(P29:AS29,"ast")</f>
        <v>0</v>
      </c>
      <c r="H29" s="8">
        <f>COUNTIF(P29:AS29,"cA")</f>
        <v>0</v>
      </c>
      <c r="I29" s="8">
        <f>COUNTIF(P29:AS29,"rtt")</f>
        <v>0</v>
      </c>
      <c r="J29" s="8">
        <f>COUNTIF(P29:AS29,"cex")</f>
        <v>0</v>
      </c>
      <c r="K29" s="8">
        <f>COUNTIF(P29:AS29,"res")</f>
        <v>0</v>
      </c>
      <c r="L29" s="8">
        <f>COUNTIF(P29:AS29,"mA")</f>
        <v>0</v>
      </c>
      <c r="M29" s="8">
        <f>COUNTIF(P29:AS29,"at")</f>
        <v>0</v>
      </c>
      <c r="N29" s="8">
        <f>COUNTIF(P29:AS29,"TAD")</f>
        <v>0</v>
      </c>
      <c r="O29" s="8">
        <f>COUNTIF(P29:AS29,"TP")</f>
        <v>0</v>
      </c>
      <c r="P29" s="8"/>
      <c r="Q29" s="8"/>
      <c r="R29" s="8"/>
      <c r="S29" s="8"/>
      <c r="T29" s="94"/>
      <c r="U29" s="94"/>
      <c r="V29" s="8"/>
      <c r="W29" s="8"/>
      <c r="X29" s="8"/>
      <c r="Y29" s="8"/>
      <c r="Z29" s="8"/>
      <c r="AA29" s="94"/>
      <c r="AB29" s="94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94"/>
      <c r="AP29" s="94"/>
      <c r="AQ29" s="94"/>
      <c r="AR29" s="94"/>
      <c r="AS29" s="94"/>
      <c r="AT29" s="227"/>
    </row>
    <row r="30" spans="1:47" ht="20.100000000000001" customHeight="1" thickBot="1" x14ac:dyDescent="0.3">
      <c r="A30" s="220" t="str">
        <f>IFERROR(IF(config!E22="","",config!E22),"")</f>
        <v>PROPRETE</v>
      </c>
      <c r="B30" s="220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6"/>
      <c r="AR30" s="226"/>
      <c r="AS30" s="226"/>
      <c r="AT30" s="226"/>
      <c r="AU30" s="226"/>
    </row>
    <row r="31" spans="1:47" ht="20.100000000000001" customHeight="1" x14ac:dyDescent="0.25">
      <c r="A31" s="39" t="str">
        <f>IFERROR(IF(config!E23="","",config!E23),"")</f>
        <v>JN020502</v>
      </c>
      <c r="B31" s="39" t="str">
        <f>IFERROR(IF(config!F23="","",config!F23),"")</f>
        <v>GOURVIAT</v>
      </c>
      <c r="C31" s="39" t="str">
        <f>IFERROR(IF(config!G23="","",config!G23),"")</f>
        <v>Annabelle</v>
      </c>
      <c r="D31" s="8">
        <f t="shared" ref="D31:D36" si="15">COUNTIF(P31:AS31,"p")</f>
        <v>0</v>
      </c>
      <c r="E31" s="8">
        <f t="shared" ref="E31:E36" si="16">COUNTIF(P31:AS31,"PC")</f>
        <v>0</v>
      </c>
      <c r="F31" s="8">
        <f t="shared" ref="F31:F36" si="17">COUNTIF(P31:AS31,"f")</f>
        <v>0</v>
      </c>
      <c r="G31" s="8">
        <f t="shared" ref="G31:G36" si="18">COUNTIF(P31:AS31,"ast")</f>
        <v>0</v>
      </c>
      <c r="H31" s="8">
        <f t="shared" ref="H31:H36" si="19">COUNTIF(P31:AS31,"cA")</f>
        <v>0</v>
      </c>
      <c r="I31" s="8">
        <f t="shared" ref="I31:I36" si="20">COUNTIF(P31:AS31,"rtt")</f>
        <v>0</v>
      </c>
      <c r="J31" s="8">
        <f t="shared" ref="J31:J36" si="21">COUNTIF(P31:AS31,"cex")</f>
        <v>0</v>
      </c>
      <c r="K31" s="8">
        <f t="shared" ref="K31:K36" si="22">COUNTIF(P31:AS31,"res")</f>
        <v>0</v>
      </c>
      <c r="L31" s="8">
        <f t="shared" ref="L31:L36" si="23">COUNTIF(P31:AS31,"mA")</f>
        <v>0</v>
      </c>
      <c r="M31" s="8">
        <f t="shared" ref="M31:M36" si="24">COUNTIF(P31:AS31,"at")</f>
        <v>0</v>
      </c>
      <c r="N31" s="8">
        <f t="shared" ref="N31:N36" si="25">COUNTIF(P31:AS31,"TAD")</f>
        <v>0</v>
      </c>
      <c r="O31" s="8">
        <f t="shared" ref="O31:O36" si="26">COUNTIF(P31:AS31,"TP")</f>
        <v>0</v>
      </c>
      <c r="P31" s="8"/>
      <c r="Q31" s="8"/>
      <c r="R31" s="8"/>
      <c r="S31" s="8"/>
      <c r="T31" s="94"/>
      <c r="U31" s="94"/>
      <c r="V31" s="8"/>
      <c r="W31" s="8"/>
      <c r="X31" s="8"/>
      <c r="Y31" s="8"/>
      <c r="Z31" s="8"/>
      <c r="AA31" s="94"/>
      <c r="AB31" s="94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4"/>
      <c r="AP31" s="94"/>
      <c r="AQ31" s="94"/>
      <c r="AR31" s="94"/>
      <c r="AS31" s="94"/>
      <c r="AT31" s="227"/>
    </row>
    <row r="32" spans="1:47" ht="20.100000000000001" customHeight="1" x14ac:dyDescent="0.25">
      <c r="A32" s="39" t="str">
        <f>IFERROR(IF(config!E24="","",config!E24),"")</f>
        <v>JT032516</v>
      </c>
      <c r="B32" s="39" t="str">
        <f>IFERROR(IF(config!F24="","",config!F24),"")</f>
        <v>LARTIGUE</v>
      </c>
      <c r="C32" s="39" t="str">
        <f>IFERROR(IF(config!G24="","",config!G24),"")</f>
        <v>Laura</v>
      </c>
      <c r="D32" s="8">
        <f t="shared" si="15"/>
        <v>0</v>
      </c>
      <c r="E32" s="8">
        <f t="shared" si="16"/>
        <v>0</v>
      </c>
      <c r="F32" s="8">
        <f t="shared" si="17"/>
        <v>0</v>
      </c>
      <c r="G32" s="8">
        <f t="shared" si="18"/>
        <v>0</v>
      </c>
      <c r="H32" s="8">
        <f t="shared" si="19"/>
        <v>0</v>
      </c>
      <c r="I32" s="8">
        <f t="shared" si="20"/>
        <v>0</v>
      </c>
      <c r="J32" s="8">
        <f t="shared" si="21"/>
        <v>0</v>
      </c>
      <c r="K32" s="8">
        <f t="shared" si="22"/>
        <v>0</v>
      </c>
      <c r="L32" s="8">
        <f t="shared" si="23"/>
        <v>0</v>
      </c>
      <c r="M32" s="8">
        <f t="shared" si="24"/>
        <v>0</v>
      </c>
      <c r="N32" s="8">
        <f t="shared" si="25"/>
        <v>0</v>
      </c>
      <c r="O32" s="8">
        <f t="shared" si="26"/>
        <v>0</v>
      </c>
      <c r="P32" s="8"/>
      <c r="Q32" s="8"/>
      <c r="R32" s="8"/>
      <c r="S32" s="8"/>
      <c r="T32" s="94"/>
      <c r="U32" s="94"/>
      <c r="V32" s="8"/>
      <c r="W32" s="8"/>
      <c r="X32" s="8"/>
      <c r="Y32" s="8"/>
      <c r="Z32" s="8"/>
      <c r="AA32" s="94"/>
      <c r="AB32" s="94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4"/>
      <c r="AP32" s="94"/>
      <c r="AQ32" s="94"/>
      <c r="AR32" s="94"/>
      <c r="AS32" s="94"/>
      <c r="AT32" s="227"/>
    </row>
    <row r="33" spans="1:58" ht="20.100000000000001" customHeight="1" x14ac:dyDescent="0.25">
      <c r="A33" s="39" t="str">
        <f>IFERROR(IF(config!E25="","",config!E25),"")</f>
        <v>JN010897</v>
      </c>
      <c r="B33" s="39" t="str">
        <f>IFERROR(IF(config!F25="","",config!F25),"")</f>
        <v>TRIQUENEAUX</v>
      </c>
      <c r="C33" s="39" t="str">
        <f>IFERROR(IF(config!G25="","",config!G25),"")</f>
        <v>Benoit</v>
      </c>
      <c r="D33" s="8">
        <f t="shared" si="15"/>
        <v>0</v>
      </c>
      <c r="E33" s="8">
        <f t="shared" si="16"/>
        <v>0</v>
      </c>
      <c r="F33" s="8">
        <f t="shared" si="17"/>
        <v>0</v>
      </c>
      <c r="G33" s="8">
        <f t="shared" si="18"/>
        <v>0</v>
      </c>
      <c r="H33" s="8">
        <f t="shared" si="19"/>
        <v>0</v>
      </c>
      <c r="I33" s="8">
        <f t="shared" si="20"/>
        <v>0</v>
      </c>
      <c r="J33" s="8">
        <f t="shared" si="21"/>
        <v>0</v>
      </c>
      <c r="K33" s="8">
        <f t="shared" si="22"/>
        <v>0</v>
      </c>
      <c r="L33" s="8">
        <f t="shared" si="23"/>
        <v>0</v>
      </c>
      <c r="M33" s="8">
        <f t="shared" si="24"/>
        <v>0</v>
      </c>
      <c r="N33" s="8">
        <f t="shared" si="25"/>
        <v>0</v>
      </c>
      <c r="O33" s="8">
        <f t="shared" si="26"/>
        <v>0</v>
      </c>
      <c r="P33" s="8"/>
      <c r="Q33" s="8"/>
      <c r="R33" s="8"/>
      <c r="S33" s="8"/>
      <c r="T33" s="94"/>
      <c r="U33" s="94"/>
      <c r="V33" s="8"/>
      <c r="W33" s="8"/>
      <c r="X33" s="8"/>
      <c r="Y33" s="8"/>
      <c r="Z33" s="8"/>
      <c r="AA33" s="94"/>
      <c r="AB33" s="94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94"/>
      <c r="AP33" s="94"/>
      <c r="AQ33" s="94"/>
      <c r="AR33" s="94"/>
      <c r="AS33" s="94"/>
      <c r="AT33" s="227"/>
    </row>
    <row r="34" spans="1:58" ht="20.100000000000001" customHeight="1" x14ac:dyDescent="0.25">
      <c r="A34" s="39" t="str">
        <f>IFERROR(IF(config!E26="","",config!E26),"")</f>
        <v>JN010381</v>
      </c>
      <c r="B34" s="39" t="str">
        <f>IFERROR(IF(config!F26="","",config!F26),"")</f>
        <v>ESPERON</v>
      </c>
      <c r="C34" s="39" t="str">
        <f>IFERROR(IF(config!G26="","",config!G26),"")</f>
        <v>Alain</v>
      </c>
      <c r="D34" s="8">
        <f t="shared" si="15"/>
        <v>0</v>
      </c>
      <c r="E34" s="8">
        <f t="shared" si="16"/>
        <v>0</v>
      </c>
      <c r="F34" s="8">
        <f t="shared" si="17"/>
        <v>0</v>
      </c>
      <c r="G34" s="8">
        <f t="shared" si="18"/>
        <v>0</v>
      </c>
      <c r="H34" s="8">
        <f t="shared" si="19"/>
        <v>0</v>
      </c>
      <c r="I34" s="8">
        <f t="shared" si="20"/>
        <v>0</v>
      </c>
      <c r="J34" s="8">
        <f t="shared" si="21"/>
        <v>0</v>
      </c>
      <c r="K34" s="8">
        <f t="shared" si="22"/>
        <v>0</v>
      </c>
      <c r="L34" s="8">
        <f t="shared" si="23"/>
        <v>0</v>
      </c>
      <c r="M34" s="8">
        <f t="shared" si="24"/>
        <v>0</v>
      </c>
      <c r="N34" s="8">
        <f t="shared" si="25"/>
        <v>0</v>
      </c>
      <c r="O34" s="8">
        <f t="shared" si="26"/>
        <v>0</v>
      </c>
      <c r="P34" s="8"/>
      <c r="Q34" s="8"/>
      <c r="R34" s="8"/>
      <c r="S34" s="8"/>
      <c r="T34" s="94"/>
      <c r="U34" s="94"/>
      <c r="V34" s="8"/>
      <c r="W34" s="8"/>
      <c r="X34" s="8"/>
      <c r="Y34" s="8"/>
      <c r="Z34" s="8"/>
      <c r="AA34" s="94"/>
      <c r="AB34" s="94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94"/>
      <c r="AP34" s="94"/>
      <c r="AQ34" s="94"/>
      <c r="AR34" s="94"/>
      <c r="AS34" s="94"/>
      <c r="AT34" s="227"/>
    </row>
    <row r="35" spans="1:58" ht="20.100000000000001" customHeight="1" x14ac:dyDescent="0.25">
      <c r="A35" s="39" t="str">
        <f>IFERROR(IF(config!E27="","",config!E27),"")</f>
        <v>JN010750</v>
      </c>
      <c r="B35" s="39" t="str">
        <f>IFERROR(IF(config!F27="","",config!F27),"")</f>
        <v>ROUGLAN</v>
      </c>
      <c r="C35" s="39" t="str">
        <f>IFERROR(IF(config!G27="","",config!G27),"")</f>
        <v>William</v>
      </c>
      <c r="D35" s="8">
        <f t="shared" si="15"/>
        <v>0</v>
      </c>
      <c r="E35" s="8">
        <f t="shared" si="16"/>
        <v>0</v>
      </c>
      <c r="F35" s="8">
        <f t="shared" si="17"/>
        <v>0</v>
      </c>
      <c r="G35" s="8">
        <f t="shared" si="18"/>
        <v>0</v>
      </c>
      <c r="H35" s="8">
        <f t="shared" si="19"/>
        <v>0</v>
      </c>
      <c r="I35" s="8">
        <f t="shared" si="20"/>
        <v>0</v>
      </c>
      <c r="J35" s="8">
        <f t="shared" si="21"/>
        <v>0</v>
      </c>
      <c r="K35" s="8">
        <f t="shared" si="22"/>
        <v>0</v>
      </c>
      <c r="L35" s="8">
        <f t="shared" si="23"/>
        <v>0</v>
      </c>
      <c r="M35" s="8">
        <f t="shared" si="24"/>
        <v>0</v>
      </c>
      <c r="N35" s="8">
        <f t="shared" si="25"/>
        <v>0</v>
      </c>
      <c r="O35" s="8">
        <f t="shared" si="26"/>
        <v>0</v>
      </c>
      <c r="P35" s="8"/>
      <c r="Q35" s="8"/>
      <c r="R35" s="8"/>
      <c r="S35" s="8"/>
      <c r="T35" s="94"/>
      <c r="U35" s="94"/>
      <c r="V35" s="8"/>
      <c r="W35" s="8"/>
      <c r="X35" s="8"/>
      <c r="Y35" s="8"/>
      <c r="Z35" s="8"/>
      <c r="AA35" s="94"/>
      <c r="AB35" s="94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4"/>
      <c r="AP35" s="94"/>
      <c r="AQ35" s="94"/>
      <c r="AR35" s="94"/>
      <c r="AS35" s="94"/>
      <c r="AT35" s="227"/>
    </row>
    <row r="36" spans="1:58" ht="20.100000000000001" customHeight="1" thickBot="1" x14ac:dyDescent="0.3">
      <c r="A36" s="39" t="str">
        <f>IFERROR(IF(config!E28="","",config!E28),"")</f>
        <v>JN010461</v>
      </c>
      <c r="B36" s="39" t="str">
        <f>IFERROR(IF(config!F28="","",config!F28),"")</f>
        <v>NOURRI</v>
      </c>
      <c r="C36" s="39" t="str">
        <f>IFERROR(IF(config!G28="","",config!G28),"")</f>
        <v>Danny</v>
      </c>
      <c r="D36" s="8">
        <f t="shared" si="15"/>
        <v>0</v>
      </c>
      <c r="E36" s="8">
        <f t="shared" si="16"/>
        <v>0</v>
      </c>
      <c r="F36" s="8">
        <f t="shared" si="17"/>
        <v>0</v>
      </c>
      <c r="G36" s="8">
        <f t="shared" si="18"/>
        <v>0</v>
      </c>
      <c r="H36" s="8">
        <f t="shared" si="19"/>
        <v>0</v>
      </c>
      <c r="I36" s="8">
        <f t="shared" si="20"/>
        <v>0</v>
      </c>
      <c r="J36" s="8">
        <f t="shared" si="21"/>
        <v>0</v>
      </c>
      <c r="K36" s="8">
        <f t="shared" si="22"/>
        <v>0</v>
      </c>
      <c r="L36" s="8">
        <f t="shared" si="23"/>
        <v>0</v>
      </c>
      <c r="M36" s="8">
        <f t="shared" si="24"/>
        <v>0</v>
      </c>
      <c r="N36" s="8">
        <f t="shared" si="25"/>
        <v>0</v>
      </c>
      <c r="O36" s="8">
        <f t="shared" si="26"/>
        <v>0</v>
      </c>
      <c r="P36" s="8"/>
      <c r="Q36" s="8"/>
      <c r="R36" s="8"/>
      <c r="S36" s="8"/>
      <c r="T36" s="94"/>
      <c r="U36" s="94"/>
      <c r="V36" s="8"/>
      <c r="W36" s="8"/>
      <c r="X36" s="8"/>
      <c r="Y36" s="8"/>
      <c r="Z36" s="8"/>
      <c r="AA36" s="94"/>
      <c r="AB36" s="94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94"/>
      <c r="AP36" s="94"/>
      <c r="AQ36" s="94"/>
      <c r="AR36" s="94"/>
      <c r="AS36" s="94"/>
      <c r="AT36" s="227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257"/>
    </row>
    <row r="38" spans="1:58" ht="20.100000000000001" customHeight="1" thickBot="1" x14ac:dyDescent="0.3">
      <c r="A38" s="305" t="str">
        <f>IFERROR(IF(config!E30="","",config!E30),"")</f>
        <v>AGENTS VOIRIE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48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33" t="str">
        <f>IFERROR(IF(config!E31="","",config!E31),"")</f>
        <v>JT028103</v>
      </c>
      <c r="B39" s="40" t="str">
        <f>IFERROR(IF(config!F31="","",config!F31),"")</f>
        <v>BERRIO-GAUDNER</v>
      </c>
      <c r="C39" s="102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20">
        <f t="shared" ref="O39:O49" si="38">COUNTIF(P39:AS39,"TP")</f>
        <v>0</v>
      </c>
      <c r="P39" s="87"/>
      <c r="Q39" s="87"/>
      <c r="R39" s="87"/>
      <c r="S39" s="87"/>
      <c r="T39" s="86"/>
      <c r="U39" s="86"/>
      <c r="V39" s="20"/>
      <c r="W39" s="20"/>
      <c r="X39" s="20"/>
      <c r="Y39" s="20"/>
      <c r="Z39" s="20"/>
      <c r="AA39" s="94"/>
      <c r="AB39" s="94"/>
      <c r="AC39" s="20"/>
      <c r="AD39" s="20"/>
      <c r="AE39" s="20"/>
      <c r="AF39" s="20"/>
      <c r="AG39" s="20"/>
      <c r="AH39" s="94"/>
      <c r="AI39" s="94"/>
      <c r="AJ39" s="112"/>
      <c r="AK39" s="20"/>
      <c r="AL39" s="20"/>
      <c r="AM39" s="20"/>
      <c r="AN39" s="20"/>
      <c r="AO39" s="94"/>
      <c r="AP39" s="94"/>
      <c r="AQ39" s="20"/>
      <c r="AR39" s="20"/>
      <c r="AS39" s="20"/>
      <c r="AT39" s="1"/>
      <c r="AV39" s="15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20">
        <f t="shared" si="38"/>
        <v>0</v>
      </c>
      <c r="P40" s="189"/>
      <c r="Q40" s="8"/>
      <c r="R40" s="101"/>
      <c r="S40" s="8"/>
      <c r="T40" s="94"/>
      <c r="U40" s="94"/>
      <c r="V40" s="8"/>
      <c r="W40" s="8"/>
      <c r="X40" s="8"/>
      <c r="Y40" s="8"/>
      <c r="Z40" s="8"/>
      <c r="AA40" s="94"/>
      <c r="AB40" s="94"/>
      <c r="AC40" s="8"/>
      <c r="AD40" s="8"/>
      <c r="AE40" s="8"/>
      <c r="AF40" s="8"/>
      <c r="AG40" s="8"/>
      <c r="AH40" s="94"/>
      <c r="AI40" s="94"/>
      <c r="AJ40" s="112"/>
      <c r="AK40" s="8"/>
      <c r="AL40" s="8"/>
      <c r="AM40" s="8"/>
      <c r="AN40" s="8"/>
      <c r="AO40" s="94"/>
      <c r="AP40" s="94"/>
      <c r="AQ40" s="8"/>
      <c r="AR40" s="8"/>
      <c r="AS40" s="35"/>
      <c r="AT40" s="1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20">
        <f t="shared" si="38"/>
        <v>0</v>
      </c>
      <c r="P41" s="189"/>
      <c r="Q41" s="8"/>
      <c r="R41" s="22"/>
      <c r="S41" s="22"/>
      <c r="T41" s="94"/>
      <c r="U41" s="94"/>
      <c r="V41" s="8"/>
      <c r="W41" s="8"/>
      <c r="X41" s="8"/>
      <c r="Y41" s="8"/>
      <c r="Z41" s="8"/>
      <c r="AA41" s="94"/>
      <c r="AB41" s="94"/>
      <c r="AC41" s="8"/>
      <c r="AD41" s="8"/>
      <c r="AE41" s="8"/>
      <c r="AF41" s="8"/>
      <c r="AG41" s="8"/>
      <c r="AH41" s="94"/>
      <c r="AI41" s="94"/>
      <c r="AJ41" s="112"/>
      <c r="AK41" s="8"/>
      <c r="AL41" s="8"/>
      <c r="AM41" s="8"/>
      <c r="AN41" s="8"/>
      <c r="AO41" s="94"/>
      <c r="AP41" s="94"/>
      <c r="AQ41" s="8"/>
      <c r="AR41" s="8"/>
      <c r="AS41" s="8"/>
      <c r="AT41" s="1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20">
        <f t="shared" si="38"/>
        <v>0</v>
      </c>
      <c r="P42" s="90"/>
      <c r="Q42" s="103"/>
      <c r="R42" s="8"/>
      <c r="S42" s="8"/>
      <c r="T42" s="94"/>
      <c r="U42" s="94"/>
      <c r="V42" s="8"/>
      <c r="W42" s="8"/>
      <c r="X42" s="8"/>
      <c r="Y42" s="8"/>
      <c r="Z42" s="8"/>
      <c r="AA42" s="94"/>
      <c r="AB42" s="94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94"/>
      <c r="AP42" s="94"/>
      <c r="AQ42" s="8"/>
      <c r="AR42" s="8"/>
      <c r="AS42" s="8"/>
      <c r="AT42" s="1"/>
    </row>
    <row r="43" spans="1:58" ht="20.100000000000001" customHeight="1" thickBot="1" x14ac:dyDescent="0.3">
      <c r="A43" s="32" t="str">
        <f>IFERROR(IF(config!#REF!="","",config!#REF!),"")</f>
        <v/>
      </c>
      <c r="B43" s="39" t="str">
        <f>IFERROR(IF(config!#REF!="","",config!#REF!),"")</f>
        <v/>
      </c>
      <c r="C43" s="69" t="str">
        <f>IFERROR(IF(config!#REF!="","",config!#REF!),"")</f>
        <v/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20">
        <f t="shared" si="38"/>
        <v>0</v>
      </c>
      <c r="P43" s="90"/>
      <c r="Q43" s="90"/>
      <c r="R43" s="90"/>
      <c r="S43" s="90"/>
      <c r="T43" s="94"/>
      <c r="U43" s="94"/>
      <c r="V43" s="8"/>
      <c r="W43" s="8"/>
      <c r="X43" s="8"/>
      <c r="Y43" s="8"/>
      <c r="Z43" s="8"/>
      <c r="AA43" s="94"/>
      <c r="AB43" s="94"/>
      <c r="AC43" s="8"/>
      <c r="AD43" s="8"/>
      <c r="AE43" s="8"/>
      <c r="AF43" s="8"/>
      <c r="AG43" s="8"/>
      <c r="AH43" s="94"/>
      <c r="AI43" s="94"/>
      <c r="AJ43" s="112"/>
      <c r="AK43" s="8"/>
      <c r="AL43" s="8"/>
      <c r="AM43" s="8"/>
      <c r="AN43" s="8"/>
      <c r="AO43" s="94"/>
      <c r="AP43" s="94"/>
      <c r="AQ43" s="8"/>
      <c r="AR43" s="8"/>
      <c r="AS43" s="8"/>
      <c r="AT43" s="1"/>
    </row>
    <row r="44" spans="1:58" ht="20.100000000000001" customHeight="1" thickBot="1" x14ac:dyDescent="0.3">
      <c r="A44" s="32" t="str">
        <f>IFERROR(IF(config!E35="","",config!E35),"")</f>
        <v>C002986</v>
      </c>
      <c r="B44" s="39" t="str">
        <f>IFERROR(IF(config!F35="","",config!F35),"")</f>
        <v>LABORIE</v>
      </c>
      <c r="C44" s="69" t="str">
        <f>IFERROR(IF(config!G35="","",config!G35),"")</f>
        <v>Jean-Louis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20">
        <f t="shared" si="38"/>
        <v>0</v>
      </c>
      <c r="P44" s="90"/>
      <c r="Q44" s="90"/>
      <c r="R44" s="90"/>
      <c r="S44" s="90"/>
      <c r="T44" s="94"/>
      <c r="U44" s="94"/>
      <c r="V44" s="8"/>
      <c r="W44" s="8"/>
      <c r="X44" s="8"/>
      <c r="Y44" s="8"/>
      <c r="Z44" s="8"/>
      <c r="AA44" s="94"/>
      <c r="AB44" s="94"/>
      <c r="AC44" s="8"/>
      <c r="AD44" s="8"/>
      <c r="AE44" s="8"/>
      <c r="AF44" s="8"/>
      <c r="AG44" s="8"/>
      <c r="AH44" s="94"/>
      <c r="AI44" s="94"/>
      <c r="AJ44" s="112"/>
      <c r="AK44" s="8"/>
      <c r="AL44" s="8"/>
      <c r="AM44" s="8"/>
      <c r="AN44" s="8"/>
      <c r="AO44" s="94"/>
      <c r="AP44" s="94"/>
      <c r="AQ44" s="8"/>
      <c r="AR44" s="8"/>
      <c r="AS44" s="8"/>
      <c r="AT44" s="1"/>
    </row>
    <row r="45" spans="1:58" ht="20.100000000000001" customHeight="1" thickBot="1" x14ac:dyDescent="0.3">
      <c r="A45" s="32" t="str">
        <f>IFERROR(IF(config!E36="","",config!E36),"")</f>
        <v>C007317</v>
      </c>
      <c r="B45" s="39" t="str">
        <f>IFERROR(IF(config!F36="","",config!F36),"")</f>
        <v>LARRIEU</v>
      </c>
      <c r="C45" s="69" t="str">
        <f>IFERROR(IF(config!G36="","",config!G36),"")</f>
        <v>Cédric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0</v>
      </c>
      <c r="N45" s="20">
        <f t="shared" si="37"/>
        <v>0</v>
      </c>
      <c r="O45" s="20">
        <f t="shared" si="38"/>
        <v>0</v>
      </c>
      <c r="P45" s="90"/>
      <c r="Q45" s="8"/>
      <c r="R45" s="8"/>
      <c r="S45" s="8"/>
      <c r="T45" s="94"/>
      <c r="U45" s="94"/>
      <c r="V45" s="8"/>
      <c r="W45" s="8"/>
      <c r="X45" s="8"/>
      <c r="Y45" s="8"/>
      <c r="Z45" s="8"/>
      <c r="AA45" s="94"/>
      <c r="AB45" s="94"/>
      <c r="AC45" s="8"/>
      <c r="AD45" s="8"/>
      <c r="AE45" s="8"/>
      <c r="AF45" s="8"/>
      <c r="AG45" s="8"/>
      <c r="AH45" s="94"/>
      <c r="AI45" s="94"/>
      <c r="AJ45" s="112"/>
      <c r="AK45" s="8"/>
      <c r="AL45" s="8"/>
      <c r="AM45" s="8"/>
      <c r="AN45" s="8"/>
      <c r="AO45" s="94"/>
      <c r="AP45" s="94"/>
      <c r="AQ45" s="8"/>
      <c r="AR45" s="8"/>
      <c r="AS45" s="8"/>
      <c r="AT45" s="1"/>
    </row>
    <row r="46" spans="1:58" ht="20.100000000000001" customHeight="1" thickBot="1" x14ac:dyDescent="0.3">
      <c r="A46" s="32" t="str">
        <f>IFERROR(IF(config!E37="","",config!E37),"")</f>
        <v>C004309</v>
      </c>
      <c r="B46" s="39" t="str">
        <f>IFERROR(IF(config!F37="","",config!F37),"")</f>
        <v>LEVIGNAT</v>
      </c>
      <c r="C46" s="69" t="str">
        <f>IFERROR(IF(config!G37="","",config!G37),"")</f>
        <v>Didier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20">
        <f t="shared" si="38"/>
        <v>0</v>
      </c>
      <c r="P46" s="90"/>
      <c r="Q46" s="90"/>
      <c r="R46" s="90"/>
      <c r="S46" s="90"/>
      <c r="T46" s="94"/>
      <c r="U46" s="94"/>
      <c r="V46" s="90"/>
      <c r="W46" s="90"/>
      <c r="X46" s="90"/>
      <c r="Y46" s="90"/>
      <c r="Z46" s="90"/>
      <c r="AA46" s="94"/>
      <c r="AB46" s="94"/>
      <c r="AC46" s="90"/>
      <c r="AD46" s="90"/>
      <c r="AE46" s="90"/>
      <c r="AF46" s="90"/>
      <c r="AG46" s="90"/>
      <c r="AH46" s="94"/>
      <c r="AI46" s="94"/>
      <c r="AJ46" s="112"/>
      <c r="AK46" s="90"/>
      <c r="AL46" s="90"/>
      <c r="AM46" s="90"/>
      <c r="AN46" s="90"/>
      <c r="AO46" s="94"/>
      <c r="AP46" s="94"/>
      <c r="AQ46" s="90"/>
      <c r="AR46" s="90"/>
      <c r="AS46" s="90"/>
      <c r="AT46" s="1"/>
    </row>
    <row r="47" spans="1:58" ht="20.100000000000001" customHeight="1" thickBot="1" x14ac:dyDescent="0.3">
      <c r="A47" s="32" t="str">
        <f>IFERROR(IF(config!E38="","",config!E38),"")</f>
        <v>C005624</v>
      </c>
      <c r="B47" s="39" t="str">
        <f>IFERROR(IF(config!F38="","",config!F38),"")</f>
        <v>MARTIN-HERNANDEZ</v>
      </c>
      <c r="C47" s="69" t="str">
        <f>IFERROR(IF(config!G38="","",config!G38),"")</f>
        <v>Pierre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20">
        <f t="shared" si="38"/>
        <v>0</v>
      </c>
      <c r="P47" s="90"/>
      <c r="Q47" s="90"/>
      <c r="R47" s="8"/>
      <c r="S47" s="8"/>
      <c r="T47" s="94"/>
      <c r="U47" s="94"/>
      <c r="V47" s="8"/>
      <c r="W47" s="8"/>
      <c r="X47" s="8"/>
      <c r="Y47" s="8"/>
      <c r="Z47" s="8"/>
      <c r="AA47" s="94"/>
      <c r="AB47" s="94"/>
      <c r="AC47" s="8"/>
      <c r="AD47" s="8"/>
      <c r="AE47" s="8"/>
      <c r="AF47" s="8"/>
      <c r="AG47" s="8"/>
      <c r="AH47" s="94"/>
      <c r="AI47" s="94"/>
      <c r="AJ47" s="112"/>
      <c r="AK47" s="8"/>
      <c r="AL47" s="8"/>
      <c r="AM47" s="8"/>
      <c r="AN47" s="8"/>
      <c r="AO47" s="94"/>
      <c r="AP47" s="94"/>
      <c r="AQ47" s="8"/>
      <c r="AR47" s="8"/>
      <c r="AS47" s="8"/>
      <c r="AT47" s="1"/>
    </row>
    <row r="48" spans="1:58" ht="20.100000000000001" customHeight="1" thickBot="1" x14ac:dyDescent="0.3">
      <c r="A48" s="32" t="str">
        <f>IFERROR(IF(config!E39="","",config!E39),"")</f>
        <v>C007758</v>
      </c>
      <c r="B48" s="39" t="str">
        <f>IFERROR(IF(config!F39="","",config!F39),"")</f>
        <v>PIERRE</v>
      </c>
      <c r="C48" s="69" t="str">
        <f>IFERROR(IF(config!G39="","",config!G39),"")</f>
        <v>Frantzy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20">
        <f t="shared" si="38"/>
        <v>0</v>
      </c>
      <c r="P48" s="90"/>
      <c r="Q48" s="90"/>
      <c r="R48" s="90"/>
      <c r="S48" s="90"/>
      <c r="T48" s="94"/>
      <c r="U48" s="94"/>
      <c r="V48" s="8"/>
      <c r="W48" s="8"/>
      <c r="X48" s="8"/>
      <c r="Y48" s="8"/>
      <c r="Z48" s="8"/>
      <c r="AA48" s="94"/>
      <c r="AB48" s="94"/>
      <c r="AC48" s="8"/>
      <c r="AD48" s="8"/>
      <c r="AE48" s="8"/>
      <c r="AF48" s="8"/>
      <c r="AG48" s="8"/>
      <c r="AH48" s="94"/>
      <c r="AI48" s="94"/>
      <c r="AJ48" s="112"/>
      <c r="AK48" s="8"/>
      <c r="AL48" s="8"/>
      <c r="AM48" s="8"/>
      <c r="AN48" s="8"/>
      <c r="AO48" s="94"/>
      <c r="AP48" s="94"/>
      <c r="AQ48" s="8"/>
      <c r="AR48" s="8"/>
      <c r="AS48" s="8"/>
      <c r="AT48" s="1"/>
    </row>
    <row r="49" spans="1:58" ht="20.100000000000001" customHeight="1" thickBot="1" x14ac:dyDescent="0.3">
      <c r="A49" s="31" t="str">
        <f>IFERROR(IF(config!E40="","",config!E40),"")</f>
        <v>C004609</v>
      </c>
      <c r="B49" s="42" t="str">
        <f>IFERROR(IF(config!F40="","",config!F40),"")</f>
        <v>SOLA</v>
      </c>
      <c r="C49" s="70" t="str">
        <f>IFERROR(IF(config!G40="","",config!G40),"")</f>
        <v>Xavier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20">
        <f t="shared" si="38"/>
        <v>0</v>
      </c>
      <c r="P49" s="91"/>
      <c r="Q49" s="91"/>
      <c r="R49" s="91"/>
      <c r="S49" s="91"/>
      <c r="T49" s="95"/>
      <c r="U49" s="95"/>
      <c r="V49" s="8"/>
      <c r="W49" s="8"/>
      <c r="X49" s="8"/>
      <c r="Y49" s="8"/>
      <c r="Z49" s="21"/>
      <c r="AA49" s="95"/>
      <c r="AB49" s="95"/>
      <c r="AC49" s="21"/>
      <c r="AD49" s="21"/>
      <c r="AE49" s="21"/>
      <c r="AF49" s="21"/>
      <c r="AG49" s="21"/>
      <c r="AH49" s="95"/>
      <c r="AI49" s="95"/>
      <c r="AJ49" s="113"/>
      <c r="AK49" s="21"/>
      <c r="AL49" s="21"/>
      <c r="AM49" s="21"/>
      <c r="AN49" s="21"/>
      <c r="AO49" s="95"/>
      <c r="AP49" s="95"/>
      <c r="AQ49" s="21"/>
      <c r="AR49" s="21"/>
      <c r="AS49" s="21"/>
      <c r="AT49" s="1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T50" s="143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87">
        <f t="shared" ref="D51:D62" si="39">COUNTIF(P51:AS51,"p")</f>
        <v>0</v>
      </c>
      <c r="E51" s="20">
        <f t="shared" ref="E51:E62" si="40">COUNTIF(P51:AS51,"PC")</f>
        <v>0</v>
      </c>
      <c r="F51" s="20">
        <f t="shared" ref="F51:F62" si="41">COUNTIF(P51:AS51,"f")</f>
        <v>0</v>
      </c>
      <c r="G51" s="20">
        <f t="shared" ref="G51:G62" si="42">COUNTIF(P51:AS51,"ast")</f>
        <v>0</v>
      </c>
      <c r="H51" s="20">
        <f t="shared" ref="H51:H62" si="43">COUNTIF(P51:AS51,"cA")</f>
        <v>0</v>
      </c>
      <c r="I51" s="20">
        <f t="shared" ref="I51:I62" si="44">COUNTIF(P51:AS51,"rtt")</f>
        <v>0</v>
      </c>
      <c r="J51" s="20">
        <f t="shared" ref="J51:J62" si="45">COUNTIF(P51:AS51,"cex")</f>
        <v>0</v>
      </c>
      <c r="K51" s="20">
        <f t="shared" ref="K51:K62" si="46">COUNTIF(P51:AS51,"res")</f>
        <v>0</v>
      </c>
      <c r="L51" s="20">
        <f t="shared" ref="L51:L62" si="47">COUNTIF(P51:AS51,"mA")</f>
        <v>0</v>
      </c>
      <c r="M51" s="20">
        <f t="shared" ref="M51:M62" si="48">COUNTIF(P51:AS51,"at")</f>
        <v>0</v>
      </c>
      <c r="N51" s="20">
        <f t="shared" ref="N51:N62" si="49">COUNTIF(P51:AS51,"TAD")</f>
        <v>0</v>
      </c>
      <c r="O51" s="20">
        <f t="shared" ref="O51:O62" si="50">COUNTIF(P51:AS51,"TP")</f>
        <v>0</v>
      </c>
      <c r="P51" s="87"/>
      <c r="Q51" s="87"/>
      <c r="R51" s="87"/>
      <c r="S51" s="87"/>
      <c r="T51" s="86"/>
      <c r="U51" s="86"/>
      <c r="V51" s="20"/>
      <c r="W51" s="20"/>
      <c r="X51" s="20"/>
      <c r="Y51" s="20"/>
      <c r="Z51" s="20"/>
      <c r="AA51" s="86"/>
      <c r="AB51" s="86"/>
      <c r="AC51" s="20"/>
      <c r="AD51" s="123"/>
      <c r="AE51" s="123"/>
      <c r="AF51" s="123"/>
      <c r="AG51" s="123"/>
      <c r="AH51" s="86"/>
      <c r="AI51" s="86"/>
      <c r="AJ51" s="111"/>
      <c r="AK51" s="123"/>
      <c r="AL51" s="123"/>
      <c r="AM51" s="123"/>
      <c r="AN51" s="123"/>
      <c r="AO51" s="86"/>
      <c r="AP51" s="86"/>
      <c r="AQ51" s="123"/>
      <c r="AR51" s="123"/>
      <c r="AS51" s="123"/>
      <c r="AT51" s="1"/>
      <c r="AV51" s="15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20">
        <f t="shared" si="50"/>
        <v>0</v>
      </c>
      <c r="P52" s="87"/>
      <c r="Q52" s="87"/>
      <c r="R52" s="87"/>
      <c r="S52" s="87"/>
      <c r="T52" s="94"/>
      <c r="U52" s="94"/>
      <c r="V52" s="20"/>
      <c r="W52" s="20"/>
      <c r="X52" s="20"/>
      <c r="Y52" s="20"/>
      <c r="Z52" s="8"/>
      <c r="AA52" s="94"/>
      <c r="AB52" s="94"/>
      <c r="AC52" s="8"/>
      <c r="AD52" s="8"/>
      <c r="AE52" s="8"/>
      <c r="AF52" s="8"/>
      <c r="AG52" s="8"/>
      <c r="AH52" s="94"/>
      <c r="AI52" s="94"/>
      <c r="AJ52" s="196"/>
      <c r="AK52" s="8"/>
      <c r="AL52" s="8"/>
      <c r="AM52" s="8"/>
      <c r="AN52" s="8"/>
      <c r="AO52" s="107"/>
      <c r="AP52" s="94"/>
      <c r="AQ52" s="8"/>
      <c r="AR52" s="8"/>
      <c r="AS52" s="8"/>
      <c r="AT52" s="1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0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20">
        <f t="shared" si="50"/>
        <v>0</v>
      </c>
      <c r="P53" s="87"/>
      <c r="Q53" s="87"/>
      <c r="R53" s="87"/>
      <c r="S53" s="87"/>
      <c r="T53" s="94"/>
      <c r="U53" s="94"/>
      <c r="V53" s="20"/>
      <c r="W53" s="20"/>
      <c r="X53" s="20"/>
      <c r="Y53" s="20"/>
      <c r="Z53" s="8"/>
      <c r="AA53" s="94"/>
      <c r="AB53" s="94"/>
      <c r="AC53" s="8"/>
      <c r="AD53" s="22"/>
      <c r="AE53" s="22"/>
      <c r="AF53" s="22"/>
      <c r="AG53" s="8"/>
      <c r="AH53" s="94"/>
      <c r="AI53" s="94"/>
      <c r="AJ53" s="196"/>
      <c r="AK53" s="8"/>
      <c r="AL53" s="8"/>
      <c r="AM53" s="8"/>
      <c r="AN53" s="8"/>
      <c r="AO53" s="107"/>
      <c r="AP53" s="94"/>
      <c r="AQ53" s="8"/>
      <c r="AR53" s="8"/>
      <c r="AS53" s="8"/>
      <c r="AT53" s="1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20">
        <f t="shared" si="50"/>
        <v>0</v>
      </c>
      <c r="P54" s="87"/>
      <c r="Q54" s="87"/>
      <c r="R54" s="87"/>
      <c r="S54" s="8"/>
      <c r="T54" s="94"/>
      <c r="U54" s="94"/>
      <c r="V54" s="20"/>
      <c r="W54" s="20"/>
      <c r="X54" s="8"/>
      <c r="Y54" s="8"/>
      <c r="Z54" s="8"/>
      <c r="AA54" s="94"/>
      <c r="AB54" s="94"/>
      <c r="AC54" s="8"/>
      <c r="AD54" s="8"/>
      <c r="AE54" s="8"/>
      <c r="AF54" s="8"/>
      <c r="AG54" s="8"/>
      <c r="AH54" s="94"/>
      <c r="AI54" s="94"/>
      <c r="AJ54" s="196"/>
      <c r="AK54" s="8"/>
      <c r="AL54" s="8"/>
      <c r="AM54" s="8"/>
      <c r="AN54" s="8"/>
      <c r="AO54" s="107"/>
      <c r="AP54" s="94"/>
      <c r="AQ54" s="8"/>
      <c r="AR54" s="8"/>
      <c r="AS54" s="8"/>
      <c r="AT54" s="1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20">
        <f t="shared" si="50"/>
        <v>0</v>
      </c>
      <c r="P55" s="87"/>
      <c r="Q55" s="87"/>
      <c r="R55" s="87"/>
      <c r="S55" s="8"/>
      <c r="T55" s="94"/>
      <c r="U55" s="94"/>
      <c r="V55" s="20"/>
      <c r="W55" s="20"/>
      <c r="X55" s="8"/>
      <c r="Y55" s="8"/>
      <c r="Z55" s="8"/>
      <c r="AA55" s="94"/>
      <c r="AB55" s="94"/>
      <c r="AC55" s="8"/>
      <c r="AD55" s="8"/>
      <c r="AE55" s="8"/>
      <c r="AF55" s="8"/>
      <c r="AG55" s="8"/>
      <c r="AH55" s="94"/>
      <c r="AI55" s="94"/>
      <c r="AJ55" s="196"/>
      <c r="AK55" s="8"/>
      <c r="AL55" s="8"/>
      <c r="AM55" s="8"/>
      <c r="AN55" s="8"/>
      <c r="AO55" s="107"/>
      <c r="AP55" s="94"/>
      <c r="AQ55" s="22"/>
      <c r="AR55" s="22"/>
      <c r="AS55" s="22"/>
      <c r="AT55" s="1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20">
        <f t="shared" si="50"/>
        <v>0</v>
      </c>
      <c r="P56" s="87"/>
      <c r="Q56" s="87"/>
      <c r="R56" s="8"/>
      <c r="S56" s="8"/>
      <c r="T56" s="94"/>
      <c r="U56" s="94"/>
      <c r="V56" s="20"/>
      <c r="W56" s="20"/>
      <c r="X56" s="8"/>
      <c r="Y56" s="8"/>
      <c r="Z56" s="8"/>
      <c r="AA56" s="94"/>
      <c r="AB56" s="94"/>
      <c r="AC56" s="8"/>
      <c r="AD56" s="8"/>
      <c r="AE56" s="8"/>
      <c r="AF56" s="8"/>
      <c r="AG56" s="8"/>
      <c r="AH56" s="94"/>
      <c r="AI56" s="94"/>
      <c r="AJ56" s="112"/>
      <c r="AK56" s="22"/>
      <c r="AL56" s="22"/>
      <c r="AM56" s="22"/>
      <c r="AN56" s="22"/>
      <c r="AO56" s="94"/>
      <c r="AP56" s="94"/>
      <c r="AQ56" s="8"/>
      <c r="AR56" s="22"/>
      <c r="AS56" s="22"/>
      <c r="AT56" s="1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20">
        <f t="shared" si="50"/>
        <v>0</v>
      </c>
      <c r="P57" s="87"/>
      <c r="Q57" s="87"/>
      <c r="R57" s="87"/>
      <c r="S57" s="8"/>
      <c r="T57" s="94"/>
      <c r="U57" s="94"/>
      <c r="V57" s="20"/>
      <c r="W57" s="20"/>
      <c r="X57" s="8"/>
      <c r="Y57" s="8"/>
      <c r="Z57" s="8"/>
      <c r="AA57" s="94"/>
      <c r="AB57" s="94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94"/>
      <c r="AP57" s="94"/>
      <c r="AQ57" s="8"/>
      <c r="AR57" s="8"/>
      <c r="AS57" s="8"/>
      <c r="AT57" s="1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20">
        <f t="shared" si="50"/>
        <v>0</v>
      </c>
      <c r="P58" s="87"/>
      <c r="Q58" s="87"/>
      <c r="R58" s="87"/>
      <c r="S58" s="87"/>
      <c r="T58" s="94"/>
      <c r="U58" s="94"/>
      <c r="V58" s="20"/>
      <c r="W58" s="20"/>
      <c r="X58" s="8"/>
      <c r="Y58" s="8"/>
      <c r="Z58" s="8"/>
      <c r="AA58" s="94"/>
      <c r="AB58" s="94"/>
      <c r="AC58" s="8"/>
      <c r="AD58" s="8"/>
      <c r="AE58" s="8"/>
      <c r="AF58" s="8"/>
      <c r="AG58" s="8"/>
      <c r="AH58" s="94"/>
      <c r="AI58" s="94"/>
      <c r="AJ58" s="112"/>
      <c r="AK58" s="8"/>
      <c r="AL58" s="8"/>
      <c r="AM58" s="8"/>
      <c r="AN58" s="8"/>
      <c r="AO58" s="94"/>
      <c r="AP58" s="94"/>
      <c r="AQ58" s="8"/>
      <c r="AR58" s="8"/>
      <c r="AS58" s="8"/>
      <c r="AT58" s="1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20">
        <f t="shared" si="50"/>
        <v>0</v>
      </c>
      <c r="P59" s="87"/>
      <c r="Q59" s="87"/>
      <c r="R59" s="87"/>
      <c r="S59" s="87"/>
      <c r="T59" s="94"/>
      <c r="U59" s="94"/>
      <c r="V59" s="20"/>
      <c r="W59" s="20"/>
      <c r="X59" s="8"/>
      <c r="Y59" s="8"/>
      <c r="Z59" s="8"/>
      <c r="AA59" s="94"/>
      <c r="AB59" s="94"/>
      <c r="AC59" s="8"/>
      <c r="AD59" s="8"/>
      <c r="AE59" s="8"/>
      <c r="AF59" s="8"/>
      <c r="AG59" s="8"/>
      <c r="AH59" s="94"/>
      <c r="AI59" s="94"/>
      <c r="AJ59" s="112"/>
      <c r="AK59" s="8"/>
      <c r="AL59" s="8"/>
      <c r="AM59" s="8"/>
      <c r="AN59" s="8"/>
      <c r="AO59" s="94"/>
      <c r="AP59" s="94"/>
      <c r="AQ59" s="8"/>
      <c r="AR59" s="8"/>
      <c r="AS59" s="8"/>
      <c r="AT59" s="1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20">
        <f t="shared" si="50"/>
        <v>0</v>
      </c>
      <c r="P60" s="87"/>
      <c r="Q60" s="87"/>
      <c r="R60" s="87"/>
      <c r="S60" s="87"/>
      <c r="T60" s="94"/>
      <c r="U60" s="94"/>
      <c r="V60" s="20"/>
      <c r="W60" s="20"/>
      <c r="X60" s="8"/>
      <c r="Y60" s="8"/>
      <c r="Z60" s="8"/>
      <c r="AA60" s="94"/>
      <c r="AB60" s="94"/>
      <c r="AC60" s="8"/>
      <c r="AD60" s="8"/>
      <c r="AE60" s="8"/>
      <c r="AF60" s="8"/>
      <c r="AG60" s="8"/>
      <c r="AH60" s="94"/>
      <c r="AI60" s="94"/>
      <c r="AJ60" s="112"/>
      <c r="AK60" s="8"/>
      <c r="AL60" s="8"/>
      <c r="AM60" s="8"/>
      <c r="AN60" s="8"/>
      <c r="AO60" s="94"/>
      <c r="AP60" s="94"/>
      <c r="AQ60" s="8"/>
      <c r="AR60" s="8"/>
      <c r="AS60" s="8"/>
      <c r="AT60" s="1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20">
        <f t="shared" si="50"/>
        <v>0</v>
      </c>
      <c r="P61" s="87"/>
      <c r="Q61" s="87"/>
      <c r="R61" s="8"/>
      <c r="S61" s="8"/>
      <c r="T61" s="94"/>
      <c r="U61" s="94"/>
      <c r="V61" s="20"/>
      <c r="W61" s="20"/>
      <c r="X61" s="8"/>
      <c r="Y61" s="8"/>
      <c r="Z61" s="8"/>
      <c r="AA61" s="94"/>
      <c r="AB61" s="94"/>
      <c r="AC61" s="8"/>
      <c r="AD61" s="8"/>
      <c r="AE61" s="8"/>
      <c r="AF61" s="8"/>
      <c r="AG61" s="8"/>
      <c r="AH61" s="94"/>
      <c r="AI61" s="94"/>
      <c r="AJ61" s="112"/>
      <c r="AK61" s="8"/>
      <c r="AL61" s="8"/>
      <c r="AM61" s="8"/>
      <c r="AN61" s="8"/>
      <c r="AO61" s="94"/>
      <c r="AP61" s="94"/>
      <c r="AQ61" s="8"/>
      <c r="AR61" s="8"/>
      <c r="AS61" s="8"/>
      <c r="AT61" s="1"/>
    </row>
    <row r="62" spans="1:58" ht="20.100000000000001" customHeight="1" thickBot="1" x14ac:dyDescent="0.3">
      <c r="A62" s="139" t="str">
        <f>IFERROR(IF(config!E54="","",config!E54),"")</f>
        <v>N019975</v>
      </c>
      <c r="B62" s="139" t="str">
        <f>IFERROR(IF(config!F54="","",config!F54),"")</f>
        <v>VILLENEUVE</v>
      </c>
      <c r="C62" s="102" t="str">
        <f>IFERROR(IF(config!G54="","",config!G54),"")</f>
        <v>Fabrice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20">
        <f t="shared" si="50"/>
        <v>0</v>
      </c>
      <c r="P62" s="87"/>
      <c r="Q62" s="87"/>
      <c r="R62" s="87"/>
      <c r="S62" s="87"/>
      <c r="T62" s="95"/>
      <c r="U62" s="95"/>
      <c r="V62" s="20"/>
      <c r="W62" s="20"/>
      <c r="X62" s="8"/>
      <c r="Y62" s="21"/>
      <c r="Z62" s="21"/>
      <c r="AA62" s="95"/>
      <c r="AB62" s="95"/>
      <c r="AC62" s="21"/>
      <c r="AD62" s="8"/>
      <c r="AE62" s="8"/>
      <c r="AF62" s="8"/>
      <c r="AG62" s="8"/>
      <c r="AH62" s="95"/>
      <c r="AI62" s="95"/>
      <c r="AJ62" s="113"/>
      <c r="AK62" s="21"/>
      <c r="AL62" s="21"/>
      <c r="AM62" s="21"/>
      <c r="AN62" s="21"/>
      <c r="AO62" s="95"/>
      <c r="AP62" s="95"/>
      <c r="AQ62" s="21"/>
      <c r="AR62" s="21"/>
      <c r="AS62" s="21"/>
      <c r="AT62" s="1"/>
    </row>
    <row r="63" spans="1:58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9"/>
      <c r="AT63" s="258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36" t="str">
        <f>IFERROR(IF(config!E56="","",config!E56),"")</f>
        <v>COMMUN - MAGASINIER ET AGENTS ENTRETIEN</v>
      </c>
      <c r="B64" s="137" t="str">
        <f>IFERROR(IF(config!F56="","",config!F56),"")</f>
        <v/>
      </c>
      <c r="C64" s="138" t="str">
        <f>IFERROR(IF(config!G56="","",config!G56),"")</f>
        <v/>
      </c>
      <c r="D64" s="87">
        <f t="shared" ref="D64:D69" si="51">COUNTIF(P64:AS64,"p")</f>
        <v>0</v>
      </c>
      <c r="E64" s="20">
        <f t="shared" ref="E64:E69" si="52">COUNTIF(P64:AS64,"PC")</f>
        <v>0</v>
      </c>
      <c r="F64" s="20">
        <f t="shared" ref="F64:F69" si="53">COUNTIF(P64:AS64,"f")</f>
        <v>0</v>
      </c>
      <c r="G64" s="20">
        <f t="shared" ref="G64:G69" si="54">COUNTIF(P64:AS64,"ast")</f>
        <v>0</v>
      </c>
      <c r="H64" s="20">
        <f t="shared" ref="H64:H69" si="55">COUNTIF(P64:AS64,"cA")</f>
        <v>0</v>
      </c>
      <c r="I64" s="20">
        <f t="shared" ref="I64:I69" si="56">COUNTIF(P64:AS64,"rtt")</f>
        <v>0</v>
      </c>
      <c r="J64" s="20">
        <f t="shared" ref="J64:J69" si="57">COUNTIF(P64:AS64,"cex")</f>
        <v>0</v>
      </c>
      <c r="K64" s="20">
        <f t="shared" ref="K64:K69" si="58">COUNTIF(P64:AS64,"res")</f>
        <v>0</v>
      </c>
      <c r="L64" s="20">
        <f t="shared" ref="L64:L69" si="59">COUNTIF(P64:AS64,"mA")</f>
        <v>0</v>
      </c>
      <c r="M64" s="20">
        <f t="shared" ref="M64:M69" si="60">COUNTIF(P64:AS64,"at")</f>
        <v>0</v>
      </c>
      <c r="N64" s="20">
        <f t="shared" ref="N64:N69" si="61">COUNTIF(P64:AS64,"TAD")</f>
        <v>0</v>
      </c>
      <c r="O64" s="20">
        <f t="shared" ref="O64:O69" si="62">COUNTIF(P64:AS64,"TP")</f>
        <v>0</v>
      </c>
      <c r="P64" s="87"/>
      <c r="Q64" s="87"/>
      <c r="R64" s="87"/>
      <c r="S64" s="87"/>
      <c r="T64" s="94"/>
      <c r="U64" s="94"/>
      <c r="V64" s="87"/>
      <c r="W64" s="87"/>
      <c r="X64" s="87"/>
      <c r="Y64" s="87"/>
      <c r="Z64" s="87"/>
      <c r="AA64" s="94"/>
      <c r="AB64" s="94"/>
      <c r="AC64" s="87"/>
      <c r="AD64" s="87"/>
      <c r="AE64" s="87"/>
      <c r="AF64" s="87"/>
      <c r="AG64" s="87"/>
      <c r="AH64" s="94"/>
      <c r="AI64" s="94"/>
      <c r="AJ64" s="87"/>
      <c r="AK64" s="87"/>
      <c r="AL64" s="87"/>
      <c r="AM64" s="87"/>
      <c r="AN64" s="87"/>
      <c r="AO64" s="86"/>
      <c r="AP64" s="86"/>
      <c r="AQ64" s="20"/>
      <c r="AR64" s="20"/>
      <c r="AS64" s="20"/>
      <c r="AT64" s="1"/>
      <c r="AV64" s="15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 t="shared" si="51"/>
        <v>0</v>
      </c>
      <c r="E65" s="20">
        <f t="shared" si="52"/>
        <v>0</v>
      </c>
      <c r="F65" s="20">
        <f t="shared" si="53"/>
        <v>0</v>
      </c>
      <c r="G65" s="20">
        <f t="shared" si="54"/>
        <v>0</v>
      </c>
      <c r="H65" s="20">
        <f t="shared" si="55"/>
        <v>0</v>
      </c>
      <c r="I65" s="20">
        <f t="shared" si="56"/>
        <v>0</v>
      </c>
      <c r="J65" s="20">
        <f t="shared" si="57"/>
        <v>0</v>
      </c>
      <c r="K65" s="20">
        <f t="shared" si="58"/>
        <v>0</v>
      </c>
      <c r="L65" s="20">
        <f t="shared" si="59"/>
        <v>0</v>
      </c>
      <c r="M65" s="20">
        <f t="shared" si="60"/>
        <v>0</v>
      </c>
      <c r="N65" s="20">
        <f t="shared" si="61"/>
        <v>0</v>
      </c>
      <c r="O65" s="20">
        <f t="shared" si="62"/>
        <v>0</v>
      </c>
      <c r="P65" s="90"/>
      <c r="Q65" s="90"/>
      <c r="R65" s="90"/>
      <c r="S65" s="90"/>
      <c r="T65" s="94"/>
      <c r="U65" s="94"/>
      <c r="V65" s="8"/>
      <c r="W65" s="8"/>
      <c r="X65" s="8"/>
      <c r="Y65" s="8"/>
      <c r="Z65" s="8"/>
      <c r="AA65" s="94"/>
      <c r="AB65" s="94"/>
      <c r="AC65" s="8"/>
      <c r="AD65" s="8"/>
      <c r="AE65" s="8"/>
      <c r="AF65" s="8"/>
      <c r="AG65" s="8"/>
      <c r="AH65" s="94"/>
      <c r="AI65" s="94"/>
      <c r="AJ65" s="112"/>
      <c r="AK65" s="8"/>
      <c r="AL65" s="8"/>
      <c r="AM65" s="8"/>
      <c r="AN65" s="8"/>
      <c r="AO65" s="94"/>
      <c r="AP65" s="94"/>
      <c r="AQ65" s="8"/>
      <c r="AR65" s="8"/>
      <c r="AS65" s="8"/>
      <c r="AT65" s="1"/>
      <c r="AV65" s="19">
        <f>COUNTIF(P64:AS75,"P")</f>
        <v>0</v>
      </c>
      <c r="AW65" s="19">
        <f>COUNTIF(P64:AS75,"PC")</f>
        <v>0</v>
      </c>
      <c r="AX65" s="19">
        <f>COUNTIF(P64:AS75,"F")</f>
        <v>0</v>
      </c>
      <c r="AY65" s="19">
        <f>COUNTIF(P64:AS75,"AST")</f>
        <v>0</v>
      </c>
      <c r="AZ65" s="19">
        <f>COUNTIF(P64:AS75,"Ca")</f>
        <v>0</v>
      </c>
      <c r="BA65" s="19">
        <f>COUNTIF(P64:AS75,"RTT")</f>
        <v>0</v>
      </c>
      <c r="BB65" s="19">
        <f>COUNTIF(P64:AS75,"CEX")</f>
        <v>0</v>
      </c>
      <c r="BC65" s="19">
        <f>COUNTIF(P64:AS75,"RES")</f>
        <v>0</v>
      </c>
      <c r="BD65" s="19">
        <f>COUNTIF(P64:AS75,"MA")</f>
        <v>0</v>
      </c>
      <c r="BE65" s="19">
        <f>COUNTIF(P64:AS75,"AT")</f>
        <v>0</v>
      </c>
      <c r="BF65" s="19">
        <f>COUNTIF(P64:AS75,"TP")</f>
        <v>0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 t="shared" si="51"/>
        <v>0</v>
      </c>
      <c r="E66" s="20">
        <f t="shared" si="52"/>
        <v>0</v>
      </c>
      <c r="F66" s="20">
        <f t="shared" si="53"/>
        <v>0</v>
      </c>
      <c r="G66" s="20">
        <f t="shared" si="54"/>
        <v>0</v>
      </c>
      <c r="H66" s="20">
        <f t="shared" si="55"/>
        <v>0</v>
      </c>
      <c r="I66" s="20">
        <f t="shared" si="56"/>
        <v>0</v>
      </c>
      <c r="J66" s="20">
        <f t="shared" si="57"/>
        <v>0</v>
      </c>
      <c r="K66" s="20">
        <f t="shared" si="58"/>
        <v>0</v>
      </c>
      <c r="L66" s="20">
        <f t="shared" si="59"/>
        <v>0</v>
      </c>
      <c r="M66" s="20">
        <f t="shared" si="60"/>
        <v>0</v>
      </c>
      <c r="N66" s="20">
        <f t="shared" si="61"/>
        <v>0</v>
      </c>
      <c r="O66" s="20">
        <f t="shared" si="62"/>
        <v>0</v>
      </c>
      <c r="P66" s="90"/>
      <c r="Q66" s="90"/>
      <c r="R66" s="90"/>
      <c r="S66" s="8"/>
      <c r="T66" s="94"/>
      <c r="U66" s="94"/>
      <c r="V66" s="8"/>
      <c r="W66" s="8"/>
      <c r="X66" s="8"/>
      <c r="Y66" s="8"/>
      <c r="Z66" s="8"/>
      <c r="AA66" s="94"/>
      <c r="AB66" s="94"/>
      <c r="AC66" s="8"/>
      <c r="AD66" s="8"/>
      <c r="AE66" s="8"/>
      <c r="AF66" s="8"/>
      <c r="AG66" s="8"/>
      <c r="AH66" s="94"/>
      <c r="AI66" s="94"/>
      <c r="AJ66" s="112"/>
      <c r="AK66" s="8"/>
      <c r="AL66" s="8"/>
      <c r="AM66" s="8"/>
      <c r="AN66" s="8"/>
      <c r="AO66" s="94"/>
      <c r="AP66" s="94"/>
      <c r="AQ66" s="90"/>
      <c r="AR66" s="90"/>
      <c r="AS66" s="8"/>
      <c r="AT66" s="1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7">
        <f t="shared" si="51"/>
        <v>0</v>
      </c>
      <c r="E67" s="20">
        <f t="shared" si="52"/>
        <v>0</v>
      </c>
      <c r="F67" s="20">
        <f t="shared" si="53"/>
        <v>0</v>
      </c>
      <c r="G67" s="20">
        <f t="shared" si="54"/>
        <v>0</v>
      </c>
      <c r="H67" s="20">
        <f t="shared" si="55"/>
        <v>0</v>
      </c>
      <c r="I67" s="20">
        <f t="shared" si="56"/>
        <v>0</v>
      </c>
      <c r="J67" s="20">
        <f t="shared" si="57"/>
        <v>0</v>
      </c>
      <c r="K67" s="20">
        <f t="shared" si="58"/>
        <v>0</v>
      </c>
      <c r="L67" s="20">
        <f t="shared" si="59"/>
        <v>0</v>
      </c>
      <c r="M67" s="20">
        <f t="shared" si="60"/>
        <v>0</v>
      </c>
      <c r="N67" s="20">
        <f t="shared" si="61"/>
        <v>0</v>
      </c>
      <c r="O67" s="20">
        <f t="shared" si="62"/>
        <v>0</v>
      </c>
      <c r="P67" s="90"/>
      <c r="Q67" s="90"/>
      <c r="R67" s="90"/>
      <c r="S67" s="90"/>
      <c r="T67" s="94"/>
      <c r="U67" s="94"/>
      <c r="V67" s="8"/>
      <c r="W67" s="8"/>
      <c r="X67" s="8"/>
      <c r="Y67" s="8"/>
      <c r="Z67" s="8"/>
      <c r="AA67" s="94"/>
      <c r="AB67" s="94"/>
      <c r="AC67" s="8"/>
      <c r="AD67" s="8"/>
      <c r="AE67" s="8"/>
      <c r="AF67" s="8"/>
      <c r="AG67" s="8"/>
      <c r="AH67" s="94"/>
      <c r="AI67" s="94"/>
      <c r="AJ67" s="112"/>
      <c r="AK67" s="8"/>
      <c r="AL67" s="8"/>
      <c r="AM67" s="8"/>
      <c r="AN67" s="8"/>
      <c r="AO67" s="94"/>
      <c r="AP67" s="94"/>
      <c r="AQ67" s="8"/>
      <c r="AR67" s="8"/>
      <c r="AS67" s="8"/>
      <c r="AT67" s="1"/>
    </row>
    <row r="68" spans="1:58" ht="20.100000000000001" customHeight="1" thickBot="1" x14ac:dyDescent="0.3">
      <c r="A68" s="31" t="str">
        <f>IFERROR(IF(config!E60="","",config!E60),"")</f>
        <v>N010563</v>
      </c>
      <c r="B68" s="42" t="str">
        <f>IFERROR(IF(config!F60="","",config!F60),"")</f>
        <v>HAUBRAICHE</v>
      </c>
      <c r="C68" s="70" t="str">
        <f>IFERROR(IF(config!G60="","",config!G60),"")</f>
        <v>Philippe</v>
      </c>
      <c r="D68" s="87">
        <f t="shared" si="51"/>
        <v>0</v>
      </c>
      <c r="E68" s="20">
        <f t="shared" si="52"/>
        <v>0</v>
      </c>
      <c r="F68" s="20">
        <f t="shared" si="53"/>
        <v>0</v>
      </c>
      <c r="G68" s="20">
        <f t="shared" si="54"/>
        <v>0</v>
      </c>
      <c r="H68" s="20">
        <f t="shared" si="55"/>
        <v>0</v>
      </c>
      <c r="I68" s="20">
        <f t="shared" si="56"/>
        <v>0</v>
      </c>
      <c r="J68" s="20">
        <f t="shared" si="57"/>
        <v>0</v>
      </c>
      <c r="K68" s="20">
        <f t="shared" si="58"/>
        <v>0</v>
      </c>
      <c r="L68" s="20">
        <f t="shared" si="59"/>
        <v>0</v>
      </c>
      <c r="M68" s="20">
        <f t="shared" si="60"/>
        <v>0</v>
      </c>
      <c r="N68" s="20">
        <f t="shared" si="61"/>
        <v>0</v>
      </c>
      <c r="O68" s="20">
        <f t="shared" si="62"/>
        <v>0</v>
      </c>
      <c r="P68" s="90"/>
      <c r="Q68" s="8"/>
      <c r="R68" s="8"/>
      <c r="S68" s="8"/>
      <c r="T68" s="94"/>
      <c r="U68" s="94"/>
      <c r="V68" s="8"/>
      <c r="W68" s="8"/>
      <c r="X68" s="8"/>
      <c r="Y68" s="8"/>
      <c r="Z68" s="8"/>
      <c r="AA68" s="94"/>
      <c r="AB68" s="94"/>
      <c r="AC68" s="8"/>
      <c r="AD68" s="8"/>
      <c r="AE68" s="8"/>
      <c r="AF68" s="8"/>
      <c r="AG68" s="8"/>
      <c r="AH68" s="94"/>
      <c r="AI68" s="94"/>
      <c r="AJ68" s="112"/>
      <c r="AK68" s="8"/>
      <c r="AL68" s="8"/>
      <c r="AM68" s="8"/>
      <c r="AN68" s="8"/>
      <c r="AO68" s="94"/>
      <c r="AP68" s="94"/>
      <c r="AQ68" s="8"/>
      <c r="AR68" s="8"/>
      <c r="AS68" s="35"/>
      <c r="AT68" s="1"/>
    </row>
    <row r="69" spans="1:58" ht="20.100000000000001" customHeight="1" thickBot="1" x14ac:dyDescent="0.3">
      <c r="A69" s="31" t="str">
        <f>IFERROR(IF(config!E69="","",config!E69),"")</f>
        <v/>
      </c>
      <c r="B69" s="42" t="str">
        <f>IFERROR(IF(config!F69="","",config!F69),"")</f>
        <v/>
      </c>
      <c r="C69" s="45" t="str">
        <f>IFERROR(IF(config!G69="","",config!G69),"")</f>
        <v/>
      </c>
      <c r="D69" s="87">
        <f t="shared" si="51"/>
        <v>0</v>
      </c>
      <c r="E69" s="20">
        <f t="shared" si="52"/>
        <v>0</v>
      </c>
      <c r="F69" s="20">
        <f t="shared" si="53"/>
        <v>0</v>
      </c>
      <c r="G69" s="20">
        <f t="shared" si="54"/>
        <v>0</v>
      </c>
      <c r="H69" s="20">
        <f t="shared" si="55"/>
        <v>0</v>
      </c>
      <c r="I69" s="20">
        <f t="shared" si="56"/>
        <v>0</v>
      </c>
      <c r="J69" s="20">
        <f t="shared" si="57"/>
        <v>0</v>
      </c>
      <c r="K69" s="20">
        <f t="shared" si="58"/>
        <v>0</v>
      </c>
      <c r="L69" s="20">
        <f t="shared" si="59"/>
        <v>0</v>
      </c>
      <c r="M69" s="20">
        <f t="shared" si="60"/>
        <v>0</v>
      </c>
      <c r="N69" s="20">
        <f t="shared" si="61"/>
        <v>0</v>
      </c>
      <c r="O69" s="20">
        <f t="shared" si="62"/>
        <v>0</v>
      </c>
      <c r="P69" s="91"/>
      <c r="Q69" s="21"/>
      <c r="R69" s="21"/>
      <c r="S69" s="21"/>
      <c r="T69" s="95"/>
      <c r="U69" s="95"/>
      <c r="V69" s="21"/>
      <c r="W69" s="21"/>
      <c r="X69" s="21"/>
      <c r="Y69" s="21"/>
      <c r="Z69" s="21"/>
      <c r="AA69" s="95"/>
      <c r="AB69" s="95"/>
      <c r="AC69" s="21"/>
      <c r="AD69" s="21"/>
      <c r="AE69" s="21"/>
      <c r="AF69" s="21"/>
      <c r="AG69" s="21"/>
      <c r="AH69" s="95"/>
      <c r="AI69" s="95"/>
      <c r="AJ69" s="113"/>
      <c r="AK69" s="21"/>
      <c r="AL69" s="21"/>
      <c r="AM69" s="21"/>
      <c r="AN69" s="21"/>
      <c r="AO69" s="95"/>
      <c r="AP69" s="95"/>
      <c r="AQ69" s="21"/>
      <c r="AR69" s="21"/>
      <c r="AS69" s="36"/>
      <c r="AT69" s="1"/>
    </row>
    <row r="78" spans="1:58" x14ac:dyDescent="0.25">
      <c r="T78" s="19" t="s">
        <v>194</v>
      </c>
    </row>
  </sheetData>
  <mergeCells count="8">
    <mergeCell ref="A63:AS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323" priority="267" operator="equal">
      <formula>"repos"</formula>
    </cfRule>
    <cfRule type="cellIs" dxfId="322" priority="268" operator="equal">
      <formula>"permanence"</formula>
    </cfRule>
    <cfRule type="cellIs" dxfId="321" priority="269" operator="equal">
      <formula>"dimanche"</formula>
    </cfRule>
    <cfRule type="cellIs" dxfId="320" priority="270" operator="equal">
      <formula>"formation"</formula>
    </cfRule>
    <cfRule type="cellIs" dxfId="319" priority="271" operator="equal">
      <formula>"conges exc"</formula>
    </cfRule>
    <cfRule type="cellIs" dxfId="318" priority="272" operator="equal">
      <formula>"conges"</formula>
    </cfRule>
    <cfRule type="cellIs" dxfId="317" priority="273" operator="equal">
      <formula>"asa"</formula>
    </cfRule>
    <cfRule type="cellIs" dxfId="316" priority="274" operator="equal">
      <formula>"maladie / at"</formula>
    </cfRule>
    <cfRule type="cellIs" dxfId="315" priority="275" operator="equal">
      <formula>"presence"</formula>
    </cfRule>
  </conditionalFormatting>
  <conditionalFormatting sqref="D11:O20 D23:O24 D26:O29 D31:O36 D39:O49 D51:O62 D64:O69">
    <cfRule type="cellIs" dxfId="314" priority="276" operator="equal">
      <formula>0</formula>
    </cfRule>
  </conditionalFormatting>
  <conditionalFormatting sqref="P23 P24:U24 R23 T23:U23 AA23:AB24 AH23:AT24">
    <cfRule type="containsText" dxfId="313" priority="251" operator="containsText" text="AST">
      <formula>NOT(ISERROR(SEARCH("AST",P23)))</formula>
    </cfRule>
    <cfRule type="containsText" dxfId="312" priority="252" operator="containsText" text="F">
      <formula>NOT(ISERROR(SEARCH("F",P23)))</formula>
    </cfRule>
    <cfRule type="containsText" dxfId="311" priority="253" operator="containsText" text="MI">
      <formula>NOT(ISERROR(SEARCH("MI",P23)))</formula>
    </cfRule>
    <cfRule type="containsText" dxfId="310" priority="254" operator="containsText" text="P">
      <formula>NOT(ISERROR(SEARCH("P",P23)))</formula>
    </cfRule>
    <cfRule type="containsText" dxfId="309" priority="250" operator="containsText" text="C">
      <formula>NOT(ISERROR(SEARCH("C",P23)))</formula>
    </cfRule>
  </conditionalFormatting>
  <conditionalFormatting sqref="P23:S24 T24:AB24 AH23:AT24">
    <cfRule type="containsText" dxfId="308" priority="218" operator="containsText" text="AT">
      <formula>NOT(ISERROR(SEARCH("AT",P23)))</formula>
    </cfRule>
    <cfRule type="containsText" dxfId="307" priority="219" operator="containsText" text="MA">
      <formula>NOT(ISERROR(SEARCH("MA",P23)))</formula>
    </cfRule>
    <cfRule type="containsText" dxfId="306" priority="220" operator="containsText" text="RES">
      <formula>NOT(ISERROR(SEARCH("RES",P23)))</formula>
    </cfRule>
    <cfRule type="containsText" dxfId="305" priority="221" operator="containsText" text="CEX">
      <formula>NOT(ISERROR(SEARCH("CEX",P23)))</formula>
    </cfRule>
    <cfRule type="containsText" dxfId="304" priority="222" operator="containsText" text="RTT">
      <formula>NOT(ISERROR(SEARCH("RTT",P23)))</formula>
    </cfRule>
  </conditionalFormatting>
  <conditionalFormatting sqref="P26:S28 P29:AT29 P31:AT36 P51:S62 AQ51:AT62">
    <cfRule type="beginsWith" dxfId="303" priority="166" operator="beginsWith" text="CA">
      <formula>LEFT(P26,LEN("CA"))="CA"</formula>
    </cfRule>
    <cfRule type="containsText" dxfId="302" priority="167" operator="containsText" text="AST">
      <formula>NOT(ISERROR(SEARCH("AST",P26)))</formula>
    </cfRule>
    <cfRule type="containsText" dxfId="301" priority="168" operator="containsText" text="F">
      <formula>NOT(ISERROR(SEARCH("F",P26)))</formula>
    </cfRule>
    <cfRule type="containsText" dxfId="300" priority="169" operator="containsText" text="PC">
      <formula>NOT(ISERROR(SEARCH("PC",P26)))</formula>
    </cfRule>
    <cfRule type="containsText" dxfId="299" priority="170" operator="containsText" text="P">
      <formula>NOT(ISERROR(SEARCH("P",P26)))</formula>
    </cfRule>
  </conditionalFormatting>
  <conditionalFormatting sqref="P39:S45 P46:AT46 P47:S49">
    <cfRule type="beginsWith" dxfId="298" priority="154" operator="beginsWith" text="CA">
      <formula>LEFT(P39,LEN("CA"))="CA"</formula>
    </cfRule>
    <cfRule type="containsText" dxfId="297" priority="155" operator="containsText" text="AST">
      <formula>NOT(ISERROR(SEARCH("AST",P39)))</formula>
    </cfRule>
    <cfRule type="containsText" dxfId="296" priority="156" operator="containsText" text="F">
      <formula>NOT(ISERROR(SEARCH("F",P39)))</formula>
    </cfRule>
    <cfRule type="containsText" dxfId="295" priority="157" operator="containsText" text="PC">
      <formula>NOT(ISERROR(SEARCH("PC",P39)))</formula>
    </cfRule>
    <cfRule type="containsText" dxfId="294" priority="158" operator="containsText" text="P">
      <formula>NOT(ISERROR(SEARCH("P",P39)))</formula>
    </cfRule>
  </conditionalFormatting>
  <conditionalFormatting sqref="P65:U69 V66:AT69">
    <cfRule type="containsText" priority="101" operator="containsText" text="TAD">
      <formula>NOT(ISERROR(SEARCH("TAD",P65)))</formula>
    </cfRule>
  </conditionalFormatting>
  <conditionalFormatting sqref="P64:Z64 AA64:AT69">
    <cfRule type="containsText" dxfId="293" priority="100" operator="containsText" text="TP">
      <formula>NOT(ISERROR(SEARCH("TP",P64)))</formula>
    </cfRule>
    <cfRule type="containsText" dxfId="292" priority="102" operator="containsText" text="AT">
      <formula>NOT(ISERROR(SEARCH("AT",P64)))</formula>
    </cfRule>
    <cfRule type="containsText" dxfId="291" priority="103" operator="containsText" text="MA">
      <formula>NOT(ISERROR(SEARCH("MA",P64)))</formula>
    </cfRule>
    <cfRule type="containsText" dxfId="290" priority="104" operator="containsText" text="RES">
      <formula>NOT(ISERROR(SEARCH("RES",P64)))</formula>
    </cfRule>
    <cfRule type="containsText" dxfId="289" priority="105" operator="containsText" text="CEX">
      <formula>NOT(ISERROR(SEARCH("CEX",P64)))</formula>
    </cfRule>
    <cfRule type="containsText" dxfId="288" priority="106" operator="containsText" text="RTT">
      <formula>NOT(ISERROR(SEARCH("RTT",P64)))</formula>
    </cfRule>
  </conditionalFormatting>
  <conditionalFormatting sqref="P64:Z64 P65:S69 AJ64:AN64">
    <cfRule type="beginsWith" dxfId="287" priority="107" operator="beginsWith" text="CA">
      <formula>LEFT(P64,LEN("CA"))="CA"</formula>
    </cfRule>
    <cfRule type="containsText" dxfId="286" priority="108" operator="containsText" text="AST">
      <formula>NOT(ISERROR(SEARCH("AST",P64)))</formula>
    </cfRule>
    <cfRule type="containsText" dxfId="285" priority="109" operator="containsText" text="F">
      <formula>NOT(ISERROR(SEARCH("F",P64)))</formula>
    </cfRule>
    <cfRule type="containsText" dxfId="284" priority="110" operator="containsText" text="PC">
      <formula>NOT(ISERROR(SEARCH("PC",P64)))</formula>
    </cfRule>
    <cfRule type="containsText" dxfId="283" priority="111" operator="containsText" text="P">
      <formula>NOT(ISERROR(SEARCH("P",P64)))</formula>
    </cfRule>
  </conditionalFormatting>
  <conditionalFormatting sqref="P23:AB24 P51:AT62 AH23:AT24">
    <cfRule type="containsText" dxfId="282" priority="206" operator="containsText" text="TP">
      <formula>NOT(ISERROR(SEARCH("TP",P23)))</formula>
    </cfRule>
  </conditionalFormatting>
  <conditionalFormatting sqref="P64:AN64 V65:AN65 Z66">
    <cfRule type="containsText" priority="58" operator="containsText" text="TAD">
      <formula>NOT(ISERROR(SEARCH("TAD",P64)))</formula>
    </cfRule>
  </conditionalFormatting>
  <conditionalFormatting sqref="P9:AT9">
    <cfRule type="expression" dxfId="281" priority="278">
      <formula>OR(P$9=1, P$9=7)</formula>
    </cfRule>
  </conditionalFormatting>
  <conditionalFormatting sqref="P9:AT10">
    <cfRule type="expression" dxfId="280" priority="277">
      <formula>OR(P$9=1,P$9=7)</formula>
    </cfRule>
  </conditionalFormatting>
  <conditionalFormatting sqref="P11:AT20">
    <cfRule type="containsText" dxfId="279" priority="255" operator="containsText" text="TP">
      <formula>NOT(ISERROR(SEARCH("TP",P11)))</formula>
    </cfRule>
    <cfRule type="containsText" priority="256" operator="containsText" text="TAD">
      <formula>NOT(ISERROR(SEARCH("TAD",P11)))</formula>
    </cfRule>
    <cfRule type="containsText" dxfId="278" priority="257" operator="containsText" text="AT">
      <formula>NOT(ISERROR(SEARCH("AT",P11)))</formula>
    </cfRule>
    <cfRule type="containsText" dxfId="277" priority="258" operator="containsText" text="MA">
      <formula>NOT(ISERROR(SEARCH("MA",P11)))</formula>
    </cfRule>
    <cfRule type="containsText" dxfId="276" priority="259" operator="containsText" text="RES">
      <formula>NOT(ISERROR(SEARCH("RES",P11)))</formula>
    </cfRule>
    <cfRule type="containsText" dxfId="275" priority="260" operator="containsText" text="CEX">
      <formula>NOT(ISERROR(SEARCH("CEX",P11)))</formula>
    </cfRule>
    <cfRule type="containsText" dxfId="274" priority="261" operator="containsText" text="RTT">
      <formula>NOT(ISERROR(SEARCH("RTT",P11)))</formula>
    </cfRule>
    <cfRule type="beginsWith" dxfId="273" priority="262" operator="beginsWith" text="CA">
      <formula>LEFT(P11,LEN("CA"))="CA"</formula>
    </cfRule>
    <cfRule type="containsText" dxfId="272" priority="263" operator="containsText" text="AST">
      <formula>NOT(ISERROR(SEARCH("AST",P11)))</formula>
    </cfRule>
    <cfRule type="containsText" dxfId="271" priority="264" operator="containsText" text="F">
      <formula>NOT(ISERROR(SEARCH("F",P11)))</formula>
    </cfRule>
    <cfRule type="containsText" dxfId="270" priority="265" operator="containsText" text="PC">
      <formula>NOT(ISERROR(SEARCH("PC",P11)))</formula>
    </cfRule>
    <cfRule type="containsText" dxfId="269" priority="266" operator="containsText" text="P">
      <formula>NOT(ISERROR(SEARCH("P",P11)))</formula>
    </cfRule>
  </conditionalFormatting>
  <conditionalFormatting sqref="P23:AT24">
    <cfRule type="containsText" priority="36" operator="containsText" text="TAD">
      <formula>NOT(ISERROR(SEARCH("TAD",P23)))</formula>
    </cfRule>
  </conditionalFormatting>
  <conditionalFormatting sqref="P26:AT29 P31:AT36 P51:AT62">
    <cfRule type="containsText" priority="160" operator="containsText" text="TAD">
      <formula>NOT(ISERROR(SEARCH("TAD",P26)))</formula>
    </cfRule>
    <cfRule type="containsText" dxfId="268" priority="161" operator="containsText" text="AT">
      <formula>NOT(ISERROR(SEARCH("AT",P26)))</formula>
    </cfRule>
    <cfRule type="containsText" dxfId="267" priority="162" operator="containsText" text="MA">
      <formula>NOT(ISERROR(SEARCH("MA",P26)))</formula>
    </cfRule>
    <cfRule type="containsText" dxfId="266" priority="163" operator="containsText" text="RES">
      <formula>NOT(ISERROR(SEARCH("RES",P26)))</formula>
    </cfRule>
    <cfRule type="containsText" dxfId="265" priority="164" operator="containsText" text="CEX">
      <formula>NOT(ISERROR(SEARCH("CEX",P26)))</formula>
    </cfRule>
    <cfRule type="containsText" dxfId="264" priority="165" operator="containsText" text="RTT">
      <formula>NOT(ISERROR(SEARCH("RTT",P26)))</formula>
    </cfRule>
  </conditionalFormatting>
  <conditionalFormatting sqref="P26:AT29 P31:AT36">
    <cfRule type="containsText" dxfId="263" priority="159" operator="containsText" text="TP">
      <formula>NOT(ISERROR(SEARCH("TP",P26)))</formula>
    </cfRule>
  </conditionalFormatting>
  <conditionalFormatting sqref="P39:AT49">
    <cfRule type="containsText" dxfId="262" priority="127" operator="containsText" text="TP">
      <formula>NOT(ISERROR(SEARCH("TP",P39)))</formula>
    </cfRule>
    <cfRule type="containsText" priority="128" operator="containsText" text="TAD">
      <formula>NOT(ISERROR(SEARCH("TAD",P39)))</formula>
    </cfRule>
    <cfRule type="containsText" dxfId="261" priority="129" operator="containsText" text="AT">
      <formula>NOT(ISERROR(SEARCH("AT",P39)))</formula>
    </cfRule>
    <cfRule type="containsText" dxfId="260" priority="130" operator="containsText" text="MA">
      <formula>NOT(ISERROR(SEARCH("MA",P39)))</formula>
    </cfRule>
    <cfRule type="containsText" dxfId="259" priority="131" operator="containsText" text="RES">
      <formula>NOT(ISERROR(SEARCH("RES",P39)))</formula>
    </cfRule>
    <cfRule type="containsText" dxfId="258" priority="132" operator="containsText" text="CEX">
      <formula>NOT(ISERROR(SEARCH("CEX",P39)))</formula>
    </cfRule>
    <cfRule type="containsText" dxfId="257" priority="133" operator="containsText" text="RTT">
      <formula>NOT(ISERROR(SEARCH("RTT",P39)))</formula>
    </cfRule>
  </conditionalFormatting>
  <conditionalFormatting sqref="Q23:S24">
    <cfRule type="containsText" dxfId="256" priority="217" operator="containsText" text="TP">
      <formula>NOT(ISERROR(SEARCH("TP",Q23)))</formula>
    </cfRule>
    <cfRule type="beginsWith" dxfId="255" priority="223" operator="beginsWith" text="CA">
      <formula>LEFT(Q23,LEN("CA"))="CA"</formula>
    </cfRule>
    <cfRule type="containsText" dxfId="254" priority="224" operator="containsText" text="AST">
      <formula>NOT(ISERROR(SEARCH("AST",Q23)))</formula>
    </cfRule>
    <cfRule type="containsText" dxfId="253" priority="225" operator="containsText" text="F">
      <formula>NOT(ISERROR(SEARCH("F",Q23)))</formula>
    </cfRule>
    <cfRule type="containsText" dxfId="252" priority="226" operator="containsText" text="PC">
      <formula>NOT(ISERROR(SEARCH("PC",Q23)))</formula>
    </cfRule>
    <cfRule type="containsText" dxfId="251" priority="227" operator="containsText" text="P">
      <formula>NOT(ISERROR(SEARCH("P",Q23)))</formula>
    </cfRule>
  </conditionalFormatting>
  <conditionalFormatting sqref="S23">
    <cfRule type="beginsWith" dxfId="250" priority="212" operator="beginsWith" text="CA">
      <formula>LEFT(S23,LEN("CA"))="CA"</formula>
    </cfRule>
    <cfRule type="containsText" dxfId="249" priority="213" operator="containsText" text="AST">
      <formula>NOT(ISERROR(SEARCH("AST",S23)))</formula>
    </cfRule>
    <cfRule type="containsText" dxfId="248" priority="214" operator="containsText" text="F">
      <formula>NOT(ISERROR(SEARCH("F",S23)))</formula>
    </cfRule>
    <cfRule type="containsText" dxfId="247" priority="215" operator="containsText" text="PC">
      <formula>NOT(ISERROR(SEARCH("PC",S23)))</formula>
    </cfRule>
    <cfRule type="containsText" dxfId="246" priority="216" operator="containsText" text="P">
      <formula>NOT(ISERROR(SEARCH("P",S23)))</formula>
    </cfRule>
  </conditionalFormatting>
  <conditionalFormatting sqref="S23:AB23 W24:Z24">
    <cfRule type="containsText" dxfId="245" priority="207" operator="containsText" text="AT">
      <formula>NOT(ISERROR(SEARCH("AT",S23)))</formula>
    </cfRule>
    <cfRule type="containsText" dxfId="244" priority="208" operator="containsText" text="MA">
      <formula>NOT(ISERROR(SEARCH("MA",S23)))</formula>
    </cfRule>
    <cfRule type="containsText" dxfId="243" priority="209" operator="containsText" text="RES">
      <formula>NOT(ISERROR(SEARCH("RES",S23)))</formula>
    </cfRule>
    <cfRule type="containsText" dxfId="242" priority="210" operator="containsText" text="CEX">
      <formula>NOT(ISERROR(SEARCH("CEX",S23)))</formula>
    </cfRule>
    <cfRule type="containsText" dxfId="241" priority="211" operator="containsText" text="RTT">
      <formula>NOT(ISERROR(SEARCH("RTT",S23)))</formula>
    </cfRule>
  </conditionalFormatting>
  <conditionalFormatting sqref="T26:U29 T31:U36 AA26:AB29 AA31:AB36 AH26:AJ28 AO26:AP29 AO31:AP36">
    <cfRule type="containsText" dxfId="240" priority="245" operator="containsText" text="C">
      <formula>NOT(ISERROR(SEARCH("C",T26)))</formula>
    </cfRule>
    <cfRule type="containsText" dxfId="239" priority="246" operator="containsText" text="AST">
      <formula>NOT(ISERROR(SEARCH("AST",T26)))</formula>
    </cfRule>
    <cfRule type="containsText" dxfId="238" priority="247" operator="containsText" text="F">
      <formula>NOT(ISERROR(SEARCH("F",T26)))</formula>
    </cfRule>
    <cfRule type="containsText" dxfId="237" priority="248" operator="containsText" text="MI">
      <formula>NOT(ISERROR(SEARCH("MI",T26)))</formula>
    </cfRule>
    <cfRule type="containsText" dxfId="236" priority="249" operator="containsText" text="P">
      <formula>NOT(ISERROR(SEARCH("P",T26)))</formula>
    </cfRule>
  </conditionalFormatting>
  <conditionalFormatting sqref="T39:U49 AA39:AB49 AH39:AJ49 AO39:AP49">
    <cfRule type="containsText" dxfId="235" priority="240" operator="containsText" text="C">
      <formula>NOT(ISERROR(SEARCH("C",T39)))</formula>
    </cfRule>
    <cfRule type="containsText" dxfId="234" priority="241" operator="containsText" text="AST">
      <formula>NOT(ISERROR(SEARCH("AST",T39)))</formula>
    </cfRule>
    <cfRule type="containsText" dxfId="233" priority="242" operator="containsText" text="F">
      <formula>NOT(ISERROR(SEARCH("F",T39)))</formula>
    </cfRule>
    <cfRule type="containsText" dxfId="232" priority="243" operator="containsText" text="PC">
      <formula>NOT(ISERROR(SEARCH("PC",T39)))</formula>
    </cfRule>
    <cfRule type="containsText" dxfId="231" priority="244" operator="containsText" text="P">
      <formula>NOT(ISERROR(SEARCH("P",T39)))</formula>
    </cfRule>
  </conditionalFormatting>
  <conditionalFormatting sqref="T51:U62 AA51:AB62 AH51:AJ62 AO51:AP62">
    <cfRule type="containsText" dxfId="230" priority="235" operator="containsText" text="C">
      <formula>NOT(ISERROR(SEARCH("C",T51)))</formula>
    </cfRule>
    <cfRule type="containsText" dxfId="229" priority="236" operator="containsText" text="AST">
      <formula>NOT(ISERROR(SEARCH("AST",T51)))</formula>
    </cfRule>
    <cfRule type="containsText" dxfId="228" priority="237" operator="containsText" text="F">
      <formula>NOT(ISERROR(SEARCH("F",T51)))</formula>
    </cfRule>
    <cfRule type="containsText" dxfId="227" priority="238" operator="containsText" text="MI">
      <formula>NOT(ISERROR(SEARCH("MI",T51)))</formula>
    </cfRule>
    <cfRule type="containsText" dxfId="226" priority="239" operator="containsText" text="P">
      <formula>NOT(ISERROR(SEARCH("P",T51)))</formula>
    </cfRule>
  </conditionalFormatting>
  <conditionalFormatting sqref="P65:Z69 T64:U64">
    <cfRule type="containsText" dxfId="225" priority="69" operator="containsText" text="TP">
      <formula>NOT(ISERROR(SEARCH("TP",P64)))</formula>
    </cfRule>
    <cfRule type="containsText" dxfId="224" priority="70" operator="containsText" text="AT">
      <formula>NOT(ISERROR(SEARCH("AT",P64)))</formula>
    </cfRule>
    <cfRule type="containsText" dxfId="223" priority="71" operator="containsText" text="MA">
      <formula>NOT(ISERROR(SEARCH("MA",P64)))</formula>
    </cfRule>
    <cfRule type="containsText" dxfId="222" priority="72" operator="containsText" text="RES">
      <formula>NOT(ISERROR(SEARCH("RES",P64)))</formula>
    </cfRule>
    <cfRule type="containsText" dxfId="221" priority="73" operator="containsText" text="CEX">
      <formula>NOT(ISERROR(SEARCH("CEX",P64)))</formula>
    </cfRule>
    <cfRule type="containsText" dxfId="220" priority="74" operator="containsText" text="RTT">
      <formula>NOT(ISERROR(SEARCH("RTT",P64)))</formula>
    </cfRule>
  </conditionalFormatting>
  <conditionalFormatting sqref="T64:U69 W66 Y66 AA64:AB65 AA66:AC67 AA68:AB69 AD67 AE66:AE67 AF67:AT67 AG66:AN66 AH64:AI64 AH65:AJ65 AH68:AJ69 AO64:AP66 AO68:AP69 AQ66:AT66">
    <cfRule type="containsText" dxfId="219" priority="230" operator="containsText" text="C">
      <formula>NOT(ISERROR(SEARCH("C",T64)))</formula>
    </cfRule>
    <cfRule type="containsText" dxfId="218" priority="231" operator="containsText" text="AST">
      <formula>NOT(ISERROR(SEARCH("AST",T64)))</formula>
    </cfRule>
    <cfRule type="containsText" dxfId="217" priority="232" operator="containsText" text="F">
      <formula>NOT(ISERROR(SEARCH("F",T64)))</formula>
    </cfRule>
    <cfRule type="containsText" dxfId="216" priority="233" operator="containsText" text="MI">
      <formula>NOT(ISERROR(SEARCH("MI",T64)))</formula>
    </cfRule>
    <cfRule type="containsText" dxfId="215" priority="234" operator="containsText" text="P">
      <formula>NOT(ISERROR(SEARCH("P",T64)))</formula>
    </cfRule>
  </conditionalFormatting>
  <conditionalFormatting sqref="V66">
    <cfRule type="beginsWith" dxfId="214" priority="95" operator="beginsWith" text="CA">
      <formula>LEFT(V66,LEN("CA"))="CA"</formula>
    </cfRule>
    <cfRule type="containsText" dxfId="213" priority="96" operator="containsText" text="AST">
      <formula>NOT(ISERROR(SEARCH("AST",V66)))</formula>
    </cfRule>
    <cfRule type="containsText" dxfId="212" priority="97" operator="containsText" text="F">
      <formula>NOT(ISERROR(SEARCH("F",V66)))</formula>
    </cfRule>
    <cfRule type="containsText" dxfId="211" priority="98" operator="containsText" text="PC">
      <formula>NOT(ISERROR(SEARCH("PC",V66)))</formula>
    </cfRule>
    <cfRule type="containsText" dxfId="210" priority="99" operator="containsText" text="P">
      <formula>NOT(ISERROR(SEARCH("P",V66)))</formula>
    </cfRule>
  </conditionalFormatting>
  <conditionalFormatting sqref="V23:Z24">
    <cfRule type="beginsWith" dxfId="209" priority="201" operator="beginsWith" text="CA">
      <formula>LEFT(V23,LEN("CA"))="CA"</formula>
    </cfRule>
    <cfRule type="containsText" dxfId="208" priority="202" operator="containsText" text="AST">
      <formula>NOT(ISERROR(SEARCH("AST",V23)))</formula>
    </cfRule>
    <cfRule type="containsText" dxfId="207" priority="203" operator="containsText" text="F">
      <formula>NOT(ISERROR(SEARCH("F",V23)))</formula>
    </cfRule>
    <cfRule type="containsText" dxfId="206" priority="204" operator="containsText" text="PC">
      <formula>NOT(ISERROR(SEARCH("PC",V23)))</formula>
    </cfRule>
    <cfRule type="containsText" dxfId="205" priority="205" operator="containsText" text="P">
      <formula>NOT(ISERROR(SEARCH("P",V23)))</formula>
    </cfRule>
  </conditionalFormatting>
  <conditionalFormatting sqref="V26:Z28">
    <cfRule type="beginsWith" dxfId="204" priority="186" operator="beginsWith" text="CA">
      <formula>LEFT(V26,LEN("CA"))="CA"</formula>
    </cfRule>
    <cfRule type="containsText" dxfId="203" priority="187" operator="containsText" text="AST">
      <formula>NOT(ISERROR(SEARCH("AST",V26)))</formula>
    </cfRule>
    <cfRule type="containsText" dxfId="202" priority="188" operator="containsText" text="F">
      <formula>NOT(ISERROR(SEARCH("F",V26)))</formula>
    </cfRule>
    <cfRule type="containsText" dxfId="201" priority="189" operator="containsText" text="PC">
      <formula>NOT(ISERROR(SEARCH("PC",V26)))</formula>
    </cfRule>
    <cfRule type="containsText" dxfId="200" priority="190" operator="containsText" text="P">
      <formula>NOT(ISERROR(SEARCH("P",V26)))</formula>
    </cfRule>
  </conditionalFormatting>
  <conditionalFormatting sqref="V51:Z62">
    <cfRule type="beginsWith" dxfId="199" priority="122" operator="beginsWith" text="CA">
      <formula>LEFT(V51,LEN("CA"))="CA"</formula>
    </cfRule>
    <cfRule type="containsText" dxfId="198" priority="123" operator="containsText" text="AST">
      <formula>NOT(ISERROR(SEARCH("AST",V51)))</formula>
    </cfRule>
    <cfRule type="containsText" dxfId="197" priority="124" operator="containsText" text="F">
      <formula>NOT(ISERROR(SEARCH("F",V51)))</formula>
    </cfRule>
    <cfRule type="containsText" dxfId="196" priority="125" operator="containsText" text="PC">
      <formula>NOT(ISERROR(SEARCH("PC",V51)))</formula>
    </cfRule>
    <cfRule type="containsText" dxfId="195" priority="126" operator="containsText" text="P">
      <formula>NOT(ISERROR(SEARCH("P",V51)))</formula>
    </cfRule>
  </conditionalFormatting>
  <conditionalFormatting sqref="V65:Z65 Z66">
    <cfRule type="beginsWith" dxfId="194" priority="80" operator="beginsWith" text="CA">
      <formula>LEFT(V65,LEN("CA"))="CA"</formula>
    </cfRule>
    <cfRule type="containsText" dxfId="193" priority="81" operator="containsText" text="AST">
      <formula>NOT(ISERROR(SEARCH("AST",V65)))</formula>
    </cfRule>
    <cfRule type="containsText" dxfId="192" priority="82" operator="containsText" text="F">
      <formula>NOT(ISERROR(SEARCH("F",V65)))</formula>
    </cfRule>
    <cfRule type="containsText" dxfId="191" priority="83" operator="containsText" text="PC">
      <formula>NOT(ISERROR(SEARCH("PC",V65)))</formula>
    </cfRule>
    <cfRule type="containsText" dxfId="190" priority="84" operator="containsText" text="P">
      <formula>NOT(ISERROR(SEARCH("P",V65)))</formula>
    </cfRule>
  </conditionalFormatting>
  <conditionalFormatting sqref="V67:Z69">
    <cfRule type="beginsWith" dxfId="189" priority="75" operator="beginsWith" text="CA">
      <formula>LEFT(V67,LEN("CA"))="CA"</formula>
    </cfRule>
    <cfRule type="containsText" dxfId="188" priority="76" operator="containsText" text="AST">
      <formula>NOT(ISERROR(SEARCH("AST",V67)))</formula>
    </cfRule>
    <cfRule type="containsText" dxfId="187" priority="77" operator="containsText" text="F">
      <formula>NOT(ISERROR(SEARCH("F",V67)))</formula>
    </cfRule>
    <cfRule type="containsText" dxfId="186" priority="78" operator="containsText" text="PC">
      <formula>NOT(ISERROR(SEARCH("PC",V67)))</formula>
    </cfRule>
    <cfRule type="containsText" dxfId="185" priority="79" operator="containsText" text="P">
      <formula>NOT(ISERROR(SEARCH("P",V67)))</formula>
    </cfRule>
  </conditionalFormatting>
  <conditionalFormatting sqref="V39:V45 V47:Z49 W39:AT39 W40:Z45">
    <cfRule type="beginsWith" dxfId="184" priority="149" operator="beginsWith" text="CA">
      <formula>LEFT(V39,LEN("CA"))="CA"</formula>
    </cfRule>
    <cfRule type="containsText" dxfId="183" priority="150" operator="containsText" text="AST">
      <formula>NOT(ISERROR(SEARCH("AST",V39)))</formula>
    </cfRule>
    <cfRule type="containsText" dxfId="182" priority="151" operator="containsText" text="F">
      <formula>NOT(ISERROR(SEARCH("F",V39)))</formula>
    </cfRule>
    <cfRule type="containsText" dxfId="181" priority="152" operator="containsText" text="PC">
      <formula>NOT(ISERROR(SEARCH("PC",V39)))</formula>
    </cfRule>
    <cfRule type="containsText" dxfId="180" priority="153" operator="containsText" text="P">
      <formula>NOT(ISERROR(SEARCH("P",V39)))</formula>
    </cfRule>
  </conditionalFormatting>
  <conditionalFormatting sqref="X20">
    <cfRule type="colorScale" priority="22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179" priority="90" operator="beginsWith" text="CA">
      <formula>LEFT(X66,LEN("CA"))="CA"</formula>
    </cfRule>
    <cfRule type="containsText" dxfId="178" priority="91" operator="containsText" text="AST">
      <formula>NOT(ISERROR(SEARCH("AST",X66)))</formula>
    </cfRule>
    <cfRule type="containsText" dxfId="177" priority="92" operator="containsText" text="F">
      <formula>NOT(ISERROR(SEARCH("F",X66)))</formula>
    </cfRule>
    <cfRule type="containsText" dxfId="176" priority="93" operator="containsText" text="PC">
      <formula>NOT(ISERROR(SEARCH("PC",X66)))</formula>
    </cfRule>
    <cfRule type="containsText" dxfId="175" priority="94" operator="containsText" text="P">
      <formula>NOT(ISERROR(SEARCH("P",X66)))</formula>
    </cfRule>
  </conditionalFormatting>
  <conditionalFormatting sqref="Z66">
    <cfRule type="beginsWith" dxfId="174" priority="85" operator="beginsWith" text="CA">
      <formula>LEFT(Z66,LEN("CA"))="CA"</formula>
    </cfRule>
    <cfRule type="containsText" dxfId="173" priority="86" operator="containsText" text="AST">
      <formula>NOT(ISERROR(SEARCH("AST",Z66)))</formula>
    </cfRule>
    <cfRule type="containsText" dxfId="172" priority="87" operator="containsText" text="F">
      <formula>NOT(ISERROR(SEARCH("F",Z66)))</formula>
    </cfRule>
    <cfRule type="containsText" dxfId="171" priority="88" operator="containsText" text="PC">
      <formula>NOT(ISERROR(SEARCH("PC",Z66)))</formula>
    </cfRule>
    <cfRule type="containsText" dxfId="170" priority="89" operator="containsText" text="P">
      <formula>NOT(ISERROR(SEARCH("P",Z66)))</formula>
    </cfRule>
  </conditionalFormatting>
  <conditionalFormatting sqref="AC23:AG24">
    <cfRule type="containsText" dxfId="169" priority="35" operator="containsText" text="TP">
      <formula>NOT(ISERROR(SEARCH("TP",AC23)))</formula>
    </cfRule>
    <cfRule type="containsText" dxfId="168" priority="37" operator="containsText" text="AT">
      <formula>NOT(ISERROR(SEARCH("AT",AC23)))</formula>
    </cfRule>
    <cfRule type="containsText" dxfId="167" priority="38" operator="containsText" text="MA">
      <formula>NOT(ISERROR(SEARCH("MA",AC23)))</formula>
    </cfRule>
    <cfRule type="containsText" dxfId="166" priority="39" operator="containsText" text="RES">
      <formula>NOT(ISERROR(SEARCH("RES",AC23)))</formula>
    </cfRule>
    <cfRule type="containsText" dxfId="165" priority="40" operator="containsText" text="CEX">
      <formula>NOT(ISERROR(SEARCH("CEX",AC23)))</formula>
    </cfRule>
    <cfRule type="containsText" dxfId="164" priority="41" operator="containsText" text="RTT">
      <formula>NOT(ISERROR(SEARCH("RTT",AC23)))</formula>
    </cfRule>
    <cfRule type="containsText" dxfId="163" priority="42" operator="containsText" text="C">
      <formula>NOT(ISERROR(SEARCH("C",AC23)))</formula>
    </cfRule>
    <cfRule type="containsText" dxfId="162" priority="43" operator="containsText" text="AST">
      <formula>NOT(ISERROR(SEARCH("AST",AC23)))</formula>
    </cfRule>
    <cfRule type="containsText" dxfId="161" priority="44" operator="containsText" text="F">
      <formula>NOT(ISERROR(SEARCH("F",AC23)))</formula>
    </cfRule>
    <cfRule type="containsText" dxfId="160" priority="45" operator="containsText" text="MI">
      <formula>NOT(ISERROR(SEARCH("MI",AC23)))</formula>
    </cfRule>
    <cfRule type="containsText" dxfId="159" priority="46" operator="containsText" text="P">
      <formula>NOT(ISERROR(SEARCH("P",AC23)))</formula>
    </cfRule>
  </conditionalFormatting>
  <conditionalFormatting sqref="AC26:AG28">
    <cfRule type="beginsWith" dxfId="158" priority="181" operator="beginsWith" text="CA">
      <formula>LEFT(AC26,LEN("CA"))="CA"</formula>
    </cfRule>
    <cfRule type="containsText" dxfId="157" priority="182" operator="containsText" text="AST">
      <formula>NOT(ISERROR(SEARCH("AST",AC26)))</formula>
    </cfRule>
    <cfRule type="containsText" dxfId="156" priority="183" operator="containsText" text="F">
      <formula>NOT(ISERROR(SEARCH("F",AC26)))</formula>
    </cfRule>
    <cfRule type="containsText" dxfId="155" priority="184" operator="containsText" text="PC">
      <formula>NOT(ISERROR(SEARCH("PC",AC26)))</formula>
    </cfRule>
    <cfRule type="containsText" dxfId="154" priority="185" operator="containsText" text="P">
      <formula>NOT(ISERROR(SEARCH("P",AC26)))</formula>
    </cfRule>
  </conditionalFormatting>
  <conditionalFormatting sqref="AC39:AG45 AC47:AG49 AH42:AN42">
    <cfRule type="containsText" dxfId="153" priority="145" operator="containsText" text="AST">
      <formula>NOT(ISERROR(SEARCH("AST",AC39)))</formula>
    </cfRule>
    <cfRule type="containsText" dxfId="152" priority="146" operator="containsText" text="F">
      <formula>NOT(ISERROR(SEARCH("F",AC39)))</formula>
    </cfRule>
    <cfRule type="containsText" dxfId="151" priority="147" operator="containsText" text="PC">
      <formula>NOT(ISERROR(SEARCH("PC",AC39)))</formula>
    </cfRule>
    <cfRule type="containsText" dxfId="150" priority="148" operator="containsText" text="P">
      <formula>NOT(ISERROR(SEARCH("P",AC39)))</formula>
    </cfRule>
    <cfRule type="beginsWith" dxfId="149" priority="144" operator="beginsWith" text="CA">
      <formula>LEFT(AC39,LEN("CA"))="CA"</formula>
    </cfRule>
  </conditionalFormatting>
  <conditionalFormatting sqref="AC51:AG62 AH57:AN57">
    <cfRule type="containsText" dxfId="148" priority="118" operator="containsText" text="AST">
      <formula>NOT(ISERROR(SEARCH("AST",AC51)))</formula>
    </cfRule>
    <cfRule type="containsText" dxfId="147" priority="119" operator="containsText" text="F">
      <formula>NOT(ISERROR(SEARCH("F",AC51)))</formula>
    </cfRule>
    <cfRule type="containsText" dxfId="146" priority="120" operator="containsText" text="PC">
      <formula>NOT(ISERROR(SEARCH("PC",AC51)))</formula>
    </cfRule>
    <cfRule type="containsText" dxfId="145" priority="121" operator="containsText" text="P">
      <formula>NOT(ISERROR(SEARCH("P",AC51)))</formula>
    </cfRule>
    <cfRule type="beginsWith" dxfId="144" priority="117" operator="beginsWith" text="CA">
      <formula>LEFT(AC51,LEN("CA"))="CA"</formula>
    </cfRule>
  </conditionalFormatting>
  <conditionalFormatting sqref="AC64:AG65 AD66:AD67 AF66:AF67">
    <cfRule type="containsText" dxfId="143" priority="65" operator="containsText" text="AST">
      <formula>NOT(ISERROR(SEARCH("AST",AC64)))</formula>
    </cfRule>
    <cfRule type="containsText" dxfId="142" priority="66" operator="containsText" text="F">
      <formula>NOT(ISERROR(SEARCH("F",AC64)))</formula>
    </cfRule>
    <cfRule type="containsText" dxfId="141" priority="67" operator="containsText" text="PC">
      <formula>NOT(ISERROR(SEARCH("PC",AC64)))</formula>
    </cfRule>
    <cfRule type="containsText" dxfId="140" priority="68" operator="containsText" text="P">
      <formula>NOT(ISERROR(SEARCH("P",AC64)))</formula>
    </cfRule>
    <cfRule type="beginsWith" dxfId="139" priority="64" operator="beginsWith" text="CA">
      <formula>LEFT(AC64,LEN("CA"))="CA"</formula>
    </cfRule>
  </conditionalFormatting>
  <conditionalFormatting sqref="AC67:AG67">
    <cfRule type="containsText" dxfId="138" priority="24" operator="containsText" text="TP">
      <formula>NOT(ISERROR(SEARCH("TP",AC67)))</formula>
    </cfRule>
    <cfRule type="containsText" dxfId="137" priority="25" operator="containsText" text="AT">
      <formula>NOT(ISERROR(SEARCH("AT",AC67)))</formula>
    </cfRule>
    <cfRule type="containsText" dxfId="136" priority="26" operator="containsText" text="MA">
      <formula>NOT(ISERROR(SEARCH("MA",AC67)))</formula>
    </cfRule>
    <cfRule type="containsText" dxfId="135" priority="27" operator="containsText" text="RES">
      <formula>NOT(ISERROR(SEARCH("RES",AC67)))</formula>
    </cfRule>
    <cfRule type="containsText" dxfId="134" priority="28" operator="containsText" text="CEX">
      <formula>NOT(ISERROR(SEARCH("CEX",AC67)))</formula>
    </cfRule>
    <cfRule type="containsText" dxfId="133" priority="29" operator="containsText" text="RTT">
      <formula>NOT(ISERROR(SEARCH("RTT",AC67)))</formula>
    </cfRule>
  </conditionalFormatting>
  <conditionalFormatting sqref="AC67:AG69">
    <cfRule type="beginsWith" dxfId="132" priority="30" operator="beginsWith" text="CA">
      <formula>LEFT(AC67,LEN("CA"))="CA"</formula>
    </cfRule>
    <cfRule type="containsText" dxfId="131" priority="31" operator="containsText" text="AST">
      <formula>NOT(ISERROR(SEARCH("AST",AC67)))</formula>
    </cfRule>
    <cfRule type="containsText" dxfId="130" priority="32" operator="containsText" text="F">
      <formula>NOT(ISERROR(SEARCH("F",AC67)))</formula>
    </cfRule>
    <cfRule type="containsText" dxfId="129" priority="33" operator="containsText" text="PC">
      <formula>NOT(ISERROR(SEARCH("PC",AC67)))</formula>
    </cfRule>
    <cfRule type="containsText" dxfId="128" priority="34" operator="containsText" text="P">
      <formula>NOT(ISERROR(SEARCH("P",AC67)))</formula>
    </cfRule>
  </conditionalFormatting>
  <conditionalFormatting sqref="AK23:AN24">
    <cfRule type="beginsWith" dxfId="127" priority="196" operator="beginsWith" text="CA">
      <formula>LEFT(AK23,LEN("CA"))="CA"</formula>
    </cfRule>
    <cfRule type="containsText" dxfId="126" priority="197" operator="containsText" text="AST">
      <formula>NOT(ISERROR(SEARCH("AST",AK23)))</formula>
    </cfRule>
    <cfRule type="containsText" dxfId="125" priority="198" operator="containsText" text="F">
      <formula>NOT(ISERROR(SEARCH("F",AK23)))</formula>
    </cfRule>
    <cfRule type="containsText" dxfId="124" priority="199" operator="containsText" text="PC">
      <formula>NOT(ISERROR(SEARCH("PC",AK23)))</formula>
    </cfRule>
    <cfRule type="containsText" dxfId="123" priority="200" operator="containsText" text="P">
      <formula>NOT(ISERROR(SEARCH("P",AK23)))</formula>
    </cfRule>
  </conditionalFormatting>
  <conditionalFormatting sqref="AK26:AN28">
    <cfRule type="beginsWith" dxfId="122" priority="176" operator="beginsWith" text="CA">
      <formula>LEFT(AK26,LEN("CA"))="CA"</formula>
    </cfRule>
    <cfRule type="containsText" dxfId="121" priority="177" operator="containsText" text="AST">
      <formula>NOT(ISERROR(SEARCH("AST",AK26)))</formula>
    </cfRule>
    <cfRule type="containsText" dxfId="120" priority="178" operator="containsText" text="F">
      <formula>NOT(ISERROR(SEARCH("F",AK26)))</formula>
    </cfRule>
    <cfRule type="containsText" dxfId="119" priority="179" operator="containsText" text="PC">
      <formula>NOT(ISERROR(SEARCH("PC",AK26)))</formula>
    </cfRule>
    <cfRule type="containsText" dxfId="118" priority="180" operator="containsText" text="P">
      <formula>NOT(ISERROR(SEARCH("P",AK26)))</formula>
    </cfRule>
  </conditionalFormatting>
  <conditionalFormatting sqref="AK39:AN45 AK47:AN49">
    <cfRule type="beginsWith" dxfId="117" priority="139" operator="beginsWith" text="CA">
      <formula>LEFT(AK39,LEN("CA"))="CA"</formula>
    </cfRule>
    <cfRule type="containsText" dxfId="116" priority="140" operator="containsText" text="AST">
      <formula>NOT(ISERROR(SEARCH("AST",AK39)))</formula>
    </cfRule>
    <cfRule type="containsText" dxfId="115" priority="141" operator="containsText" text="F">
      <formula>NOT(ISERROR(SEARCH("F",AK39)))</formula>
    </cfRule>
    <cfRule type="containsText" dxfId="114" priority="142" operator="containsText" text="PC">
      <formula>NOT(ISERROR(SEARCH("PC",AK39)))</formula>
    </cfRule>
    <cfRule type="containsText" dxfId="113" priority="143" operator="containsText" text="P">
      <formula>NOT(ISERROR(SEARCH("P",AK39)))</formula>
    </cfRule>
  </conditionalFormatting>
  <conditionalFormatting sqref="AK51:AN62">
    <cfRule type="beginsWith" dxfId="112" priority="112" operator="beginsWith" text="CA">
      <formula>LEFT(AK51,LEN("CA"))="CA"</formula>
    </cfRule>
    <cfRule type="containsText" dxfId="111" priority="113" operator="containsText" text="AST">
      <formula>NOT(ISERROR(SEARCH("AST",AK51)))</formula>
    </cfRule>
    <cfRule type="containsText" dxfId="110" priority="114" operator="containsText" text="F">
      <formula>NOT(ISERROR(SEARCH("F",AK51)))</formula>
    </cfRule>
    <cfRule type="containsText" dxfId="109" priority="115" operator="containsText" text="PC">
      <formula>NOT(ISERROR(SEARCH("PC",AK51)))</formula>
    </cfRule>
    <cfRule type="containsText" dxfId="108" priority="116" operator="containsText" text="P">
      <formula>NOT(ISERROR(SEARCH("P",AK51)))</formula>
    </cfRule>
  </conditionalFormatting>
  <conditionalFormatting sqref="AK65:AN65">
    <cfRule type="beginsWith" dxfId="107" priority="59" operator="beginsWith" text="CA">
      <formula>LEFT(AK65,LEN("CA"))="CA"</formula>
    </cfRule>
    <cfRule type="containsText" dxfId="106" priority="60" operator="containsText" text="AST">
      <formula>NOT(ISERROR(SEARCH("AST",AK65)))</formula>
    </cfRule>
    <cfRule type="containsText" dxfId="105" priority="61" operator="containsText" text="F">
      <formula>NOT(ISERROR(SEARCH("F",AK65)))</formula>
    </cfRule>
    <cfRule type="containsText" dxfId="104" priority="62" operator="containsText" text="PC">
      <formula>NOT(ISERROR(SEARCH("PC",AK65)))</formula>
    </cfRule>
    <cfRule type="containsText" dxfId="103" priority="63" operator="containsText" text="P">
      <formula>NOT(ISERROR(SEARCH("P",AK65)))</formula>
    </cfRule>
  </conditionalFormatting>
  <conditionalFormatting sqref="AK67:AN67">
    <cfRule type="containsText" dxfId="102" priority="13" operator="containsText" text="TP">
      <formula>NOT(ISERROR(SEARCH("TP",AK67)))</formula>
    </cfRule>
    <cfRule type="containsText" dxfId="101" priority="14" operator="containsText" text="AT">
      <formula>NOT(ISERROR(SEARCH("AT",AK67)))</formula>
    </cfRule>
    <cfRule type="containsText" dxfId="100" priority="15" operator="containsText" text="MA">
      <formula>NOT(ISERROR(SEARCH("MA",AK67)))</formula>
    </cfRule>
    <cfRule type="containsText" dxfId="99" priority="16" operator="containsText" text="RES">
      <formula>NOT(ISERROR(SEARCH("RES",AK67)))</formula>
    </cfRule>
    <cfRule type="containsText" dxfId="98" priority="17" operator="containsText" text="CEX">
      <formula>NOT(ISERROR(SEARCH("CEX",AK67)))</formula>
    </cfRule>
    <cfRule type="containsText" dxfId="97" priority="18" operator="containsText" text="RTT">
      <formula>NOT(ISERROR(SEARCH("RTT",AK67)))</formula>
    </cfRule>
  </conditionalFormatting>
  <conditionalFormatting sqref="AK67:AN69">
    <cfRule type="beginsWith" dxfId="96" priority="19" operator="beginsWith" text="CA">
      <formula>LEFT(AK67,LEN("CA"))="CA"</formula>
    </cfRule>
    <cfRule type="containsText" dxfId="95" priority="20" operator="containsText" text="AST">
      <formula>NOT(ISERROR(SEARCH("AST",AK67)))</formula>
    </cfRule>
    <cfRule type="containsText" dxfId="94" priority="21" operator="containsText" text="F">
      <formula>NOT(ISERROR(SEARCH("F",AK67)))</formula>
    </cfRule>
    <cfRule type="containsText" dxfId="93" priority="22" operator="containsText" text="PC">
      <formula>NOT(ISERROR(SEARCH("PC",AK67)))</formula>
    </cfRule>
    <cfRule type="containsText" dxfId="92" priority="23" operator="containsText" text="P">
      <formula>NOT(ISERROR(SEARCH("P",AK67)))</formula>
    </cfRule>
  </conditionalFormatting>
  <conditionalFormatting sqref="AM20">
    <cfRule type="colorScale" priority="12">
      <colorScale>
        <cfvo type="min"/>
        <cfvo type="max"/>
        <color rgb="FFFF7128"/>
        <color rgb="FFFFEF9C"/>
      </colorScale>
    </cfRule>
  </conditionalFormatting>
  <conditionalFormatting sqref="AO64:AT65">
    <cfRule type="containsText" priority="57" operator="containsText" text="TAD">
      <formula>NOT(ISERROR(SEARCH("TAD",AO64)))</formula>
    </cfRule>
  </conditionalFormatting>
  <conditionalFormatting sqref="AQ66">
    <cfRule type="beginsWith" dxfId="91" priority="52" operator="beginsWith" text="CA">
      <formula>LEFT(AQ66,LEN("CA"))="CA"</formula>
    </cfRule>
    <cfRule type="containsText" dxfId="90" priority="53" operator="containsText" text="AST">
      <formula>NOT(ISERROR(SEARCH("AST",AQ66)))</formula>
    </cfRule>
    <cfRule type="containsText" dxfId="89" priority="54" operator="containsText" text="F">
      <formula>NOT(ISERROR(SEARCH("F",AQ66)))</formula>
    </cfRule>
    <cfRule type="containsText" dxfId="88" priority="55" operator="containsText" text="PC">
      <formula>NOT(ISERROR(SEARCH("PC",AQ66)))</formula>
    </cfRule>
    <cfRule type="containsText" dxfId="87" priority="56" operator="containsText" text="P">
      <formula>NOT(ISERROR(SEARCH("P",AQ66)))</formula>
    </cfRule>
  </conditionalFormatting>
  <conditionalFormatting sqref="AM20:AN20 AQ20:AT20">
    <cfRule type="colorScale" priority="228">
      <colorScale>
        <cfvo type="min"/>
        <cfvo type="max"/>
        <color rgb="FFFF7128"/>
        <color rgb="FFFFEF9C"/>
      </colorScale>
    </cfRule>
  </conditionalFormatting>
  <conditionalFormatting sqref="AQ23:AT24">
    <cfRule type="beginsWith" dxfId="86" priority="191" operator="beginsWith" text="CA">
      <formula>LEFT(AQ23,LEN("CA"))="CA"</formula>
    </cfRule>
    <cfRule type="containsText" dxfId="85" priority="192" operator="containsText" text="AST">
      <formula>NOT(ISERROR(SEARCH("AST",AQ23)))</formula>
    </cfRule>
    <cfRule type="containsText" dxfId="84" priority="193" operator="containsText" text="F">
      <formula>NOT(ISERROR(SEARCH("F",AQ23)))</formula>
    </cfRule>
    <cfRule type="containsText" dxfId="83" priority="194" operator="containsText" text="PC">
      <formula>NOT(ISERROR(SEARCH("PC",AQ23)))</formula>
    </cfRule>
    <cfRule type="containsText" dxfId="82" priority="195" operator="containsText" text="P">
      <formula>NOT(ISERROR(SEARCH("P",AQ23)))</formula>
    </cfRule>
  </conditionalFormatting>
  <conditionalFormatting sqref="AQ26:AT28">
    <cfRule type="beginsWith" dxfId="81" priority="171" operator="beginsWith" text="CA">
      <formula>LEFT(AQ26,LEN("CA"))="CA"</formula>
    </cfRule>
    <cfRule type="containsText" dxfId="80" priority="172" operator="containsText" text="AST">
      <formula>NOT(ISERROR(SEARCH("AST",AQ26)))</formula>
    </cfRule>
    <cfRule type="containsText" dxfId="79" priority="173" operator="containsText" text="F">
      <formula>NOT(ISERROR(SEARCH("F",AQ26)))</formula>
    </cfRule>
    <cfRule type="containsText" dxfId="78" priority="174" operator="containsText" text="PC">
      <formula>NOT(ISERROR(SEARCH("PC",AQ26)))</formula>
    </cfRule>
    <cfRule type="containsText" dxfId="77" priority="175" operator="containsText" text="P">
      <formula>NOT(ISERROR(SEARCH("P",AQ26)))</formula>
    </cfRule>
  </conditionalFormatting>
  <conditionalFormatting sqref="AQ39:AT45 AQ47:AT49">
    <cfRule type="beginsWith" dxfId="76" priority="134" operator="beginsWith" text="CA">
      <formula>LEFT(AQ39,LEN("CA"))="CA"</formula>
    </cfRule>
    <cfRule type="containsText" dxfId="75" priority="135" operator="containsText" text="AST">
      <formula>NOT(ISERROR(SEARCH("AST",AQ39)))</formula>
    </cfRule>
    <cfRule type="containsText" dxfId="74" priority="136" operator="containsText" text="F">
      <formula>NOT(ISERROR(SEARCH("F",AQ39)))</formula>
    </cfRule>
    <cfRule type="containsText" dxfId="73" priority="137" operator="containsText" text="PC">
      <formula>NOT(ISERROR(SEARCH("PC",AQ39)))</formula>
    </cfRule>
    <cfRule type="containsText" dxfId="72" priority="138" operator="containsText" text="P">
      <formula>NOT(ISERROR(SEARCH("P",AQ39)))</formula>
    </cfRule>
  </conditionalFormatting>
  <conditionalFormatting sqref="AQ64:AT69">
    <cfRule type="beginsWith" dxfId="71" priority="7" operator="beginsWith" text="CA">
      <formula>LEFT(AQ64,LEN("CA"))="CA"</formula>
    </cfRule>
    <cfRule type="containsText" dxfId="70" priority="8" operator="containsText" text="AST">
      <formula>NOT(ISERROR(SEARCH("AST",AQ64)))</formula>
    </cfRule>
    <cfRule type="containsText" dxfId="69" priority="9" operator="containsText" text="F">
      <formula>NOT(ISERROR(SEARCH("F",AQ64)))</formula>
    </cfRule>
    <cfRule type="containsText" dxfId="68" priority="10" operator="containsText" text="PC">
      <formula>NOT(ISERROR(SEARCH("PC",AQ64)))</formula>
    </cfRule>
    <cfRule type="containsText" dxfId="67" priority="11" operator="containsText" text="P">
      <formula>NOT(ISERROR(SEARCH("P",AQ64)))</formula>
    </cfRule>
  </conditionalFormatting>
  <conditionalFormatting sqref="AQ66:AT67">
    <cfRule type="containsText" dxfId="66" priority="1" operator="containsText" text="TP">
      <formula>NOT(ISERROR(SEARCH("TP",AQ66)))</formula>
    </cfRule>
    <cfRule type="containsText" dxfId="65" priority="2" operator="containsText" text="AT">
      <formula>NOT(ISERROR(SEARCH("AT",AQ66)))</formula>
    </cfRule>
    <cfRule type="containsText" dxfId="64" priority="3" operator="containsText" text="MA">
      <formula>NOT(ISERROR(SEARCH("MA",AQ66)))</formula>
    </cfRule>
    <cfRule type="containsText" dxfId="63" priority="4" operator="containsText" text="RES">
      <formula>NOT(ISERROR(SEARCH("RES",AQ66)))</formula>
    </cfRule>
    <cfRule type="containsText" dxfId="62" priority="5" operator="containsText" text="CEX">
      <formula>NOT(ISERROR(SEARCH("CEX",AQ66)))</formula>
    </cfRule>
    <cfRule type="containsText" dxfId="61" priority="6" operator="containsText" text="RTT">
      <formula>NOT(ISERROR(SEARCH("RTT",AQ66)))</formula>
    </cfRule>
  </conditionalFormatting>
  <conditionalFormatting sqref="AS66:AT66">
    <cfRule type="beginsWith" dxfId="60" priority="47" operator="beginsWith" text="CA">
      <formula>LEFT(AS66,LEN("CA"))="CA"</formula>
    </cfRule>
    <cfRule type="containsText" dxfId="59" priority="48" operator="containsText" text="AST">
      <formula>NOT(ISERROR(SEARCH("AST",AS66)))</formula>
    </cfRule>
    <cfRule type="containsText" dxfId="58" priority="49" operator="containsText" text="F">
      <formula>NOT(ISERROR(SEARCH("F",AS66)))</formula>
    </cfRule>
    <cfRule type="containsText" dxfId="57" priority="50" operator="containsText" text="PC">
      <formula>NOT(ISERROR(SEARCH("PC",AS66)))</formula>
    </cfRule>
    <cfRule type="containsText" dxfId="56" priority="51" operator="containsText" text="P">
      <formula>NOT(ISERROR(SEARCH("P",AS66)))</formula>
    </cfRule>
  </conditionalFormatting>
  <dataValidations count="5">
    <dataValidation type="list" allowBlank="1" showInputMessage="1" showErrorMessage="1" sqref="P23:P24 T23:U24 T26:U29 T31:U36 T39:U49 T51:U62 T64:U68 W66 Y66 AA23:AJ24 AA26:AB29 AA31:AB36 AA39:AB49 AA51:AB62 AA64:AB68 AC66 AE66 AG66 AH26:AJ28 AH39:AJ41 AH43:AJ49 AH51:AJ56 AH58:AJ62 AH64:AI64 AH65:AJ68 AK66:AN66 AO23:AP24 AO26:AP29 AO31:AP36 AO39:AP49 AO51:AP62 AO64:AP68" xr:uid="{00000000-0002-0000-0C00-000000000000}">
      <formula1>"P, PC, F, AST, C, RTT, CEX, RES, MA, AT, TAD, TP"</formula1>
    </dataValidation>
    <dataValidation type="list" allowBlank="1" showInputMessage="1" showErrorMessage="1" sqref="P10:AT10" xr:uid="{00000000-0002-0000-0C00-000001000000}">
      <formula1>"P,M,A,C,CEX,F,R,T,8H"</formula1>
    </dataValidation>
    <dataValidation type="list" allowBlank="1" showInputMessage="1" showErrorMessage="1" sqref="T78" xr:uid="{00000000-0002-0000-0C00-000002000000}">
      <formula1>$D$9:$O$9</formula1>
    </dataValidation>
    <dataValidation type="list" allowBlank="1" showInputMessage="1" showErrorMessage="1" sqref="T69:U69 AA69:AB69 AH69:AJ69 AO69:AP69" xr:uid="{00000000-0002-0000-0C00-000003000000}">
      <formula1>"P, MI, F, AST, C, RTT, CEX, RES, MA, AT, TAD, TP"</formula1>
    </dataValidation>
    <dataValidation type="list" allowBlank="1" showInputMessage="1" showErrorMessage="1" sqref="P11:AT20 P26:S29 P31:S36 P39:S49 P51:S62 P64:S69 Q23:S24 V23:Z24 V26:Z29 V31:Z36 V39:Z49 V51:Z62 V64:V69 W64:W65 W67:W69 X64:X69 Y64:Y65 Y67:Y69 Z64:Z69 AC26:AG28 AC29:AN29 AC31:AN36 AC39:AG49 AC51:AG62 AC64:AC65 AC67:AC69 AD64:AD69 AE64:AE65 AE67:AE69 AF64:AF69 AG64:AG65 AG67:AG69 AH42:AN42 AH57:AN57 AJ64:AN64 AK23:AN24 AK26:AN28 AK39:AN41 AK43:AN49 AK51:AN56 AK58:AN62 AK65:AN69 AQ23:AT24 AQ26:AT29 AQ31:AT36 AQ39:AT49 AQ51:AT62 AQ64:AT69" xr:uid="{00000000-0002-0000-0C00-000004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F76"/>
  <sheetViews>
    <sheetView zoomScale="85" zoomScaleNormal="85" workbookViewId="0">
      <pane ySplit="10" topLeftCell="A11" activePane="bottomLeft" state="frozen"/>
      <selection pane="bottomLeft" activeCell="C4" sqref="C4"/>
    </sheetView>
  </sheetViews>
  <sheetFormatPr baseColWidth="10" defaultColWidth="11.42578125" defaultRowHeight="15" x14ac:dyDescent="0.25"/>
  <cols>
    <col min="1" max="1" width="11.42578125" style="19" customWidth="1"/>
    <col min="2" max="2" width="19.85546875" style="19" bestFit="1" customWidth="1"/>
    <col min="3" max="3" width="16.140625" style="19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19" customWidth="1"/>
    <col min="17" max="18" width="4.28515625" style="19" bestFit="1" customWidth="1"/>
    <col min="19" max="19" width="4.7109375" style="19" bestFit="1" customWidth="1"/>
    <col min="20" max="25" width="4.28515625" style="19" bestFit="1" customWidth="1"/>
    <col min="26" max="26" width="4.7109375" style="19" bestFit="1" customWidth="1"/>
    <col min="27" max="32" width="4.28515625" style="19" bestFit="1" customWidth="1"/>
    <col min="33" max="33" width="4.7109375" style="19" bestFit="1" customWidth="1"/>
    <col min="34" max="39" width="4.28515625" style="19" bestFit="1" customWidth="1"/>
    <col min="40" max="40" width="4.7109375" style="19" bestFit="1" customWidth="1"/>
    <col min="41" max="44" width="4.28515625" style="19" bestFit="1" customWidth="1"/>
    <col min="45" max="46" width="4.28515625" style="19" customWidth="1"/>
    <col min="47" max="47" width="11.42578125" style="19" customWidth="1"/>
    <col min="48" max="48" width="4.42578125" style="19" bestFit="1" customWidth="1"/>
    <col min="49" max="56" width="3.140625" style="19" bestFit="1" customWidth="1"/>
    <col min="57" max="57" width="3.5703125" style="19" customWidth="1"/>
    <col min="58" max="58" width="3.140625" style="19" customWidth="1"/>
    <col min="59" max="59" width="11.42578125" style="19" customWidth="1"/>
    <col min="60" max="16384" width="11.42578125" style="19"/>
  </cols>
  <sheetData>
    <row r="1" spans="1:58" ht="15" customHeight="1" x14ac:dyDescent="0.25">
      <c r="A1" s="27">
        <f>config!B17</f>
        <v>46388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27">
        <f>config!C17</f>
        <v>46418</v>
      </c>
    </row>
    <row r="3" spans="1:58" ht="15" customHeight="1" x14ac:dyDescent="0.25">
      <c r="A3" s="27"/>
    </row>
    <row r="4" spans="1:58" ht="56.25" customHeight="1" x14ac:dyDescent="0.25">
      <c r="A4" s="27"/>
      <c r="P4" s="28">
        <f>A1</f>
        <v>46388</v>
      </c>
      <c r="Q4" s="28">
        <f t="shared" ref="Q4:AT4" si="0">P4+1</f>
        <v>46389</v>
      </c>
      <c r="R4" s="28">
        <f t="shared" si="0"/>
        <v>46390</v>
      </c>
      <c r="S4" s="28">
        <f t="shared" si="0"/>
        <v>46391</v>
      </c>
      <c r="T4" s="28">
        <f t="shared" si="0"/>
        <v>46392</v>
      </c>
      <c r="U4" s="28">
        <f t="shared" si="0"/>
        <v>46393</v>
      </c>
      <c r="V4" s="28">
        <f t="shared" si="0"/>
        <v>46394</v>
      </c>
      <c r="W4" s="28">
        <f t="shared" si="0"/>
        <v>46395</v>
      </c>
      <c r="X4" s="28">
        <f t="shared" si="0"/>
        <v>46396</v>
      </c>
      <c r="Y4" s="28">
        <f t="shared" si="0"/>
        <v>46397</v>
      </c>
      <c r="Z4" s="28">
        <f t="shared" si="0"/>
        <v>46398</v>
      </c>
      <c r="AA4" s="28">
        <f t="shared" si="0"/>
        <v>46399</v>
      </c>
      <c r="AB4" s="28">
        <f t="shared" si="0"/>
        <v>46400</v>
      </c>
      <c r="AC4" s="28">
        <f t="shared" si="0"/>
        <v>46401</v>
      </c>
      <c r="AD4" s="28">
        <f t="shared" si="0"/>
        <v>46402</v>
      </c>
      <c r="AE4" s="28">
        <f t="shared" si="0"/>
        <v>46403</v>
      </c>
      <c r="AF4" s="28">
        <f t="shared" si="0"/>
        <v>46404</v>
      </c>
      <c r="AG4" s="28">
        <f t="shared" si="0"/>
        <v>46405</v>
      </c>
      <c r="AH4" s="28">
        <f t="shared" si="0"/>
        <v>46406</v>
      </c>
      <c r="AI4" s="28">
        <f t="shared" si="0"/>
        <v>46407</v>
      </c>
      <c r="AJ4" s="28">
        <f t="shared" si="0"/>
        <v>46408</v>
      </c>
      <c r="AK4" s="28">
        <f t="shared" si="0"/>
        <v>46409</v>
      </c>
      <c r="AL4" s="28">
        <f t="shared" si="0"/>
        <v>46410</v>
      </c>
      <c r="AM4" s="28">
        <f t="shared" si="0"/>
        <v>46411</v>
      </c>
      <c r="AN4" s="28">
        <f t="shared" si="0"/>
        <v>46412</v>
      </c>
      <c r="AO4" s="28">
        <f t="shared" si="0"/>
        <v>46413</v>
      </c>
      <c r="AP4" s="28">
        <f t="shared" si="0"/>
        <v>46414</v>
      </c>
      <c r="AQ4" s="28">
        <f t="shared" si="0"/>
        <v>46415</v>
      </c>
      <c r="AR4" s="28">
        <f t="shared" si="0"/>
        <v>46416</v>
      </c>
      <c r="AS4" s="28">
        <f t="shared" si="0"/>
        <v>46417</v>
      </c>
      <c r="AT4" s="28">
        <f t="shared" si="0"/>
        <v>46418</v>
      </c>
      <c r="AU4" s="28"/>
      <c r="AV4" s="27"/>
      <c r="AW4" s="27"/>
      <c r="AX4" s="27"/>
      <c r="AY4" s="27"/>
      <c r="AZ4" s="27"/>
      <c r="BA4" s="27"/>
      <c r="BB4" s="27"/>
    </row>
    <row r="5" spans="1:58" ht="15.75" customHeight="1" x14ac:dyDescent="0.25">
      <c r="A5" s="295" t="str">
        <f>TEXT(A1,"mmmmmmmmmmmm")</f>
        <v>janvier</v>
      </c>
      <c r="B5" s="296"/>
      <c r="C5" s="296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3"/>
    </row>
    <row r="6" spans="1:58" ht="24.95" customHeight="1" x14ac:dyDescent="0.25">
      <c r="A6" s="296"/>
      <c r="B6" s="296"/>
      <c r="C6" s="296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3"/>
    </row>
    <row r="7" spans="1:58" ht="15" hidden="1" customHeight="1" x14ac:dyDescent="0.25">
      <c r="A7" s="296"/>
      <c r="B7" s="296"/>
      <c r="C7" s="296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3"/>
    </row>
    <row r="8" spans="1:58" s="29" customFormat="1" ht="21" customHeight="1" x14ac:dyDescent="0.25">
      <c r="A8" s="18"/>
      <c r="B8" s="18"/>
      <c r="C8" s="18"/>
      <c r="D8" s="298" t="s">
        <v>191</v>
      </c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2"/>
      <c r="P8" s="108" t="s">
        <v>192</v>
      </c>
      <c r="Q8" s="18"/>
      <c r="R8" s="18"/>
      <c r="S8" s="18"/>
      <c r="T8" s="18"/>
      <c r="U8" s="18"/>
      <c r="V8" s="18"/>
      <c r="W8" s="164"/>
      <c r="X8" s="18"/>
      <c r="Y8" s="18"/>
      <c r="Z8" s="18"/>
      <c r="AA8" s="18"/>
      <c r="AB8" s="18"/>
      <c r="AC8" s="164"/>
      <c r="AD8" s="164"/>
      <c r="AE8" s="18"/>
      <c r="AF8" s="18"/>
      <c r="AG8" s="18"/>
      <c r="AH8" s="18"/>
      <c r="AI8" s="121"/>
      <c r="AJ8" s="164"/>
      <c r="AK8" s="121"/>
      <c r="AL8" s="121"/>
      <c r="AM8" s="121"/>
      <c r="AN8" s="164"/>
      <c r="AO8" s="121"/>
      <c r="AP8" s="121"/>
      <c r="AQ8" s="121"/>
      <c r="AR8" s="164"/>
      <c r="AS8" s="121"/>
      <c r="AT8" s="149"/>
    </row>
    <row r="9" spans="1:58" s="4" customFormat="1" x14ac:dyDescent="0.25">
      <c r="D9" s="15" t="s">
        <v>194</v>
      </c>
      <c r="E9" s="78" t="s">
        <v>195</v>
      </c>
      <c r="F9" s="12" t="s">
        <v>196</v>
      </c>
      <c r="G9" s="79" t="s">
        <v>197</v>
      </c>
      <c r="H9" s="10" t="s">
        <v>198</v>
      </c>
      <c r="I9" s="80" t="s">
        <v>199</v>
      </c>
      <c r="J9" s="11" t="s">
        <v>200</v>
      </c>
      <c r="K9" s="81" t="s">
        <v>201</v>
      </c>
      <c r="L9" s="82" t="s">
        <v>202</v>
      </c>
      <c r="M9" s="83" t="s">
        <v>203</v>
      </c>
      <c r="N9" s="85" t="s">
        <v>204</v>
      </c>
      <c r="O9" s="16" t="s">
        <v>205</v>
      </c>
      <c r="P9" s="109">
        <f t="shared" ref="P9:AT9" si="1">IFERROR(WEEKDAY(P4),"")</f>
        <v>6</v>
      </c>
      <c r="Q9" s="44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4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4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28">
        <f t="shared" si="1"/>
        <v>1</v>
      </c>
      <c r="AN9" s="14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24">
        <f t="shared" si="1"/>
        <v>7</v>
      </c>
      <c r="AT9" s="24">
        <f t="shared" si="1"/>
        <v>1</v>
      </c>
      <c r="AU9" s="26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206</v>
      </c>
      <c r="E10" s="74" t="s">
        <v>207</v>
      </c>
      <c r="F10" s="7" t="s">
        <v>208</v>
      </c>
      <c r="G10" s="75" t="s">
        <v>209</v>
      </c>
      <c r="H10" s="142" t="s">
        <v>210</v>
      </c>
      <c r="I10" s="71" t="s">
        <v>199</v>
      </c>
      <c r="J10" s="77" t="s">
        <v>211</v>
      </c>
      <c r="K10" s="76" t="s">
        <v>212</v>
      </c>
      <c r="L10" s="72" t="s">
        <v>213</v>
      </c>
      <c r="M10" s="73" t="s">
        <v>214</v>
      </c>
      <c r="N10" s="84" t="s">
        <v>215</v>
      </c>
      <c r="O10" s="17" t="s">
        <v>216</v>
      </c>
      <c r="P10" s="110">
        <f t="shared" ref="P10:AT10" si="2">DAY(P4)</f>
        <v>1</v>
      </c>
      <c r="Q10" s="25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25">
        <f t="shared" si="2"/>
        <v>30</v>
      </c>
      <c r="AT10" s="25">
        <f t="shared" si="2"/>
        <v>31</v>
      </c>
      <c r="AU10" s="26"/>
    </row>
    <row r="11" spans="1:58" ht="20.100000000000001" customHeight="1" thickBot="1" x14ac:dyDescent="0.3">
      <c r="A11" s="30" t="str">
        <f>IFERROR(IF(config!E3="","",config!E3),"")</f>
        <v>N019002</v>
      </c>
      <c r="B11" s="30" t="str">
        <f>IFERROR(IF(config!F3="","",config!F3),"")</f>
        <v>DEBREYNE</v>
      </c>
      <c r="C11" s="30" t="str">
        <f>IFERROR(IF(config!G3="","",config!G3),"")</f>
        <v>Audrey</v>
      </c>
      <c r="D11" s="87">
        <f t="shared" ref="D11:D20" si="3">COUNTIF(P11:AS11,"p")</f>
        <v>0</v>
      </c>
      <c r="E11" s="20">
        <f t="shared" ref="E11:E20" si="4">COUNTIF(P11:AS11,"PC")</f>
        <v>0</v>
      </c>
      <c r="F11" s="20">
        <f t="shared" ref="F11:F20" si="5">COUNTIF(P11:AS11,"f")</f>
        <v>0</v>
      </c>
      <c r="G11" s="20">
        <f t="shared" ref="G11:G20" si="6">COUNTIF(P11:AS11,"ast")</f>
        <v>0</v>
      </c>
      <c r="H11" s="20">
        <f t="shared" ref="H11:H20" si="7">COUNTIF(P11:AS11,"cA")</f>
        <v>0</v>
      </c>
      <c r="I11" s="20">
        <f t="shared" ref="I11:I20" si="8">COUNTIF(P11:AS11,"rtt")</f>
        <v>0</v>
      </c>
      <c r="J11" s="20">
        <f t="shared" ref="J11:J20" si="9">COUNTIF(P11:AS11,"cex")</f>
        <v>0</v>
      </c>
      <c r="K11" s="20">
        <f t="shared" ref="K11:K20" si="10">COUNTIF(P11:AS11,"res")</f>
        <v>0</v>
      </c>
      <c r="L11" s="20">
        <f t="shared" ref="L11:L20" si="11">COUNTIF(P11:AS11,"mA")</f>
        <v>0</v>
      </c>
      <c r="M11" s="20">
        <f t="shared" ref="M11:M20" si="12">COUNTIF(P11:AS11,"at")</f>
        <v>0</v>
      </c>
      <c r="N11" s="20">
        <f t="shared" ref="N11:N20" si="13">COUNTIF(P11:AS11,"TAD")</f>
        <v>0</v>
      </c>
      <c r="O11" s="92">
        <f t="shared" ref="O11:O20" si="14">COUNTIF(P11:AS11,"TP")</f>
        <v>0</v>
      </c>
      <c r="P11" s="112"/>
      <c r="Q11" s="94"/>
      <c r="R11" s="94"/>
      <c r="S11" s="8"/>
      <c r="T11" s="8"/>
      <c r="U11" s="8"/>
      <c r="V11" s="8"/>
      <c r="W11" s="8"/>
      <c r="X11" s="94"/>
      <c r="Y11" s="94"/>
      <c r="Z11" s="8"/>
      <c r="AA11" s="8"/>
      <c r="AB11" s="8"/>
      <c r="AC11" s="8"/>
      <c r="AD11" s="8"/>
      <c r="AE11" s="94"/>
      <c r="AF11" s="94"/>
      <c r="AG11" s="8"/>
      <c r="AH11" s="8"/>
      <c r="AI11" s="8"/>
      <c r="AJ11" s="8"/>
      <c r="AK11" s="8"/>
      <c r="AL11" s="94"/>
      <c r="AM11" s="94"/>
      <c r="AN11" s="8"/>
      <c r="AO11" s="8"/>
      <c r="AP11" s="8"/>
      <c r="AQ11" s="8"/>
      <c r="AR11" s="8"/>
      <c r="AS11" s="94"/>
      <c r="AT11" s="125"/>
      <c r="AV11" s="290" t="s">
        <v>217</v>
      </c>
      <c r="AW11" s="291"/>
      <c r="AX11" s="291"/>
      <c r="AY11" s="291"/>
      <c r="AZ11" s="291"/>
      <c r="BA11" s="291"/>
      <c r="BB11" s="291"/>
      <c r="BC11" s="291"/>
      <c r="BD11" s="291"/>
      <c r="BE11" s="291"/>
      <c r="BF11" s="292"/>
    </row>
    <row r="12" spans="1:58" ht="20.100000000000001" customHeight="1" thickBot="1" x14ac:dyDescent="0.3">
      <c r="A12" s="32" t="str">
        <f>IFERROR(IF(config!E4="","",config!E4),"")</f>
        <v>N024050</v>
      </c>
      <c r="B12" s="39" t="str">
        <f>IFERROR(IF(config!F4="","",config!F4),"")</f>
        <v>LUTARD</v>
      </c>
      <c r="C12" s="69" t="str">
        <f>IFERROR(IF(config!G4="","",config!G4),"")</f>
        <v>Karyne</v>
      </c>
      <c r="D12" s="87">
        <f t="shared" si="3"/>
        <v>0</v>
      </c>
      <c r="E12" s="20">
        <f t="shared" si="4"/>
        <v>0</v>
      </c>
      <c r="F12" s="20">
        <f t="shared" si="5"/>
        <v>0</v>
      </c>
      <c r="G12" s="20">
        <f t="shared" si="6"/>
        <v>0</v>
      </c>
      <c r="H12" s="20">
        <f t="shared" si="7"/>
        <v>0</v>
      </c>
      <c r="I12" s="20">
        <f t="shared" si="8"/>
        <v>0</v>
      </c>
      <c r="J12" s="20">
        <f t="shared" si="9"/>
        <v>0</v>
      </c>
      <c r="K12" s="20">
        <f t="shared" si="10"/>
        <v>0</v>
      </c>
      <c r="L12" s="20">
        <f t="shared" si="11"/>
        <v>0</v>
      </c>
      <c r="M12" s="20">
        <f t="shared" si="12"/>
        <v>0</v>
      </c>
      <c r="N12" s="20">
        <f t="shared" si="13"/>
        <v>0</v>
      </c>
      <c r="O12" s="92">
        <f t="shared" si="14"/>
        <v>0</v>
      </c>
      <c r="P12" s="112"/>
      <c r="Q12" s="94"/>
      <c r="R12" s="94"/>
      <c r="S12" s="8"/>
      <c r="T12" s="8"/>
      <c r="U12" s="8"/>
      <c r="V12" s="8"/>
      <c r="W12" s="8"/>
      <c r="X12" s="94"/>
      <c r="Y12" s="94"/>
      <c r="Z12" s="8"/>
      <c r="AA12" s="8"/>
      <c r="AB12" s="8"/>
      <c r="AC12" s="8"/>
      <c r="AD12" s="8"/>
      <c r="AE12" s="94"/>
      <c r="AF12" s="94"/>
      <c r="AG12" s="8"/>
      <c r="AH12" s="8"/>
      <c r="AI12" s="8"/>
      <c r="AJ12" s="8"/>
      <c r="AK12" s="8"/>
      <c r="AL12" s="94"/>
      <c r="AM12" s="94"/>
      <c r="AN12" s="8"/>
      <c r="AO12" s="8"/>
      <c r="AP12" s="8"/>
      <c r="AQ12" s="8"/>
      <c r="AR12" s="8"/>
      <c r="AS12" s="94"/>
      <c r="AT12" s="125"/>
      <c r="AV12" s="15" t="s">
        <v>194</v>
      </c>
      <c r="AW12" s="78" t="s">
        <v>195</v>
      </c>
      <c r="AX12" s="12" t="s">
        <v>196</v>
      </c>
      <c r="AY12" s="79" t="s">
        <v>197</v>
      </c>
      <c r="AZ12" s="10" t="s">
        <v>198</v>
      </c>
      <c r="BA12" s="80" t="s">
        <v>199</v>
      </c>
      <c r="BB12" s="11" t="s">
        <v>200</v>
      </c>
      <c r="BC12" s="81" t="s">
        <v>201</v>
      </c>
      <c r="BD12" s="82" t="s">
        <v>202</v>
      </c>
      <c r="BE12" s="83" t="s">
        <v>203</v>
      </c>
      <c r="BF12" s="16" t="s">
        <v>205</v>
      </c>
    </row>
    <row r="13" spans="1:58" ht="20.100000000000001" customHeight="1" thickBot="1" x14ac:dyDescent="0.3">
      <c r="A13" s="32" t="str">
        <f>IFERROR(IF(config!E5="","",config!E5),"")</f>
        <v>N018905</v>
      </c>
      <c r="B13" s="39" t="str">
        <f>IFERROR(IF(config!F5="","",config!F5),"")</f>
        <v>HAUTDECOEUR</v>
      </c>
      <c r="C13" s="69" t="str">
        <f>IFERROR(IF(config!G5="","",config!G5),"")</f>
        <v>Laurence</v>
      </c>
      <c r="D13" s="87">
        <f t="shared" si="3"/>
        <v>0</v>
      </c>
      <c r="E13" s="20">
        <f t="shared" si="4"/>
        <v>0</v>
      </c>
      <c r="F13" s="20">
        <f t="shared" si="5"/>
        <v>0</v>
      </c>
      <c r="G13" s="20">
        <f t="shared" si="6"/>
        <v>0</v>
      </c>
      <c r="H13" s="20">
        <f t="shared" si="7"/>
        <v>0</v>
      </c>
      <c r="I13" s="20">
        <f t="shared" si="8"/>
        <v>0</v>
      </c>
      <c r="J13" s="20">
        <f t="shared" si="9"/>
        <v>0</v>
      </c>
      <c r="K13" s="20">
        <f t="shared" si="10"/>
        <v>0</v>
      </c>
      <c r="L13" s="20">
        <f t="shared" si="11"/>
        <v>0</v>
      </c>
      <c r="M13" s="20">
        <f t="shared" si="12"/>
        <v>0</v>
      </c>
      <c r="N13" s="20">
        <f t="shared" si="13"/>
        <v>0</v>
      </c>
      <c r="O13" s="92">
        <f t="shared" si="14"/>
        <v>0</v>
      </c>
      <c r="P13" s="112"/>
      <c r="Q13" s="94"/>
      <c r="R13" s="94"/>
      <c r="S13" s="8"/>
      <c r="T13" s="8"/>
      <c r="U13" s="8"/>
      <c r="V13" s="8"/>
      <c r="W13" s="8"/>
      <c r="X13" s="94"/>
      <c r="Y13" s="94"/>
      <c r="Z13" s="8"/>
      <c r="AA13" s="8"/>
      <c r="AB13" s="8"/>
      <c r="AC13" s="8"/>
      <c r="AD13" s="8"/>
      <c r="AE13" s="94"/>
      <c r="AF13" s="94"/>
      <c r="AG13" s="8"/>
      <c r="AH13" s="8"/>
      <c r="AI13" s="8"/>
      <c r="AJ13" s="8"/>
      <c r="AK13" s="8"/>
      <c r="AL13" s="94"/>
      <c r="AM13" s="94"/>
      <c r="AN13" s="8"/>
      <c r="AO13" s="8"/>
      <c r="AP13" s="8"/>
      <c r="AQ13" s="8"/>
      <c r="AR13" s="8"/>
      <c r="AS13" s="94"/>
      <c r="AT13" s="125"/>
      <c r="AV13" s="19">
        <f>COUNTIF(P11:AS29,"p")</f>
        <v>0</v>
      </c>
      <c r="AW13" s="19">
        <f>COUNTIF(P11:AS29,"PC")</f>
        <v>0</v>
      </c>
      <c r="AX13" s="19">
        <f>COUNTIF(P11:AS29,"f")</f>
        <v>0</v>
      </c>
      <c r="AY13" s="19">
        <f>COUNTIF(P11:AS29,"ast")</f>
        <v>0</v>
      </c>
      <c r="AZ13" s="19">
        <f>COUNTIF(P11:AS29,"ca")</f>
        <v>0</v>
      </c>
      <c r="BA13" s="19">
        <f>COUNTIF(P11:AS29,"rtt")</f>
        <v>0</v>
      </c>
      <c r="BB13" s="19">
        <f>COUNTIF(P11:AS29,"CEX")</f>
        <v>0</v>
      </c>
      <c r="BC13" s="19">
        <f>COUNTIF(P11:AS29,"RES")</f>
        <v>0</v>
      </c>
      <c r="BD13" s="19">
        <f>COUNTIF(P11:AS29,"MA")</f>
        <v>0</v>
      </c>
      <c r="BE13" s="19">
        <f>COUNTIF(P11:AS29,"AT")</f>
        <v>0</v>
      </c>
      <c r="BF13" s="19">
        <f>COUNTIF(P11:AS29,"TP")</f>
        <v>0</v>
      </c>
    </row>
    <row r="14" spans="1:58" ht="20.100000000000001" customHeight="1" thickBot="1" x14ac:dyDescent="0.3">
      <c r="A14" s="32" t="str">
        <f>IFERROR(IF(config!E6="","",config!E6),"")</f>
        <v>N016820</v>
      </c>
      <c r="B14" s="39" t="str">
        <f>IFERROR(IF(config!F6="","",config!F6),"")</f>
        <v>GRENET</v>
      </c>
      <c r="C14" s="69" t="str">
        <f>IFERROR(IF(config!G6="","",config!G6),"")</f>
        <v>Eric</v>
      </c>
      <c r="D14" s="87">
        <f t="shared" si="3"/>
        <v>0</v>
      </c>
      <c r="E14" s="20">
        <f t="shared" si="4"/>
        <v>0</v>
      </c>
      <c r="F14" s="20">
        <f t="shared" si="5"/>
        <v>0</v>
      </c>
      <c r="G14" s="20">
        <f t="shared" si="6"/>
        <v>0</v>
      </c>
      <c r="H14" s="20">
        <f t="shared" si="7"/>
        <v>0</v>
      </c>
      <c r="I14" s="20">
        <f t="shared" si="8"/>
        <v>0</v>
      </c>
      <c r="J14" s="20">
        <f t="shared" si="9"/>
        <v>0</v>
      </c>
      <c r="K14" s="20">
        <f t="shared" si="10"/>
        <v>0</v>
      </c>
      <c r="L14" s="20">
        <f t="shared" si="11"/>
        <v>0</v>
      </c>
      <c r="M14" s="20">
        <f t="shared" si="12"/>
        <v>0</v>
      </c>
      <c r="N14" s="20">
        <f t="shared" si="13"/>
        <v>0</v>
      </c>
      <c r="O14" s="92">
        <f t="shared" si="14"/>
        <v>0</v>
      </c>
      <c r="P14" s="112"/>
      <c r="Q14" s="94"/>
      <c r="R14" s="94"/>
      <c r="S14" s="8"/>
      <c r="T14" s="8"/>
      <c r="U14" s="8"/>
      <c r="V14" s="8"/>
      <c r="W14" s="8"/>
      <c r="X14" s="94"/>
      <c r="Y14" s="94"/>
      <c r="Z14" s="8"/>
      <c r="AA14" s="8"/>
      <c r="AB14" s="8"/>
      <c r="AC14" s="8"/>
      <c r="AD14" s="8"/>
      <c r="AE14" s="94"/>
      <c r="AF14" s="94"/>
      <c r="AG14" s="8"/>
      <c r="AH14" s="8"/>
      <c r="AI14" s="8"/>
      <c r="AJ14" s="8"/>
      <c r="AK14" s="8"/>
      <c r="AL14" s="94"/>
      <c r="AM14" s="94"/>
      <c r="AN14" s="8"/>
      <c r="AO14" s="8"/>
      <c r="AP14" s="8"/>
      <c r="AQ14" s="8"/>
      <c r="AR14" s="8"/>
      <c r="AS14" s="94"/>
      <c r="AT14" s="125"/>
    </row>
    <row r="15" spans="1:58" ht="20.100000000000001" customHeight="1" thickBot="1" x14ac:dyDescent="0.3">
      <c r="A15" s="32" t="str">
        <f>IFERROR(IF(config!E7="","",config!E7),"")</f>
        <v>C003285</v>
      </c>
      <c r="B15" s="39" t="str">
        <f>IFERROR(IF(config!F7="","",config!F7),"")</f>
        <v>FOURCADE</v>
      </c>
      <c r="C15" s="69" t="str">
        <f>IFERROR(IF(config!G7="","",config!G7),"")</f>
        <v>Hervé</v>
      </c>
      <c r="D15" s="87">
        <f t="shared" si="3"/>
        <v>0</v>
      </c>
      <c r="E15" s="20">
        <f t="shared" si="4"/>
        <v>0</v>
      </c>
      <c r="F15" s="20">
        <f t="shared" si="5"/>
        <v>0</v>
      </c>
      <c r="G15" s="20">
        <f t="shared" si="6"/>
        <v>0</v>
      </c>
      <c r="H15" s="20">
        <f t="shared" si="7"/>
        <v>0</v>
      </c>
      <c r="I15" s="20">
        <f t="shared" si="8"/>
        <v>0</v>
      </c>
      <c r="J15" s="20">
        <f t="shared" si="9"/>
        <v>0</v>
      </c>
      <c r="K15" s="20">
        <f t="shared" si="10"/>
        <v>0</v>
      </c>
      <c r="L15" s="20">
        <f t="shared" si="11"/>
        <v>0</v>
      </c>
      <c r="M15" s="20">
        <f t="shared" si="12"/>
        <v>0</v>
      </c>
      <c r="N15" s="20">
        <f t="shared" si="13"/>
        <v>0</v>
      </c>
      <c r="O15" s="92">
        <f t="shared" si="14"/>
        <v>0</v>
      </c>
      <c r="P15" s="112"/>
      <c r="Q15" s="94"/>
      <c r="R15" s="94"/>
      <c r="S15" s="8"/>
      <c r="T15" s="8"/>
      <c r="U15" s="8"/>
      <c r="V15" s="8"/>
      <c r="W15" s="8"/>
      <c r="X15" s="94"/>
      <c r="Y15" s="94"/>
      <c r="Z15" s="8"/>
      <c r="AA15" s="8"/>
      <c r="AB15" s="8"/>
      <c r="AC15" s="8"/>
      <c r="AD15" s="8"/>
      <c r="AE15" s="94"/>
      <c r="AF15" s="94"/>
      <c r="AG15" s="8"/>
      <c r="AH15" s="8"/>
      <c r="AI15" s="8"/>
      <c r="AJ15" s="8"/>
      <c r="AK15" s="8"/>
      <c r="AL15" s="94"/>
      <c r="AM15" s="94"/>
      <c r="AN15" s="8"/>
      <c r="AO15" s="8"/>
      <c r="AP15" s="8"/>
      <c r="AQ15" s="8"/>
      <c r="AR15" s="8"/>
      <c r="AS15" s="94"/>
      <c r="AT15" s="125"/>
    </row>
    <row r="16" spans="1:58" ht="20.100000000000001" customHeight="1" thickBot="1" x14ac:dyDescent="0.3">
      <c r="A16" s="32" t="str">
        <f>IFERROR(IF(config!E8="","",config!E8),"")</f>
        <v>JT030845</v>
      </c>
      <c r="B16" s="39" t="str">
        <f>IFERROR(IF(config!F8="","",config!F8),"")</f>
        <v>GONCALVES</v>
      </c>
      <c r="C16" s="69" t="str">
        <f>IFERROR(IF(config!G8="","",config!G8),"")</f>
        <v>Lionel</v>
      </c>
      <c r="D16" s="87">
        <f t="shared" si="3"/>
        <v>0</v>
      </c>
      <c r="E16" s="20">
        <f t="shared" si="4"/>
        <v>0</v>
      </c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J16" s="20">
        <f t="shared" si="9"/>
        <v>0</v>
      </c>
      <c r="K16" s="20">
        <f t="shared" si="10"/>
        <v>0</v>
      </c>
      <c r="L16" s="20">
        <f t="shared" si="11"/>
        <v>0</v>
      </c>
      <c r="M16" s="20">
        <f t="shared" si="12"/>
        <v>0</v>
      </c>
      <c r="N16" s="20">
        <f t="shared" si="13"/>
        <v>0</v>
      </c>
      <c r="O16" s="92">
        <f t="shared" si="14"/>
        <v>0</v>
      </c>
      <c r="P16" s="112"/>
      <c r="Q16" s="94"/>
      <c r="R16" s="94"/>
      <c r="S16" s="8"/>
      <c r="T16" s="8"/>
      <c r="U16" s="8"/>
      <c r="V16" s="8"/>
      <c r="W16" s="8"/>
      <c r="X16" s="94"/>
      <c r="Y16" s="94"/>
      <c r="Z16" s="8"/>
      <c r="AA16" s="8"/>
      <c r="AB16" s="8"/>
      <c r="AC16" s="8"/>
      <c r="AD16" s="8"/>
      <c r="AE16" s="94"/>
      <c r="AF16" s="94"/>
      <c r="AG16" s="8"/>
      <c r="AH16" s="8"/>
      <c r="AI16" s="8"/>
      <c r="AJ16" s="8"/>
      <c r="AK16" s="8"/>
      <c r="AL16" s="94"/>
      <c r="AM16" s="94"/>
      <c r="AN16" s="8"/>
      <c r="AO16" s="8"/>
      <c r="AP16" s="8"/>
      <c r="AQ16" s="8"/>
      <c r="AR16" s="8"/>
      <c r="AS16" s="94"/>
      <c r="AT16" s="125"/>
    </row>
    <row r="17" spans="1:46" ht="20.100000000000001" customHeight="1" thickBot="1" x14ac:dyDescent="0.3">
      <c r="A17" s="32" t="str">
        <f>IFERROR(IF(config!E9="","",config!E9),"")</f>
        <v>N011045</v>
      </c>
      <c r="B17" s="39" t="str">
        <f>IFERROR(IF(config!F9="","",config!F9),"")</f>
        <v>SIGALA</v>
      </c>
      <c r="C17" s="69" t="str">
        <f>IFERROR(IF(config!G9="","",config!G9),"")</f>
        <v>Jean-Christohpe</v>
      </c>
      <c r="D17" s="87">
        <f t="shared" si="3"/>
        <v>0</v>
      </c>
      <c r="E17" s="20">
        <f t="shared" si="4"/>
        <v>0</v>
      </c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J17" s="20">
        <f t="shared" si="9"/>
        <v>0</v>
      </c>
      <c r="K17" s="20">
        <f t="shared" si="10"/>
        <v>0</v>
      </c>
      <c r="L17" s="20">
        <f t="shared" si="11"/>
        <v>0</v>
      </c>
      <c r="M17" s="20">
        <f t="shared" si="12"/>
        <v>0</v>
      </c>
      <c r="N17" s="20">
        <f t="shared" si="13"/>
        <v>0</v>
      </c>
      <c r="O17" s="92">
        <f t="shared" si="14"/>
        <v>0</v>
      </c>
      <c r="P17" s="112"/>
      <c r="Q17" s="94"/>
      <c r="R17" s="94"/>
      <c r="S17" s="8"/>
      <c r="T17" s="8"/>
      <c r="U17" s="8"/>
      <c r="V17" s="8"/>
      <c r="W17" s="8"/>
      <c r="X17" s="94"/>
      <c r="Y17" s="94"/>
      <c r="Z17" s="8"/>
      <c r="AA17" s="8"/>
      <c r="AB17" s="8"/>
      <c r="AC17" s="8"/>
      <c r="AD17" s="8"/>
      <c r="AE17" s="94"/>
      <c r="AF17" s="94"/>
      <c r="AG17" s="8"/>
      <c r="AH17" s="8"/>
      <c r="AI17" s="8"/>
      <c r="AJ17" s="8"/>
      <c r="AK17" s="8"/>
      <c r="AL17" s="94"/>
      <c r="AM17" s="94"/>
      <c r="AN17" s="8"/>
      <c r="AO17" s="8"/>
      <c r="AP17" s="8"/>
      <c r="AQ17" s="8"/>
      <c r="AR17" s="8"/>
      <c r="AS17" s="94"/>
      <c r="AT17" s="125"/>
    </row>
    <row r="18" spans="1:46" ht="20.100000000000001" customHeight="1" thickBot="1" x14ac:dyDescent="0.3">
      <c r="A18" s="200"/>
      <c r="B18" s="201"/>
      <c r="C18" s="202"/>
      <c r="D18" s="213">
        <f t="shared" si="3"/>
        <v>0</v>
      </c>
      <c r="E18" s="214">
        <f t="shared" si="4"/>
        <v>0</v>
      </c>
      <c r="F18" s="214">
        <f t="shared" si="5"/>
        <v>0</v>
      </c>
      <c r="G18" s="214">
        <f t="shared" si="6"/>
        <v>0</v>
      </c>
      <c r="H18" s="214">
        <f t="shared" si="7"/>
        <v>0</v>
      </c>
      <c r="I18" s="214">
        <f t="shared" si="8"/>
        <v>0</v>
      </c>
      <c r="J18" s="214">
        <f t="shared" si="9"/>
        <v>0</v>
      </c>
      <c r="K18" s="214">
        <f t="shared" si="10"/>
        <v>0</v>
      </c>
      <c r="L18" s="214">
        <f t="shared" si="11"/>
        <v>0</v>
      </c>
      <c r="M18" s="214">
        <f t="shared" si="12"/>
        <v>0</v>
      </c>
      <c r="N18" s="214">
        <f t="shared" si="13"/>
        <v>0</v>
      </c>
      <c r="O18" s="215">
        <f t="shared" si="14"/>
        <v>0</v>
      </c>
      <c r="P18" s="127"/>
      <c r="Q18" s="127"/>
      <c r="R18" s="127"/>
      <c r="S18" s="127"/>
      <c r="T18" s="127"/>
      <c r="U18" s="127"/>
      <c r="V18" s="127"/>
      <c r="W18" s="8"/>
      <c r="X18" s="127"/>
      <c r="Y18" s="127"/>
      <c r="Z18" s="127"/>
      <c r="AA18" s="127"/>
      <c r="AB18" s="127"/>
      <c r="AC18" s="8"/>
      <c r="AD18" s="8"/>
      <c r="AE18" s="127"/>
      <c r="AF18" s="127"/>
      <c r="AG18" s="127"/>
      <c r="AH18" s="127"/>
      <c r="AI18" s="127"/>
      <c r="AJ18" s="127"/>
      <c r="AK18" s="127"/>
      <c r="AL18" s="127"/>
      <c r="AM18" s="127"/>
      <c r="AN18" s="8"/>
      <c r="AO18" s="127"/>
      <c r="AP18" s="127"/>
      <c r="AQ18" s="127"/>
      <c r="AR18" s="127"/>
      <c r="AS18" s="127"/>
      <c r="AT18" s="129"/>
    </row>
    <row r="19" spans="1:46" ht="20.100000000000001" customHeight="1" thickBot="1" x14ac:dyDescent="0.3">
      <c r="A19" s="32" t="str">
        <f>IFERROR(IF(config!E11="","",config!E11),"")</f>
        <v>N015967</v>
      </c>
      <c r="B19" s="39" t="str">
        <f>IFERROR(IF(config!F11="","",config!F11),"")</f>
        <v>TUCOULET</v>
      </c>
      <c r="C19" s="69" t="str">
        <f>IFERROR(IF(config!G11="","",config!G11),"")</f>
        <v>Dorian</v>
      </c>
      <c r="D19" s="87">
        <f t="shared" si="3"/>
        <v>0</v>
      </c>
      <c r="E19" s="20">
        <f t="shared" si="4"/>
        <v>0</v>
      </c>
      <c r="F19" s="20">
        <f t="shared" si="5"/>
        <v>0</v>
      </c>
      <c r="G19" s="20">
        <f t="shared" si="6"/>
        <v>0</v>
      </c>
      <c r="H19" s="20">
        <f t="shared" si="7"/>
        <v>0</v>
      </c>
      <c r="I19" s="20">
        <f t="shared" si="8"/>
        <v>0</v>
      </c>
      <c r="J19" s="20">
        <f t="shared" si="9"/>
        <v>0</v>
      </c>
      <c r="K19" s="20">
        <f t="shared" si="10"/>
        <v>0</v>
      </c>
      <c r="L19" s="20">
        <f t="shared" si="11"/>
        <v>0</v>
      </c>
      <c r="M19" s="20">
        <f t="shared" si="12"/>
        <v>0</v>
      </c>
      <c r="N19" s="20">
        <f t="shared" si="13"/>
        <v>0</v>
      </c>
      <c r="O19" s="92">
        <f t="shared" si="14"/>
        <v>0</v>
      </c>
      <c r="P19" s="112"/>
      <c r="Q19" s="94"/>
      <c r="R19" s="94"/>
      <c r="S19" s="8"/>
      <c r="T19" s="8"/>
      <c r="U19" s="8"/>
      <c r="V19" s="8"/>
      <c r="W19" s="8"/>
      <c r="X19" s="94"/>
      <c r="Y19" s="94"/>
      <c r="Z19" s="8"/>
      <c r="AA19" s="8"/>
      <c r="AB19" s="8"/>
      <c r="AC19" s="8"/>
      <c r="AD19" s="8"/>
      <c r="AE19" s="94"/>
      <c r="AF19" s="94"/>
      <c r="AG19" s="8"/>
      <c r="AH19" s="8"/>
      <c r="AI19" s="8"/>
      <c r="AJ19" s="8"/>
      <c r="AK19" s="8"/>
      <c r="AL19" s="94"/>
      <c r="AM19" s="94"/>
      <c r="AN19" s="8"/>
      <c r="AO19" s="8"/>
      <c r="AP19" s="8"/>
      <c r="AQ19" s="8"/>
      <c r="AR19" s="8"/>
      <c r="AS19" s="94"/>
      <c r="AT19" s="125"/>
    </row>
    <row r="20" spans="1:46" ht="20.100000000000001" customHeight="1" thickBot="1" x14ac:dyDescent="0.3">
      <c r="A20" s="131" t="str">
        <f>IFERROR(IF(config!E12="","",config!E12),"")</f>
        <v>N017539</v>
      </c>
      <c r="B20" s="132" t="str">
        <f>IFERROR(IF(config!F12="","",config!F12),"")</f>
        <v>VRBOVSKA</v>
      </c>
      <c r="C20" s="133" t="str">
        <f>IFERROR(IF(config!G12="","",config!G12),"")</f>
        <v>Xavier</v>
      </c>
      <c r="D20" s="87">
        <f t="shared" si="3"/>
        <v>0</v>
      </c>
      <c r="E20" s="20">
        <f t="shared" si="4"/>
        <v>0</v>
      </c>
      <c r="F20" s="20">
        <f t="shared" si="5"/>
        <v>0</v>
      </c>
      <c r="G20" s="20">
        <f t="shared" si="6"/>
        <v>0</v>
      </c>
      <c r="H20" s="20">
        <f t="shared" si="7"/>
        <v>0</v>
      </c>
      <c r="I20" s="20">
        <f t="shared" si="8"/>
        <v>0</v>
      </c>
      <c r="J20" s="20">
        <f t="shared" si="9"/>
        <v>0</v>
      </c>
      <c r="K20" s="20">
        <f t="shared" si="10"/>
        <v>0</v>
      </c>
      <c r="L20" s="20">
        <f t="shared" si="11"/>
        <v>0</v>
      </c>
      <c r="M20" s="20">
        <f t="shared" si="12"/>
        <v>0</v>
      </c>
      <c r="N20" s="20">
        <f t="shared" si="13"/>
        <v>0</v>
      </c>
      <c r="O20" s="92">
        <f t="shared" si="14"/>
        <v>0</v>
      </c>
      <c r="P20" s="112"/>
      <c r="Q20" s="94"/>
      <c r="R20" s="94"/>
      <c r="S20" s="8"/>
      <c r="T20" s="8"/>
      <c r="U20" s="8"/>
      <c r="V20" s="8"/>
      <c r="W20" s="8"/>
      <c r="X20" s="94"/>
      <c r="Y20" s="94"/>
      <c r="Z20" s="8"/>
      <c r="AA20" s="8"/>
      <c r="AB20" s="8"/>
      <c r="AC20" s="8"/>
      <c r="AD20" s="8"/>
      <c r="AE20" s="94"/>
      <c r="AF20" s="94"/>
      <c r="AG20" s="8"/>
      <c r="AH20" s="8"/>
      <c r="AI20" s="8"/>
      <c r="AJ20" s="8"/>
      <c r="AK20" s="8"/>
      <c r="AL20" s="94"/>
      <c r="AM20" s="94"/>
      <c r="AN20" s="8"/>
      <c r="AO20" s="8"/>
      <c r="AP20" s="8"/>
      <c r="AQ20" s="8"/>
      <c r="AR20" s="8"/>
      <c r="AS20" s="94"/>
      <c r="AT20" s="125"/>
    </row>
    <row r="21" spans="1:46" ht="20.100000000000001" customHeight="1" thickBot="1" x14ac:dyDescent="0.3">
      <c r="A21" s="54" t="str">
        <f>IFERROR(IF(config!E13="","",config!E13),"")</f>
        <v>MAINTENANCE</v>
      </c>
      <c r="B21" s="55"/>
      <c r="C21" s="55"/>
      <c r="D21" s="60"/>
      <c r="E21" s="61"/>
      <c r="F21" s="61"/>
      <c r="G21" s="61"/>
      <c r="H21" s="61"/>
      <c r="I21" s="61"/>
      <c r="J21" s="61"/>
      <c r="K21" s="62"/>
      <c r="L21" s="63"/>
      <c r="M21" s="55"/>
      <c r="N21" s="55"/>
      <c r="O21" s="5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100"/>
      <c r="AR21" s="100"/>
      <c r="AS21" s="100"/>
      <c r="AT21" s="100"/>
    </row>
    <row r="22" spans="1:46" ht="20.100000000000001" customHeight="1" thickBot="1" x14ac:dyDescent="0.3">
      <c r="A22" s="46" t="str">
        <f>IFERROR(IF(config!E14="","",config!E14),"")</f>
        <v>SURVEILLANT DE TRAVAUX</v>
      </c>
      <c r="B22" s="47"/>
      <c r="C22" s="47"/>
      <c r="D22" s="64"/>
      <c r="E22" s="65"/>
      <c r="F22" s="65"/>
      <c r="G22" s="65"/>
      <c r="H22" s="65"/>
      <c r="I22" s="65"/>
      <c r="J22" s="65"/>
      <c r="K22" s="66"/>
      <c r="L22" s="67"/>
      <c r="M22" s="47"/>
      <c r="N22" s="47"/>
      <c r="O22" s="4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97"/>
      <c r="AS22" s="97"/>
      <c r="AT22" s="97"/>
    </row>
    <row r="23" spans="1:46" ht="20.100000000000001" customHeight="1" thickBot="1" x14ac:dyDescent="0.3">
      <c r="A23" s="30" t="str">
        <f>IFERROR(IF(config!E15="","",config!E15),"")</f>
        <v>C004587</v>
      </c>
      <c r="B23" s="41" t="str">
        <f>IFERROR(IF(config!F15="","",config!F15),"")</f>
        <v xml:space="preserve">BOURGOIN </v>
      </c>
      <c r="C23" s="68" t="str">
        <f>IFERROR(IF(config!G15="","",config!G15),"")</f>
        <v>Jean-Baptiste</v>
      </c>
      <c r="D23" s="87">
        <f>COUNTIF(P23:AS23,"p")</f>
        <v>0</v>
      </c>
      <c r="E23" s="20">
        <f>COUNTIF(P23:AS23,"PC")</f>
        <v>0</v>
      </c>
      <c r="F23" s="20">
        <f>COUNTIF(P23:AS23,"f")</f>
        <v>0</v>
      </c>
      <c r="G23" s="20">
        <f>COUNTIF(P23:AS23,"ast")</f>
        <v>0</v>
      </c>
      <c r="H23" s="20">
        <f>COUNTIF(P23:AS23,"cA")</f>
        <v>0</v>
      </c>
      <c r="I23" s="20">
        <f>COUNTIF(P23:AS23,"rtt")</f>
        <v>0</v>
      </c>
      <c r="J23" s="20">
        <f>COUNTIF(P23:AS23,"cex")</f>
        <v>0</v>
      </c>
      <c r="K23" s="20">
        <f>COUNTIF(P23:AS23,"res")</f>
        <v>0</v>
      </c>
      <c r="L23" s="20">
        <f>COUNTIF(P23:AS23,"mA")</f>
        <v>0</v>
      </c>
      <c r="M23" s="20">
        <f>COUNTIF(P23:AS23,"at")</f>
        <v>0</v>
      </c>
      <c r="N23" s="20">
        <f>COUNTIF(P23:AS23,"TAD")</f>
        <v>0</v>
      </c>
      <c r="O23" s="92">
        <f>COUNTIF(P23:AS23,"TP")</f>
        <v>0</v>
      </c>
      <c r="P23" s="118"/>
      <c r="Q23" s="94"/>
      <c r="R23" s="94"/>
      <c r="S23" s="8"/>
      <c r="T23" s="8"/>
      <c r="U23" s="8"/>
      <c r="V23" s="8"/>
      <c r="W23" s="112"/>
      <c r="X23" s="94"/>
      <c r="Y23" s="94"/>
      <c r="Z23" s="8"/>
      <c r="AA23" s="8"/>
      <c r="AB23" s="8"/>
      <c r="AC23" s="112"/>
      <c r="AD23" s="8"/>
      <c r="AE23" s="94"/>
      <c r="AF23" s="94"/>
      <c r="AG23" s="8"/>
      <c r="AH23" s="8"/>
      <c r="AI23" s="8"/>
      <c r="AJ23" s="8"/>
      <c r="AK23" s="8"/>
      <c r="AL23" s="94"/>
      <c r="AM23" s="94"/>
      <c r="AN23" s="112"/>
      <c r="AO23" s="8"/>
      <c r="AP23" s="8"/>
      <c r="AQ23" s="8"/>
      <c r="AR23" s="8"/>
      <c r="AS23" s="94"/>
      <c r="AT23" s="125"/>
    </row>
    <row r="24" spans="1:46" ht="20.100000000000001" customHeight="1" thickBot="1" x14ac:dyDescent="0.3">
      <c r="A24" s="31" t="str">
        <f>IFERROR(IF(config!E16="","",config!E16),"")</f>
        <v>N02645</v>
      </c>
      <c r="B24" s="42" t="str">
        <f>IFERROR(IF(config!F16="","",config!F16),"")</f>
        <v>MERCADIEU</v>
      </c>
      <c r="C24" s="70" t="str">
        <f>IFERROR(IF(config!G16="","",config!G16),"")</f>
        <v>Baptiste</v>
      </c>
      <c r="D24" s="87">
        <f>COUNTIF(P24:AS24,"p")</f>
        <v>0</v>
      </c>
      <c r="E24" s="20">
        <f>COUNTIF(P24:AS24,"PC")</f>
        <v>0</v>
      </c>
      <c r="F24" s="20">
        <f>COUNTIF(P24:AS24,"f")</f>
        <v>0</v>
      </c>
      <c r="G24" s="20">
        <f>COUNTIF(P24:AS24,"ast")</f>
        <v>0</v>
      </c>
      <c r="H24" s="20">
        <f>COUNTIF(P24:AS24,"cA")</f>
        <v>0</v>
      </c>
      <c r="I24" s="20">
        <f>COUNTIF(P24:AS24,"rtt")</f>
        <v>0</v>
      </c>
      <c r="J24" s="20">
        <f>COUNTIF(P24:AS24,"cex")</f>
        <v>0</v>
      </c>
      <c r="K24" s="20">
        <f>COUNTIF(P24:AS24,"res")</f>
        <v>0</v>
      </c>
      <c r="L24" s="20">
        <f>COUNTIF(P24:AS24,"mA")</f>
        <v>0</v>
      </c>
      <c r="M24" s="20">
        <f>COUNTIF(P24:AS24,"at")</f>
        <v>0</v>
      </c>
      <c r="N24" s="20">
        <f>COUNTIF(P24:AS24,"TAD")</f>
        <v>0</v>
      </c>
      <c r="O24" s="92">
        <f>COUNTIF(P24:AS24,"TP")</f>
        <v>0</v>
      </c>
      <c r="P24" s="118"/>
      <c r="Q24" s="94"/>
      <c r="R24" s="94"/>
      <c r="S24" s="8"/>
      <c r="T24" s="8"/>
      <c r="U24" s="8"/>
      <c r="V24" s="8"/>
      <c r="W24" s="112"/>
      <c r="X24" s="94"/>
      <c r="Y24" s="94"/>
      <c r="Z24" s="8"/>
      <c r="AA24" s="8"/>
      <c r="AB24" s="8"/>
      <c r="AC24" s="112"/>
      <c r="AD24" s="8"/>
      <c r="AE24" s="94"/>
      <c r="AF24" s="94"/>
      <c r="AG24" s="8"/>
      <c r="AH24" s="8"/>
      <c r="AI24" s="8"/>
      <c r="AJ24" s="8"/>
      <c r="AK24" s="8"/>
      <c r="AL24" s="94"/>
      <c r="AM24" s="94"/>
      <c r="AN24" s="112"/>
      <c r="AO24" s="8"/>
      <c r="AP24" s="8"/>
      <c r="AQ24" s="8"/>
      <c r="AR24" s="8"/>
      <c r="AS24" s="94"/>
      <c r="AT24" s="125"/>
    </row>
    <row r="25" spans="1:46" ht="20.100000000000001" customHeight="1" thickBot="1" x14ac:dyDescent="0.3">
      <c r="A25" s="48" t="str">
        <f>IFERROR(IF(config!E17="","",config!E17),"")</f>
        <v>ASDP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</row>
    <row r="26" spans="1:46" ht="20.100000000000001" customHeight="1" thickBot="1" x14ac:dyDescent="0.3">
      <c r="A26" s="30" t="str">
        <f>IFERROR(IF(config!E18="","",config!E18),"")</f>
        <v>C004845</v>
      </c>
      <c r="B26" s="41" t="str">
        <f>IFERROR(IF(config!F18="","",config!F18),"")</f>
        <v>GARCIA</v>
      </c>
      <c r="C26" s="68" t="str">
        <f>IFERROR(IF(config!G18="","",config!G18),"")</f>
        <v>Yoan</v>
      </c>
      <c r="D26" s="87">
        <f>COUNTIF(P26:AS26,"p")</f>
        <v>0</v>
      </c>
      <c r="E26" s="20">
        <f>COUNTIF(P26:AS26,"PC")</f>
        <v>0</v>
      </c>
      <c r="F26" s="20">
        <f>COUNTIF(P26:AS26,"f")</f>
        <v>0</v>
      </c>
      <c r="G26" s="20">
        <f>COUNTIF(P26:AS26,"ast")</f>
        <v>0</v>
      </c>
      <c r="H26" s="20">
        <f>COUNTIF(P26:AS26,"cA")</f>
        <v>0</v>
      </c>
      <c r="I26" s="20">
        <f>COUNTIF(P26:AS26,"rtt")</f>
        <v>0</v>
      </c>
      <c r="J26" s="20">
        <f>COUNTIF(P26:AS26,"cex")</f>
        <v>0</v>
      </c>
      <c r="K26" s="20">
        <f>COUNTIF(P26:AS26,"res")</f>
        <v>0</v>
      </c>
      <c r="L26" s="20">
        <f>COUNTIF(P26:AS26,"mA")</f>
        <v>0</v>
      </c>
      <c r="M26" s="20">
        <f>COUNTIF(P26:AS26,"at")</f>
        <v>0</v>
      </c>
      <c r="N26" s="20">
        <f>COUNTIF(P26:AS26,"TAD")</f>
        <v>0</v>
      </c>
      <c r="O26" s="20">
        <f>COUNTIF(P26:AS26,"TP")</f>
        <v>0</v>
      </c>
      <c r="P26" s="118"/>
      <c r="Q26" s="94"/>
      <c r="R26" s="94"/>
      <c r="S26" s="8"/>
      <c r="T26" s="8"/>
      <c r="U26" s="8"/>
      <c r="V26" s="8"/>
      <c r="W26" s="112"/>
      <c r="X26" s="94"/>
      <c r="Y26" s="94"/>
      <c r="Z26" s="8"/>
      <c r="AA26" s="8"/>
      <c r="AB26" s="8"/>
      <c r="AC26" s="112"/>
      <c r="AD26" s="8"/>
      <c r="AE26" s="94"/>
      <c r="AF26" s="94"/>
      <c r="AG26" s="8"/>
      <c r="AH26" s="8"/>
      <c r="AI26" s="8"/>
      <c r="AJ26" s="8"/>
      <c r="AK26" s="8"/>
      <c r="AL26" s="94"/>
      <c r="AM26" s="94"/>
      <c r="AN26" s="112"/>
      <c r="AO26" s="8"/>
      <c r="AP26" s="8"/>
      <c r="AQ26" s="8"/>
      <c r="AR26" s="8"/>
      <c r="AS26" s="94"/>
      <c r="AT26" s="125"/>
    </row>
    <row r="27" spans="1:46" ht="20.100000000000001" customHeight="1" thickBot="1" x14ac:dyDescent="0.3">
      <c r="A27" s="30" t="str">
        <f>IFERROR(IF(config!E19="","",config!E19),"")</f>
        <v>C005015</v>
      </c>
      <c r="B27" s="41" t="str">
        <f>IFERROR(IF(config!F19="","",config!F19),"")</f>
        <v>LARROUDE</v>
      </c>
      <c r="C27" s="68" t="str">
        <f>IFERROR(IF(config!G19="","",config!G19),"")</f>
        <v>Christophe</v>
      </c>
      <c r="D27" s="87">
        <f>COUNTIF(P27:AS27,"p")</f>
        <v>0</v>
      </c>
      <c r="E27" s="20">
        <f>COUNTIF(P27:AS27,"PC")</f>
        <v>0</v>
      </c>
      <c r="F27" s="20">
        <f>COUNTIF(P27:AS27,"f")</f>
        <v>0</v>
      </c>
      <c r="G27" s="20">
        <f>COUNTIF(P27:AS27,"ast")</f>
        <v>0</v>
      </c>
      <c r="H27" s="20">
        <f>COUNTIF(P27:AS27,"cA")</f>
        <v>0</v>
      </c>
      <c r="I27" s="20">
        <f>COUNTIF(P27:AS27,"rtt")</f>
        <v>0</v>
      </c>
      <c r="J27" s="20">
        <f>COUNTIF(P27:AS27,"cex")</f>
        <v>0</v>
      </c>
      <c r="K27" s="20">
        <f>COUNTIF(P27:AS27,"res")</f>
        <v>0</v>
      </c>
      <c r="L27" s="20">
        <f>COUNTIF(P27:AS27,"mA")</f>
        <v>0</v>
      </c>
      <c r="M27" s="20">
        <f>COUNTIF(P27:AS27,"at")</f>
        <v>0</v>
      </c>
      <c r="N27" s="20">
        <f>COUNTIF(P27:AS27,"TAD")</f>
        <v>0</v>
      </c>
      <c r="O27" s="20">
        <f>COUNTIF(P27:AS27,"TP")</f>
        <v>0</v>
      </c>
      <c r="P27" s="118"/>
      <c r="Q27" s="94"/>
      <c r="R27" s="94"/>
      <c r="S27" s="8"/>
      <c r="T27" s="8"/>
      <c r="U27" s="8"/>
      <c r="V27" s="8"/>
      <c r="W27" s="112"/>
      <c r="X27" s="94"/>
      <c r="Y27" s="94"/>
      <c r="Z27" s="8"/>
      <c r="AA27" s="8"/>
      <c r="AB27" s="8"/>
      <c r="AC27" s="112"/>
      <c r="AD27" s="8"/>
      <c r="AE27" s="94"/>
      <c r="AF27" s="94"/>
      <c r="AG27" s="8"/>
      <c r="AH27" s="8"/>
      <c r="AI27" s="8"/>
      <c r="AJ27" s="8"/>
      <c r="AK27" s="8"/>
      <c r="AL27" s="94"/>
      <c r="AM27" s="94"/>
      <c r="AN27" s="112"/>
      <c r="AO27" s="8"/>
      <c r="AP27" s="8"/>
      <c r="AQ27" s="8"/>
      <c r="AR27" s="8"/>
      <c r="AS27" s="94"/>
      <c r="AT27" s="125"/>
    </row>
    <row r="28" spans="1:46" ht="20.100000000000001" customHeight="1" thickBot="1" x14ac:dyDescent="0.3">
      <c r="A28" s="30" t="str">
        <f>IFERROR(IF(config!E20="","",config!E20),"")</f>
        <v>N020065</v>
      </c>
      <c r="B28" s="41" t="str">
        <f>IFERROR(IF(config!F20="","",config!F20),"")</f>
        <v>SAMITIER</v>
      </c>
      <c r="C28" s="68" t="str">
        <f>IFERROR(IF(config!G20="","",config!G20),"")</f>
        <v>Beatrice</v>
      </c>
      <c r="D28" s="87">
        <f>COUNTIF(P28:AS28,"p")</f>
        <v>0</v>
      </c>
      <c r="E28" s="20">
        <f>COUNTIF(P28:AS28,"PC")</f>
        <v>0</v>
      </c>
      <c r="F28" s="20">
        <f>COUNTIF(P28:AS28,"f")</f>
        <v>0</v>
      </c>
      <c r="G28" s="20">
        <f>COUNTIF(P28:AS28,"ast")</f>
        <v>0</v>
      </c>
      <c r="H28" s="20">
        <f>COUNTIF(P28:AS28,"cA")</f>
        <v>0</v>
      </c>
      <c r="I28" s="20">
        <f>COUNTIF(P28:AS28,"rtt")</f>
        <v>0</v>
      </c>
      <c r="J28" s="20">
        <f>COUNTIF(P28:AS28,"cex")</f>
        <v>0</v>
      </c>
      <c r="K28" s="20">
        <f>COUNTIF(P28:AS28,"res")</f>
        <v>0</v>
      </c>
      <c r="L28" s="20">
        <f>COUNTIF(P28:AS28,"mA")</f>
        <v>0</v>
      </c>
      <c r="M28" s="20">
        <f>COUNTIF(P28:AS28,"at")</f>
        <v>0</v>
      </c>
      <c r="N28" s="20">
        <f>COUNTIF(P28:AS28,"TAD")</f>
        <v>0</v>
      </c>
      <c r="O28" s="20">
        <f>COUNTIF(P28:AS28,"TP")</f>
        <v>0</v>
      </c>
      <c r="P28" s="118"/>
      <c r="Q28" s="94"/>
      <c r="R28" s="94"/>
      <c r="S28" s="8"/>
      <c r="T28" s="8"/>
      <c r="U28" s="8"/>
      <c r="V28" s="8"/>
      <c r="W28" s="112"/>
      <c r="X28" s="94"/>
      <c r="Y28" s="94"/>
      <c r="Z28" s="8"/>
      <c r="AA28" s="8"/>
      <c r="AB28" s="8"/>
      <c r="AC28" s="112"/>
      <c r="AD28" s="8"/>
      <c r="AE28" s="94"/>
      <c r="AF28" s="94"/>
      <c r="AG28" s="8"/>
      <c r="AH28" s="8"/>
      <c r="AI28" s="8"/>
      <c r="AJ28" s="8"/>
      <c r="AK28" s="8"/>
      <c r="AL28" s="94"/>
      <c r="AM28" s="94"/>
      <c r="AN28" s="112"/>
      <c r="AO28" s="8"/>
      <c r="AP28" s="8"/>
      <c r="AQ28" s="8"/>
      <c r="AR28" s="8"/>
      <c r="AS28" s="94"/>
      <c r="AT28" s="125"/>
    </row>
    <row r="29" spans="1:46" ht="20.100000000000001" customHeight="1" thickBot="1" x14ac:dyDescent="0.3">
      <c r="A29" s="236" t="str">
        <f>IFERROR(IF(config!E21="","",config!E21),"")</f>
        <v>C005216</v>
      </c>
      <c r="B29" s="237" t="str">
        <f>IFERROR(IF(config!F21="","",config!F21),"")</f>
        <v>PIEL</v>
      </c>
      <c r="C29" s="238" t="str">
        <f>IFERROR(IF(config!G21="","",config!G21),"")</f>
        <v>Frédy</v>
      </c>
      <c r="D29" s="87">
        <f>COUNTIF(P29:AS29,"p")</f>
        <v>0</v>
      </c>
      <c r="E29" s="20">
        <f>COUNTIF(P29:AS29,"PC")</f>
        <v>0</v>
      </c>
      <c r="F29" s="20">
        <f>COUNTIF(P29:AS29,"f")</f>
        <v>0</v>
      </c>
      <c r="G29" s="20">
        <f>COUNTIF(P29:AS29,"ast")</f>
        <v>0</v>
      </c>
      <c r="H29" s="20">
        <f>COUNTIF(P29:AS29,"cA")</f>
        <v>0</v>
      </c>
      <c r="I29" s="20">
        <f>COUNTIF(P29:AS29,"rtt")</f>
        <v>0</v>
      </c>
      <c r="J29" s="20">
        <f>COUNTIF(P29:AS29,"cex")</f>
        <v>0</v>
      </c>
      <c r="K29" s="20">
        <f>COUNTIF(P29:AS29,"res")</f>
        <v>0</v>
      </c>
      <c r="L29" s="20">
        <f>COUNTIF(P29:AS29,"mA")</f>
        <v>0</v>
      </c>
      <c r="M29" s="20">
        <f>COUNTIF(P29:AS29,"at")</f>
        <v>0</v>
      </c>
      <c r="N29" s="20">
        <f>COUNTIF(P29:AS29,"TAD")</f>
        <v>0</v>
      </c>
      <c r="O29" s="20">
        <f>COUNTIF(P29:AS29,"TP")</f>
        <v>0</v>
      </c>
      <c r="P29" s="122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125"/>
    </row>
    <row r="30" spans="1:46" ht="20.100000000000001" customHeight="1" thickBot="1" x14ac:dyDescent="0.3">
      <c r="A30" s="220" t="str">
        <f>IFERROR(IF(config!E22="","",config!E22),"")</f>
        <v>PROPRETE</v>
      </c>
      <c r="B30" s="221"/>
      <c r="C30" s="221"/>
      <c r="D30" s="222"/>
      <c r="E30" s="223"/>
      <c r="F30" s="223"/>
      <c r="G30" s="223"/>
      <c r="H30" s="223"/>
      <c r="I30" s="223"/>
      <c r="J30" s="223"/>
      <c r="K30" s="224"/>
      <c r="L30" s="225"/>
      <c r="M30" s="221"/>
      <c r="N30" s="221"/>
      <c r="O30" s="221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40"/>
      <c r="AR30" s="240"/>
      <c r="AS30" s="240"/>
      <c r="AT30" s="240"/>
    </row>
    <row r="31" spans="1:46" ht="20.100000000000001" customHeight="1" thickBot="1" x14ac:dyDescent="0.3">
      <c r="A31" s="30" t="str">
        <f>IFERROR(IF(config!E23="","",config!E23),"")</f>
        <v>JN020502</v>
      </c>
      <c r="B31" s="41" t="str">
        <f>IFERROR(IF(config!F23="","",config!F23),"")</f>
        <v>GOURVIAT</v>
      </c>
      <c r="C31" s="68" t="str">
        <f>IFERROR(IF(config!G23="","",config!G23),"")</f>
        <v>Annabelle</v>
      </c>
      <c r="D31" s="87">
        <f t="shared" ref="D31:D36" si="15">COUNTIF(P31:AS31,"p")</f>
        <v>0</v>
      </c>
      <c r="E31" s="20">
        <f t="shared" ref="E31:E36" si="16">COUNTIF(P31:AS31,"PC")</f>
        <v>0</v>
      </c>
      <c r="F31" s="20">
        <f t="shared" ref="F31:F36" si="17">COUNTIF(P31:AS31,"f")</f>
        <v>0</v>
      </c>
      <c r="G31" s="20">
        <f t="shared" ref="G31:G36" si="18">COUNTIF(P31:AS31,"ast")</f>
        <v>0</v>
      </c>
      <c r="H31" s="20">
        <f t="shared" ref="H31:H36" si="19">COUNTIF(P31:AS31,"cA")</f>
        <v>0</v>
      </c>
      <c r="I31" s="20">
        <f t="shared" ref="I31:I36" si="20">COUNTIF(P31:AS31,"rtt")</f>
        <v>0</v>
      </c>
      <c r="J31" s="20">
        <f t="shared" ref="J31:J36" si="21">COUNTIF(P31:AS31,"cex")</f>
        <v>0</v>
      </c>
      <c r="K31" s="20">
        <f t="shared" ref="K31:K36" si="22">COUNTIF(P31:AS31,"res")</f>
        <v>0</v>
      </c>
      <c r="L31" s="20">
        <f t="shared" ref="L31:L36" si="23">COUNTIF(P31:AS31,"mA")</f>
        <v>0</v>
      </c>
      <c r="M31" s="20">
        <f t="shared" ref="M31:M36" si="24">COUNTIF(P31:AS31,"at")</f>
        <v>0</v>
      </c>
      <c r="N31" s="20">
        <f t="shared" ref="N31:N36" si="25">COUNTIF(P31:AS31,"TAD")</f>
        <v>0</v>
      </c>
      <c r="O31" s="20">
        <f t="shared" ref="O31:O36" si="26">COUNTIF(P31:AS31,"TP")</f>
        <v>0</v>
      </c>
      <c r="P31" s="118"/>
      <c r="Q31" s="94"/>
      <c r="R31" s="94"/>
      <c r="S31" s="8"/>
      <c r="T31" s="8"/>
      <c r="U31" s="8"/>
      <c r="V31" s="8"/>
      <c r="W31" s="112"/>
      <c r="X31" s="94"/>
      <c r="Y31" s="94"/>
      <c r="Z31" s="8"/>
      <c r="AA31" s="8"/>
      <c r="AB31" s="8"/>
      <c r="AC31" s="112"/>
      <c r="AD31" s="8"/>
      <c r="AE31" s="94"/>
      <c r="AF31" s="94"/>
      <c r="AG31" s="8"/>
      <c r="AH31" s="8"/>
      <c r="AI31" s="8"/>
      <c r="AJ31" s="8"/>
      <c r="AK31" s="8"/>
      <c r="AL31" s="94"/>
      <c r="AM31" s="94"/>
      <c r="AN31" s="112"/>
      <c r="AO31" s="8"/>
      <c r="AP31" s="8"/>
      <c r="AQ31" s="8"/>
      <c r="AR31" s="8"/>
      <c r="AS31" s="94"/>
      <c r="AT31" s="125"/>
    </row>
    <row r="32" spans="1:46" ht="20.100000000000001" customHeight="1" thickBot="1" x14ac:dyDescent="0.3">
      <c r="A32" s="30" t="str">
        <f>IFERROR(IF(config!E24="","",config!E24),"")</f>
        <v>JT032516</v>
      </c>
      <c r="B32" s="41" t="str">
        <f>IFERROR(IF(config!F24="","",config!F24),"")</f>
        <v>LARTIGUE</v>
      </c>
      <c r="C32" s="68" t="str">
        <f>IFERROR(IF(config!G24="","",config!G24),"")</f>
        <v>Laura</v>
      </c>
      <c r="D32" s="87">
        <f t="shared" si="15"/>
        <v>0</v>
      </c>
      <c r="E32" s="20">
        <f t="shared" si="16"/>
        <v>0</v>
      </c>
      <c r="F32" s="20">
        <f t="shared" si="17"/>
        <v>0</v>
      </c>
      <c r="G32" s="20">
        <f t="shared" si="18"/>
        <v>0</v>
      </c>
      <c r="H32" s="20">
        <f t="shared" si="19"/>
        <v>0</v>
      </c>
      <c r="I32" s="20">
        <f t="shared" si="20"/>
        <v>0</v>
      </c>
      <c r="J32" s="20">
        <f t="shared" si="21"/>
        <v>0</v>
      </c>
      <c r="K32" s="20">
        <f t="shared" si="22"/>
        <v>0</v>
      </c>
      <c r="L32" s="20">
        <f t="shared" si="23"/>
        <v>0</v>
      </c>
      <c r="M32" s="20">
        <f t="shared" si="24"/>
        <v>0</v>
      </c>
      <c r="N32" s="20">
        <f t="shared" si="25"/>
        <v>0</v>
      </c>
      <c r="O32" s="20">
        <f t="shared" si="26"/>
        <v>0</v>
      </c>
      <c r="P32" s="118"/>
      <c r="Q32" s="94"/>
      <c r="R32" s="94"/>
      <c r="S32" s="8"/>
      <c r="T32" s="8"/>
      <c r="U32" s="8"/>
      <c r="V32" s="8"/>
      <c r="W32" s="112"/>
      <c r="X32" s="94"/>
      <c r="Y32" s="94"/>
      <c r="Z32" s="8"/>
      <c r="AA32" s="8"/>
      <c r="AB32" s="8"/>
      <c r="AC32" s="112"/>
      <c r="AD32" s="8"/>
      <c r="AE32" s="94"/>
      <c r="AF32" s="94"/>
      <c r="AG32" s="8"/>
      <c r="AH32" s="8"/>
      <c r="AI32" s="8"/>
      <c r="AJ32" s="8"/>
      <c r="AK32" s="8"/>
      <c r="AL32" s="94"/>
      <c r="AM32" s="94"/>
      <c r="AN32" s="112"/>
      <c r="AO32" s="8"/>
      <c r="AP32" s="8"/>
      <c r="AQ32" s="8"/>
      <c r="AR32" s="8"/>
      <c r="AS32" s="94"/>
      <c r="AT32" s="125"/>
    </row>
    <row r="33" spans="1:58" ht="20.100000000000001" customHeight="1" thickBot="1" x14ac:dyDescent="0.3">
      <c r="A33" s="30" t="str">
        <f>IFERROR(IF(config!E25="","",config!E25),"")</f>
        <v>JN010897</v>
      </c>
      <c r="B33" s="41" t="str">
        <f>IFERROR(IF(config!F25="","",config!F25),"")</f>
        <v>TRIQUENEAUX</v>
      </c>
      <c r="C33" s="68" t="str">
        <f>IFERROR(IF(config!G25="","",config!G25),"")</f>
        <v>Benoit</v>
      </c>
      <c r="D33" s="87">
        <f t="shared" si="15"/>
        <v>0</v>
      </c>
      <c r="E33" s="20">
        <f t="shared" si="16"/>
        <v>0</v>
      </c>
      <c r="F33" s="20">
        <f t="shared" si="17"/>
        <v>0</v>
      </c>
      <c r="G33" s="20">
        <f t="shared" si="18"/>
        <v>0</v>
      </c>
      <c r="H33" s="20">
        <f t="shared" si="19"/>
        <v>0</v>
      </c>
      <c r="I33" s="20">
        <f t="shared" si="20"/>
        <v>0</v>
      </c>
      <c r="J33" s="20">
        <f t="shared" si="21"/>
        <v>0</v>
      </c>
      <c r="K33" s="20">
        <f t="shared" si="22"/>
        <v>0</v>
      </c>
      <c r="L33" s="20">
        <f t="shared" si="23"/>
        <v>0</v>
      </c>
      <c r="M33" s="20">
        <f t="shared" si="24"/>
        <v>0</v>
      </c>
      <c r="N33" s="20">
        <f t="shared" si="25"/>
        <v>0</v>
      </c>
      <c r="O33" s="20">
        <f t="shared" si="26"/>
        <v>0</v>
      </c>
      <c r="P33" s="118"/>
      <c r="Q33" s="94"/>
      <c r="R33" s="94"/>
      <c r="S33" s="8"/>
      <c r="T33" s="8"/>
      <c r="U33" s="8"/>
      <c r="V33" s="8"/>
      <c r="W33" s="112"/>
      <c r="X33" s="94"/>
      <c r="Y33" s="94"/>
      <c r="Z33" s="8"/>
      <c r="AA33" s="8"/>
      <c r="AB33" s="8"/>
      <c r="AC33" s="112"/>
      <c r="AD33" s="8"/>
      <c r="AE33" s="94"/>
      <c r="AF33" s="94"/>
      <c r="AG33" s="8"/>
      <c r="AH33" s="8"/>
      <c r="AI33" s="8"/>
      <c r="AJ33" s="8"/>
      <c r="AK33" s="8"/>
      <c r="AL33" s="94"/>
      <c r="AM33" s="94"/>
      <c r="AN33" s="112"/>
      <c r="AO33" s="8"/>
      <c r="AP33" s="8"/>
      <c r="AQ33" s="8"/>
      <c r="AR33" s="8"/>
      <c r="AS33" s="94"/>
      <c r="AT33" s="125"/>
    </row>
    <row r="34" spans="1:58" ht="20.100000000000001" customHeight="1" thickBot="1" x14ac:dyDescent="0.3">
      <c r="A34" s="30" t="str">
        <f>IFERROR(IF(config!E26="","",config!E26),"")</f>
        <v>JN010381</v>
      </c>
      <c r="B34" s="41" t="str">
        <f>IFERROR(IF(config!F26="","",config!F26),"")</f>
        <v>ESPERON</v>
      </c>
      <c r="C34" s="68" t="str">
        <f>IFERROR(IF(config!G26="","",config!G26),"")</f>
        <v>Alain</v>
      </c>
      <c r="D34" s="87">
        <f t="shared" si="15"/>
        <v>0</v>
      </c>
      <c r="E34" s="20">
        <f t="shared" si="16"/>
        <v>0</v>
      </c>
      <c r="F34" s="20">
        <f t="shared" si="17"/>
        <v>0</v>
      </c>
      <c r="G34" s="20">
        <f t="shared" si="18"/>
        <v>0</v>
      </c>
      <c r="H34" s="20">
        <f t="shared" si="19"/>
        <v>0</v>
      </c>
      <c r="I34" s="20">
        <f t="shared" si="20"/>
        <v>0</v>
      </c>
      <c r="J34" s="20">
        <f t="shared" si="21"/>
        <v>0</v>
      </c>
      <c r="K34" s="20">
        <f t="shared" si="22"/>
        <v>0</v>
      </c>
      <c r="L34" s="20">
        <f t="shared" si="23"/>
        <v>0</v>
      </c>
      <c r="M34" s="20">
        <f t="shared" si="24"/>
        <v>0</v>
      </c>
      <c r="N34" s="20">
        <f t="shared" si="25"/>
        <v>0</v>
      </c>
      <c r="O34" s="20">
        <f t="shared" si="26"/>
        <v>0</v>
      </c>
      <c r="P34" s="118"/>
      <c r="Q34" s="94"/>
      <c r="R34" s="94"/>
      <c r="S34" s="8"/>
      <c r="T34" s="8"/>
      <c r="U34" s="8"/>
      <c r="V34" s="8"/>
      <c r="W34" s="112"/>
      <c r="X34" s="94"/>
      <c r="Y34" s="94"/>
      <c r="Z34" s="8"/>
      <c r="AA34" s="8"/>
      <c r="AB34" s="8"/>
      <c r="AC34" s="112"/>
      <c r="AD34" s="8"/>
      <c r="AE34" s="94"/>
      <c r="AF34" s="94"/>
      <c r="AG34" s="8"/>
      <c r="AH34" s="8"/>
      <c r="AI34" s="8"/>
      <c r="AJ34" s="8"/>
      <c r="AK34" s="8"/>
      <c r="AL34" s="94"/>
      <c r="AM34" s="94"/>
      <c r="AN34" s="112"/>
      <c r="AO34" s="8"/>
      <c r="AP34" s="8"/>
      <c r="AQ34" s="8"/>
      <c r="AR34" s="8"/>
      <c r="AS34" s="94"/>
      <c r="AT34" s="125"/>
    </row>
    <row r="35" spans="1:58" ht="20.100000000000001" customHeight="1" thickBot="1" x14ac:dyDescent="0.3">
      <c r="A35" s="30" t="str">
        <f>IFERROR(IF(config!E27="","",config!E27),"")</f>
        <v>JN010750</v>
      </c>
      <c r="B35" s="41" t="str">
        <f>IFERROR(IF(config!F27="","",config!F27),"")</f>
        <v>ROUGLAN</v>
      </c>
      <c r="C35" s="68" t="str">
        <f>IFERROR(IF(config!G27="","",config!G27),"")</f>
        <v>William</v>
      </c>
      <c r="D35" s="87">
        <f t="shared" si="15"/>
        <v>0</v>
      </c>
      <c r="E35" s="20">
        <f t="shared" si="16"/>
        <v>0</v>
      </c>
      <c r="F35" s="20">
        <f t="shared" si="17"/>
        <v>0</v>
      </c>
      <c r="G35" s="20">
        <f t="shared" si="18"/>
        <v>0</v>
      </c>
      <c r="H35" s="20">
        <f t="shared" si="19"/>
        <v>0</v>
      </c>
      <c r="I35" s="20">
        <f t="shared" si="20"/>
        <v>0</v>
      </c>
      <c r="J35" s="20">
        <f t="shared" si="21"/>
        <v>0</v>
      </c>
      <c r="K35" s="20">
        <f t="shared" si="22"/>
        <v>0</v>
      </c>
      <c r="L35" s="20">
        <f t="shared" si="23"/>
        <v>0</v>
      </c>
      <c r="M35" s="20">
        <f t="shared" si="24"/>
        <v>0</v>
      </c>
      <c r="N35" s="20">
        <f t="shared" si="25"/>
        <v>0</v>
      </c>
      <c r="O35" s="20">
        <f t="shared" si="26"/>
        <v>0</v>
      </c>
      <c r="P35" s="118"/>
      <c r="Q35" s="94"/>
      <c r="R35" s="94"/>
      <c r="S35" s="8"/>
      <c r="T35" s="8"/>
      <c r="U35" s="8"/>
      <c r="V35" s="8"/>
      <c r="W35" s="112"/>
      <c r="X35" s="94"/>
      <c r="Y35" s="94"/>
      <c r="Z35" s="8"/>
      <c r="AA35" s="8"/>
      <c r="AB35" s="8"/>
      <c r="AC35" s="112"/>
      <c r="AD35" s="8"/>
      <c r="AE35" s="94"/>
      <c r="AF35" s="94"/>
      <c r="AG35" s="8"/>
      <c r="AH35" s="8"/>
      <c r="AI35" s="8"/>
      <c r="AJ35" s="8"/>
      <c r="AK35" s="8"/>
      <c r="AL35" s="94"/>
      <c r="AM35" s="94"/>
      <c r="AN35" s="112"/>
      <c r="AO35" s="8"/>
      <c r="AP35" s="8"/>
      <c r="AQ35" s="8"/>
      <c r="AR35" s="8"/>
      <c r="AS35" s="94"/>
      <c r="AT35" s="125"/>
    </row>
    <row r="36" spans="1:58" ht="20.100000000000001" customHeight="1" thickBot="1" x14ac:dyDescent="0.3">
      <c r="A36" s="30" t="str">
        <f>IFERROR(IF(config!E28="","",config!E28),"")</f>
        <v>JN010461</v>
      </c>
      <c r="B36" s="41" t="str">
        <f>IFERROR(IF(config!F28="","",config!F28),"")</f>
        <v>NOURRI</v>
      </c>
      <c r="C36" s="68" t="str">
        <f>IFERROR(IF(config!G28="","",config!G28),"")</f>
        <v>Danny</v>
      </c>
      <c r="D36" s="87">
        <f t="shared" si="15"/>
        <v>0</v>
      </c>
      <c r="E36" s="20">
        <f t="shared" si="16"/>
        <v>0</v>
      </c>
      <c r="F36" s="20">
        <f t="shared" si="17"/>
        <v>0</v>
      </c>
      <c r="G36" s="20">
        <f t="shared" si="18"/>
        <v>0</v>
      </c>
      <c r="H36" s="20">
        <f t="shared" si="19"/>
        <v>0</v>
      </c>
      <c r="I36" s="20">
        <f t="shared" si="20"/>
        <v>0</v>
      </c>
      <c r="J36" s="20">
        <f t="shared" si="21"/>
        <v>0</v>
      </c>
      <c r="K36" s="20">
        <f t="shared" si="22"/>
        <v>0</v>
      </c>
      <c r="L36" s="20">
        <f t="shared" si="23"/>
        <v>0</v>
      </c>
      <c r="M36" s="20">
        <f t="shared" si="24"/>
        <v>0</v>
      </c>
      <c r="N36" s="20">
        <f t="shared" si="25"/>
        <v>0</v>
      </c>
      <c r="O36" s="20">
        <f t="shared" si="26"/>
        <v>0</v>
      </c>
      <c r="P36" s="118"/>
      <c r="Q36" s="94"/>
      <c r="R36" s="94"/>
      <c r="S36" s="8"/>
      <c r="T36" s="8"/>
      <c r="U36" s="8"/>
      <c r="V36" s="8"/>
      <c r="W36" s="112"/>
      <c r="X36" s="94"/>
      <c r="Y36" s="94"/>
      <c r="Z36" s="8"/>
      <c r="AA36" s="8"/>
      <c r="AB36" s="8"/>
      <c r="AC36" s="112"/>
      <c r="AD36" s="8"/>
      <c r="AE36" s="94"/>
      <c r="AF36" s="94"/>
      <c r="AG36" s="8"/>
      <c r="AH36" s="8"/>
      <c r="AI36" s="8"/>
      <c r="AJ36" s="8"/>
      <c r="AK36" s="8"/>
      <c r="AL36" s="94"/>
      <c r="AM36" s="94"/>
      <c r="AN36" s="112"/>
      <c r="AO36" s="8"/>
      <c r="AP36" s="8"/>
      <c r="AQ36" s="8"/>
      <c r="AR36" s="8"/>
      <c r="AS36" s="94"/>
      <c r="AT36" s="125"/>
    </row>
    <row r="37" spans="1:58" ht="20.100000000000001" customHeight="1" thickBot="1" x14ac:dyDescent="0.3">
      <c r="A37" s="50" t="str">
        <f>IFERROR(IF(config!E29="","",config!E29),"")</f>
        <v>REGIE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05"/>
    </row>
    <row r="38" spans="1:58" ht="20.100000000000001" customHeight="1" thickBot="1" x14ac:dyDescent="0.3">
      <c r="A38" s="293" t="str">
        <f>IFERROR(IF(config!E30="","",config!E30),"")</f>
        <v>AGENTS VOIRIE</v>
      </c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167"/>
      <c r="AV38" s="290" t="s">
        <v>218</v>
      </c>
      <c r="AW38" s="291"/>
      <c r="AX38" s="291"/>
      <c r="AY38" s="291"/>
      <c r="AZ38" s="291"/>
      <c r="BA38" s="291"/>
      <c r="BB38" s="291"/>
      <c r="BC38" s="291"/>
      <c r="BD38" s="291"/>
      <c r="BE38" s="291"/>
      <c r="BF38" s="292"/>
    </row>
    <row r="39" spans="1:58" ht="20.100000000000001" customHeight="1" thickBot="1" x14ac:dyDescent="0.3">
      <c r="A39" s="241" t="str">
        <f>IFERROR(IF(config!E31="","",config!E31),"")</f>
        <v>JT028103</v>
      </c>
      <c r="B39" s="242" t="str">
        <f>IFERROR(IF(config!F31="","",config!F31),"")</f>
        <v>BERRIO-GAUDNER</v>
      </c>
      <c r="C39" s="243" t="str">
        <f>IFERROR(IF(config!G31="","",config!G31),"")</f>
        <v xml:space="preserve"> Jacques</v>
      </c>
      <c r="D39" s="87">
        <f t="shared" ref="D39:D49" si="27">COUNTIF(P39:AS39,"p")</f>
        <v>0</v>
      </c>
      <c r="E39" s="20">
        <f t="shared" ref="E39:E49" si="28">COUNTIF(P39:AS39,"PC")</f>
        <v>0</v>
      </c>
      <c r="F39" s="20">
        <f t="shared" ref="F39:F49" si="29">COUNTIF(P39:AS39,"f")</f>
        <v>0</v>
      </c>
      <c r="G39" s="20">
        <f t="shared" ref="G39:G49" si="30">COUNTIF(P39:AS39,"ast")</f>
        <v>0</v>
      </c>
      <c r="H39" s="20">
        <f t="shared" ref="H39:H49" si="31">COUNTIF(P39:AS39,"cA")</f>
        <v>0</v>
      </c>
      <c r="I39" s="20">
        <f t="shared" ref="I39:I49" si="32">COUNTIF(P39:AS39,"rtt")</f>
        <v>0</v>
      </c>
      <c r="J39" s="20">
        <f t="shared" ref="J39:J49" si="33">COUNTIF(P39:AS39,"cex")</f>
        <v>0</v>
      </c>
      <c r="K39" s="20">
        <f t="shared" ref="K39:K49" si="34">COUNTIF(P39:AS39,"res")</f>
        <v>0</v>
      </c>
      <c r="L39" s="20">
        <f t="shared" ref="L39:L49" si="35">COUNTIF(P39:AS39,"mA")</f>
        <v>0</v>
      </c>
      <c r="M39" s="20">
        <f t="shared" ref="M39:M49" si="36">COUNTIF(P39:AS39,"at")</f>
        <v>0</v>
      </c>
      <c r="N39" s="20">
        <f t="shared" ref="N39:N49" si="37">COUNTIF(P39:AS39,"TAD")</f>
        <v>0</v>
      </c>
      <c r="O39" s="92">
        <f t="shared" ref="O39:O49" si="38">COUNTIF(P39:AS39,"TP")</f>
        <v>0</v>
      </c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V39" s="15" t="s">
        <v>194</v>
      </c>
      <c r="AW39" s="78" t="s">
        <v>195</v>
      </c>
      <c r="AX39" s="12" t="s">
        <v>196</v>
      </c>
      <c r="AY39" s="79" t="s">
        <v>197</v>
      </c>
      <c r="AZ39" s="10" t="s">
        <v>198</v>
      </c>
      <c r="BA39" s="80" t="s">
        <v>199</v>
      </c>
      <c r="BB39" s="11" t="s">
        <v>200</v>
      </c>
      <c r="BC39" s="81" t="s">
        <v>201</v>
      </c>
      <c r="BD39" s="82" t="s">
        <v>202</v>
      </c>
      <c r="BE39" s="83" t="s">
        <v>203</v>
      </c>
      <c r="BF39" s="16" t="s">
        <v>205</v>
      </c>
    </row>
    <row r="40" spans="1:58" s="37" customFormat="1" ht="20.100000000000001" customHeight="1" thickBot="1" x14ac:dyDescent="0.3">
      <c r="A40" s="32" t="str">
        <f>IFERROR(IF(config!E32="","",config!E32),"")</f>
        <v>C002908</v>
      </c>
      <c r="B40" s="39" t="str">
        <f>IFERROR(IF(config!F32="","",config!F32),"")</f>
        <v>FONTENEAU</v>
      </c>
      <c r="C40" s="69" t="str">
        <f>IFERROR(IF(config!G32="","",config!G32),"")</f>
        <v>Fabrice</v>
      </c>
      <c r="D40" s="87">
        <f t="shared" si="27"/>
        <v>0</v>
      </c>
      <c r="E40" s="20">
        <f t="shared" si="28"/>
        <v>0</v>
      </c>
      <c r="F40" s="20">
        <f t="shared" si="29"/>
        <v>0</v>
      </c>
      <c r="G40" s="20">
        <f t="shared" si="30"/>
        <v>0</v>
      </c>
      <c r="H40" s="20">
        <f t="shared" si="31"/>
        <v>0</v>
      </c>
      <c r="I40" s="20">
        <f t="shared" si="32"/>
        <v>0</v>
      </c>
      <c r="J40" s="20">
        <f t="shared" si="33"/>
        <v>0</v>
      </c>
      <c r="K40" s="20">
        <f t="shared" si="34"/>
        <v>0</v>
      </c>
      <c r="L40" s="20">
        <f t="shared" si="35"/>
        <v>0</v>
      </c>
      <c r="M40" s="20">
        <f t="shared" si="36"/>
        <v>0</v>
      </c>
      <c r="N40" s="20">
        <f t="shared" si="37"/>
        <v>0</v>
      </c>
      <c r="O40" s="92">
        <f t="shared" si="38"/>
        <v>0</v>
      </c>
      <c r="P40" s="118"/>
      <c r="Q40" s="94"/>
      <c r="R40" s="94"/>
      <c r="S40" s="8"/>
      <c r="T40" s="8"/>
      <c r="U40" s="8"/>
      <c r="V40" s="8"/>
      <c r="W40" s="112"/>
      <c r="X40" s="94"/>
      <c r="Y40" s="94"/>
      <c r="Z40" s="8"/>
      <c r="AA40" s="8"/>
      <c r="AB40" s="8"/>
      <c r="AC40" s="112"/>
      <c r="AD40" s="8"/>
      <c r="AE40" s="94"/>
      <c r="AF40" s="94"/>
      <c r="AG40" s="8"/>
      <c r="AH40" s="8"/>
      <c r="AI40" s="8"/>
      <c r="AJ40" s="8"/>
      <c r="AK40" s="8"/>
      <c r="AL40" s="94"/>
      <c r="AM40" s="94"/>
      <c r="AN40" s="112"/>
      <c r="AO40" s="8"/>
      <c r="AP40" s="8"/>
      <c r="AQ40" s="8"/>
      <c r="AR40" s="8"/>
      <c r="AS40" s="94"/>
      <c r="AT40" s="125"/>
      <c r="AV40" s="19">
        <f>COUNTIF(P39:AS49,"p")</f>
        <v>0</v>
      </c>
      <c r="AW40" s="19">
        <f>COUNTIF(P39:AS49,"pc")</f>
        <v>0</v>
      </c>
      <c r="AX40" s="19">
        <f>COUNTIF(P39:AS49,"f")</f>
        <v>0</v>
      </c>
      <c r="AY40" s="19">
        <f>COUNTIF(P39:AS49,"ast")</f>
        <v>0</v>
      </c>
      <c r="AZ40" s="19">
        <f>COUNTIF(P39:AS49,"cA")</f>
        <v>0</v>
      </c>
      <c r="BA40" s="19">
        <f>COUNTIF(P39:AS49,"rtt")</f>
        <v>0</v>
      </c>
      <c r="BB40" s="19">
        <f>COUNTIF(P39:AS49,"cex")</f>
        <v>0</v>
      </c>
      <c r="BC40" s="19">
        <f>COUNTIF(P39:AS49,"RES")</f>
        <v>0</v>
      </c>
      <c r="BD40" s="19">
        <f>COUNTIF(P39:AS49,"MA")</f>
        <v>0</v>
      </c>
      <c r="BE40" s="19">
        <f>COUNTIF(P39:AS49,"at")</f>
        <v>0</v>
      </c>
      <c r="BF40" s="19">
        <f>COUNTIF(P39:AS49,"TP")</f>
        <v>0</v>
      </c>
    </row>
    <row r="41" spans="1:58" ht="20.100000000000001" customHeight="1" thickBot="1" x14ac:dyDescent="0.3">
      <c r="A41" s="32" t="str">
        <f>IFERROR(IF(config!E33="","",config!E33),"")</f>
        <v>C004504</v>
      </c>
      <c r="B41" s="39" t="str">
        <f>IFERROR(IF(config!F33="","",config!F33),"")</f>
        <v xml:space="preserve">GUIJARRO </v>
      </c>
      <c r="C41" s="69" t="str">
        <f>IFERROR(IF(config!G33="","",config!G33),"")</f>
        <v>Juan-Pédro</v>
      </c>
      <c r="D41" s="87">
        <f t="shared" si="27"/>
        <v>0</v>
      </c>
      <c r="E41" s="20">
        <f t="shared" si="28"/>
        <v>0</v>
      </c>
      <c r="F41" s="20">
        <f t="shared" si="29"/>
        <v>0</v>
      </c>
      <c r="G41" s="20">
        <f t="shared" si="30"/>
        <v>0</v>
      </c>
      <c r="H41" s="20">
        <f t="shared" si="31"/>
        <v>0</v>
      </c>
      <c r="I41" s="20">
        <f t="shared" si="32"/>
        <v>0</v>
      </c>
      <c r="J41" s="20">
        <f t="shared" si="33"/>
        <v>0</v>
      </c>
      <c r="K41" s="20">
        <f t="shared" si="34"/>
        <v>0</v>
      </c>
      <c r="L41" s="20">
        <f t="shared" si="35"/>
        <v>0</v>
      </c>
      <c r="M41" s="20">
        <f t="shared" si="36"/>
        <v>0</v>
      </c>
      <c r="N41" s="20">
        <f t="shared" si="37"/>
        <v>0</v>
      </c>
      <c r="O41" s="92">
        <f t="shared" si="38"/>
        <v>0</v>
      </c>
      <c r="P41" s="118"/>
      <c r="Q41" s="94"/>
      <c r="R41" s="94"/>
      <c r="S41" s="8"/>
      <c r="T41" s="8"/>
      <c r="U41" s="8"/>
      <c r="V41" s="8"/>
      <c r="W41" s="112"/>
      <c r="X41" s="94"/>
      <c r="Y41" s="94"/>
      <c r="Z41" s="8"/>
      <c r="AA41" s="8"/>
      <c r="AB41" s="8"/>
      <c r="AC41" s="112"/>
      <c r="AD41" s="8"/>
      <c r="AE41" s="94"/>
      <c r="AF41" s="94"/>
      <c r="AG41" s="8"/>
      <c r="AH41" s="8"/>
      <c r="AI41" s="8"/>
      <c r="AJ41" s="8"/>
      <c r="AK41" s="8"/>
      <c r="AL41" s="94"/>
      <c r="AM41" s="94"/>
      <c r="AN41" s="112"/>
      <c r="AO41" s="8"/>
      <c r="AP41" s="8"/>
      <c r="AQ41" s="8"/>
      <c r="AR41" s="8"/>
      <c r="AS41" s="94"/>
      <c r="AT41" s="125"/>
    </row>
    <row r="42" spans="1:58" s="37" customFormat="1" ht="20.100000000000001" customHeight="1" thickBot="1" x14ac:dyDescent="0.3">
      <c r="A42" s="32" t="str">
        <f>IFERROR(IF(config!E34="","",config!E34),"")</f>
        <v>T028198</v>
      </c>
      <c r="B42" s="39" t="str">
        <f>IFERROR(IF(config!F34="","",config!F34),"")</f>
        <v>GOUREAU</v>
      </c>
      <c r="C42" s="69" t="str">
        <f>IFERROR(IF(config!G34="","",config!G34),"")</f>
        <v>Jonathan</v>
      </c>
      <c r="D42" s="87">
        <f t="shared" si="27"/>
        <v>0</v>
      </c>
      <c r="E42" s="20">
        <f t="shared" si="28"/>
        <v>0</v>
      </c>
      <c r="F42" s="20">
        <f t="shared" si="29"/>
        <v>0</v>
      </c>
      <c r="G42" s="20">
        <f t="shared" si="30"/>
        <v>0</v>
      </c>
      <c r="H42" s="20">
        <f t="shared" si="31"/>
        <v>0</v>
      </c>
      <c r="I42" s="20">
        <f t="shared" si="32"/>
        <v>0</v>
      </c>
      <c r="J42" s="20">
        <f t="shared" si="33"/>
        <v>0</v>
      </c>
      <c r="K42" s="20">
        <f t="shared" si="34"/>
        <v>0</v>
      </c>
      <c r="L42" s="20">
        <f t="shared" si="35"/>
        <v>0</v>
      </c>
      <c r="M42" s="20">
        <f t="shared" si="36"/>
        <v>0</v>
      </c>
      <c r="N42" s="20">
        <f t="shared" si="37"/>
        <v>0</v>
      </c>
      <c r="O42" s="92">
        <f t="shared" si="38"/>
        <v>0</v>
      </c>
      <c r="P42" s="118"/>
      <c r="Q42" s="94"/>
      <c r="R42" s="94"/>
      <c r="S42" s="8"/>
      <c r="T42" s="8"/>
      <c r="U42" s="8"/>
      <c r="V42" s="8"/>
      <c r="W42" s="112"/>
      <c r="X42" s="94"/>
      <c r="Y42" s="94"/>
      <c r="Z42" s="8"/>
      <c r="AA42" s="8"/>
      <c r="AB42" s="8"/>
      <c r="AC42" s="112"/>
      <c r="AD42" s="8"/>
      <c r="AE42" s="94"/>
      <c r="AF42" s="94"/>
      <c r="AG42" s="8"/>
      <c r="AH42" s="8"/>
      <c r="AI42" s="8"/>
      <c r="AJ42" s="8"/>
      <c r="AK42" s="8"/>
      <c r="AL42" s="94"/>
      <c r="AM42" s="94"/>
      <c r="AN42" s="112"/>
      <c r="AO42" s="8"/>
      <c r="AP42" s="8"/>
      <c r="AQ42" s="8"/>
      <c r="AR42" s="8"/>
      <c r="AS42" s="94"/>
      <c r="AT42" s="125"/>
    </row>
    <row r="43" spans="1:58" ht="20.100000000000001" customHeight="1" thickBot="1" x14ac:dyDescent="0.3">
      <c r="A43" s="32" t="str">
        <f>IFERROR(IF(config!E35="","",config!E35),"")</f>
        <v>C002986</v>
      </c>
      <c r="B43" s="39" t="str">
        <f>IFERROR(IF(config!F35="","",config!F35),"")</f>
        <v>LABORIE</v>
      </c>
      <c r="C43" s="69" t="str">
        <f>IFERROR(IF(config!G35="","",config!G35),"")</f>
        <v>Jean-Louis</v>
      </c>
      <c r="D43" s="87">
        <f t="shared" si="27"/>
        <v>0</v>
      </c>
      <c r="E43" s="20">
        <f t="shared" si="28"/>
        <v>0</v>
      </c>
      <c r="F43" s="20">
        <f t="shared" si="29"/>
        <v>0</v>
      </c>
      <c r="G43" s="20">
        <f t="shared" si="30"/>
        <v>0</v>
      </c>
      <c r="H43" s="20">
        <f t="shared" si="31"/>
        <v>0</v>
      </c>
      <c r="I43" s="20">
        <f t="shared" si="32"/>
        <v>0</v>
      </c>
      <c r="J43" s="20">
        <f t="shared" si="33"/>
        <v>0</v>
      </c>
      <c r="K43" s="20">
        <f t="shared" si="34"/>
        <v>0</v>
      </c>
      <c r="L43" s="20">
        <f t="shared" si="35"/>
        <v>0</v>
      </c>
      <c r="M43" s="20">
        <f t="shared" si="36"/>
        <v>0</v>
      </c>
      <c r="N43" s="20">
        <f t="shared" si="37"/>
        <v>0</v>
      </c>
      <c r="O43" s="92">
        <f t="shared" si="38"/>
        <v>0</v>
      </c>
      <c r="P43" s="118"/>
      <c r="Q43" s="94"/>
      <c r="R43" s="94"/>
      <c r="S43" s="8"/>
      <c r="T43" s="8"/>
      <c r="U43" s="8"/>
      <c r="V43" s="8"/>
      <c r="W43" s="112"/>
      <c r="X43" s="94"/>
      <c r="Y43" s="94"/>
      <c r="Z43" s="8"/>
      <c r="AA43" s="8"/>
      <c r="AB43" s="8"/>
      <c r="AC43" s="112"/>
      <c r="AD43" s="8"/>
      <c r="AE43" s="94"/>
      <c r="AF43" s="94"/>
      <c r="AG43" s="8"/>
      <c r="AH43" s="8"/>
      <c r="AI43" s="8"/>
      <c r="AJ43" s="8"/>
      <c r="AK43" s="8"/>
      <c r="AL43" s="94"/>
      <c r="AM43" s="94"/>
      <c r="AN43" s="112"/>
      <c r="AO43" s="8"/>
      <c r="AP43" s="8"/>
      <c r="AQ43" s="8"/>
      <c r="AR43" s="8"/>
      <c r="AS43" s="94"/>
      <c r="AT43" s="125"/>
    </row>
    <row r="44" spans="1:58" ht="20.100000000000001" customHeight="1" thickBot="1" x14ac:dyDescent="0.3">
      <c r="A44" s="32" t="str">
        <f>IFERROR(IF(config!E36="","",config!E36),"")</f>
        <v>C007317</v>
      </c>
      <c r="B44" s="39" t="str">
        <f>IFERROR(IF(config!F36="","",config!F36),"")</f>
        <v>LARRIEU</v>
      </c>
      <c r="C44" s="69" t="str">
        <f>IFERROR(IF(config!G36="","",config!G36),"")</f>
        <v>Cédric</v>
      </c>
      <c r="D44" s="87">
        <f t="shared" si="27"/>
        <v>0</v>
      </c>
      <c r="E44" s="20">
        <f t="shared" si="28"/>
        <v>0</v>
      </c>
      <c r="F44" s="20">
        <f t="shared" si="29"/>
        <v>0</v>
      </c>
      <c r="G44" s="20">
        <f t="shared" si="30"/>
        <v>0</v>
      </c>
      <c r="H44" s="20">
        <f t="shared" si="31"/>
        <v>0</v>
      </c>
      <c r="I44" s="20">
        <f t="shared" si="32"/>
        <v>0</v>
      </c>
      <c r="J44" s="20">
        <f t="shared" si="33"/>
        <v>0</v>
      </c>
      <c r="K44" s="20">
        <f t="shared" si="34"/>
        <v>0</v>
      </c>
      <c r="L44" s="20">
        <f t="shared" si="35"/>
        <v>0</v>
      </c>
      <c r="M44" s="20">
        <f t="shared" si="36"/>
        <v>0</v>
      </c>
      <c r="N44" s="20">
        <f t="shared" si="37"/>
        <v>0</v>
      </c>
      <c r="O44" s="92">
        <f t="shared" si="38"/>
        <v>0</v>
      </c>
      <c r="P44" s="118"/>
      <c r="Q44" s="94"/>
      <c r="R44" s="94"/>
      <c r="S44" s="8"/>
      <c r="T44" s="8"/>
      <c r="U44" s="8"/>
      <c r="V44" s="8"/>
      <c r="W44" s="112"/>
      <c r="X44" s="94"/>
      <c r="Y44" s="94"/>
      <c r="Z44" s="8"/>
      <c r="AA44" s="8"/>
      <c r="AB44" s="8"/>
      <c r="AC44" s="112"/>
      <c r="AD44" s="8"/>
      <c r="AE44" s="94"/>
      <c r="AF44" s="94"/>
      <c r="AG44" s="8"/>
      <c r="AH44" s="8"/>
      <c r="AI44" s="8"/>
      <c r="AJ44" s="8"/>
      <c r="AK44" s="8"/>
      <c r="AL44" s="94"/>
      <c r="AM44" s="94"/>
      <c r="AN44" s="112"/>
      <c r="AO44" s="8"/>
      <c r="AP44" s="8"/>
      <c r="AQ44" s="8"/>
      <c r="AR44" s="8"/>
      <c r="AS44" s="94"/>
      <c r="AT44" s="125"/>
    </row>
    <row r="45" spans="1:58" ht="20.100000000000001" customHeight="1" thickBot="1" x14ac:dyDescent="0.3">
      <c r="A45" s="32" t="str">
        <f>IFERROR(IF(config!E37="","",config!E37),"")</f>
        <v>C004309</v>
      </c>
      <c r="B45" s="39" t="str">
        <f>IFERROR(IF(config!F37="","",config!F37),"")</f>
        <v>LEVIGNAT</v>
      </c>
      <c r="C45" s="69" t="str">
        <f>IFERROR(IF(config!G37="","",config!G37),"")</f>
        <v>Didier</v>
      </c>
      <c r="D45" s="87">
        <f t="shared" si="27"/>
        <v>0</v>
      </c>
      <c r="E45" s="20">
        <f t="shared" si="28"/>
        <v>0</v>
      </c>
      <c r="F45" s="20">
        <f t="shared" si="29"/>
        <v>0</v>
      </c>
      <c r="G45" s="20">
        <f t="shared" si="30"/>
        <v>0</v>
      </c>
      <c r="H45" s="20">
        <f t="shared" si="31"/>
        <v>0</v>
      </c>
      <c r="I45" s="20">
        <f t="shared" si="32"/>
        <v>0</v>
      </c>
      <c r="J45" s="20">
        <f t="shared" si="33"/>
        <v>0</v>
      </c>
      <c r="K45" s="20">
        <f t="shared" si="34"/>
        <v>0</v>
      </c>
      <c r="L45" s="20">
        <f t="shared" si="35"/>
        <v>0</v>
      </c>
      <c r="M45" s="20">
        <f t="shared" si="36"/>
        <v>0</v>
      </c>
      <c r="N45" s="20">
        <f t="shared" si="37"/>
        <v>0</v>
      </c>
      <c r="O45" s="92">
        <f t="shared" si="38"/>
        <v>0</v>
      </c>
      <c r="P45" s="118"/>
      <c r="Q45" s="94"/>
      <c r="R45" s="94"/>
      <c r="S45" s="8"/>
      <c r="T45" s="8"/>
      <c r="U45" s="8"/>
      <c r="V45" s="8"/>
      <c r="W45" s="112"/>
      <c r="X45" s="94"/>
      <c r="Y45" s="94"/>
      <c r="Z45" s="8"/>
      <c r="AA45" s="8"/>
      <c r="AB45" s="8"/>
      <c r="AC45" s="112"/>
      <c r="AD45" s="8"/>
      <c r="AE45" s="94"/>
      <c r="AF45" s="94"/>
      <c r="AG45" s="8"/>
      <c r="AH45" s="8"/>
      <c r="AI45" s="8"/>
      <c r="AJ45" s="8"/>
      <c r="AK45" s="8"/>
      <c r="AL45" s="94"/>
      <c r="AM45" s="94"/>
      <c r="AN45" s="112"/>
      <c r="AO45" s="8"/>
      <c r="AP45" s="8"/>
      <c r="AQ45" s="8"/>
      <c r="AR45" s="8"/>
      <c r="AS45" s="94"/>
      <c r="AT45" s="125"/>
    </row>
    <row r="46" spans="1:58" ht="20.100000000000001" customHeight="1" thickBot="1" x14ac:dyDescent="0.3">
      <c r="A46" s="32" t="str">
        <f>IFERROR(IF(config!E38="","",config!E38),"")</f>
        <v>C005624</v>
      </c>
      <c r="B46" s="39" t="str">
        <f>IFERROR(IF(config!F38="","",config!F38),"")</f>
        <v>MARTIN-HERNANDEZ</v>
      </c>
      <c r="C46" s="69" t="str">
        <f>IFERROR(IF(config!G38="","",config!G38),"")</f>
        <v>Pierre</v>
      </c>
      <c r="D46" s="87">
        <f t="shared" si="27"/>
        <v>0</v>
      </c>
      <c r="E46" s="20">
        <f t="shared" si="28"/>
        <v>0</v>
      </c>
      <c r="F46" s="20">
        <f t="shared" si="29"/>
        <v>0</v>
      </c>
      <c r="G46" s="20">
        <f t="shared" si="30"/>
        <v>0</v>
      </c>
      <c r="H46" s="20">
        <f t="shared" si="31"/>
        <v>0</v>
      </c>
      <c r="I46" s="20">
        <f t="shared" si="32"/>
        <v>0</v>
      </c>
      <c r="J46" s="20">
        <f t="shared" si="33"/>
        <v>0</v>
      </c>
      <c r="K46" s="20">
        <f t="shared" si="34"/>
        <v>0</v>
      </c>
      <c r="L46" s="20">
        <f t="shared" si="35"/>
        <v>0</v>
      </c>
      <c r="M46" s="20">
        <f t="shared" si="36"/>
        <v>0</v>
      </c>
      <c r="N46" s="20">
        <f t="shared" si="37"/>
        <v>0</v>
      </c>
      <c r="O46" s="92">
        <f t="shared" si="38"/>
        <v>0</v>
      </c>
      <c r="P46" s="118"/>
      <c r="Q46" s="94"/>
      <c r="R46" s="94"/>
      <c r="S46" s="8"/>
      <c r="T46" s="8"/>
      <c r="U46" s="8"/>
      <c r="V46" s="8"/>
      <c r="W46" s="112"/>
      <c r="X46" s="94"/>
      <c r="Y46" s="94"/>
      <c r="Z46" s="8"/>
      <c r="AA46" s="8"/>
      <c r="AB46" s="8"/>
      <c r="AC46" s="112"/>
      <c r="AD46" s="8"/>
      <c r="AE46" s="94"/>
      <c r="AF46" s="94"/>
      <c r="AG46" s="8"/>
      <c r="AH46" s="8"/>
      <c r="AI46" s="8"/>
      <c r="AJ46" s="8"/>
      <c r="AK46" s="8"/>
      <c r="AL46" s="94"/>
      <c r="AM46" s="94"/>
      <c r="AN46" s="112"/>
      <c r="AO46" s="8"/>
      <c r="AP46" s="8"/>
      <c r="AQ46" s="8"/>
      <c r="AR46" s="8"/>
      <c r="AS46" s="94"/>
      <c r="AT46" s="125"/>
    </row>
    <row r="47" spans="1:58" ht="20.100000000000001" customHeight="1" thickBot="1" x14ac:dyDescent="0.3">
      <c r="A47" s="32" t="str">
        <f>IFERROR(IF(config!E39="","",config!E39),"")</f>
        <v>C007758</v>
      </c>
      <c r="B47" s="39" t="str">
        <f>IFERROR(IF(config!F39="","",config!F39),"")</f>
        <v>PIERRE</v>
      </c>
      <c r="C47" s="69" t="str">
        <f>IFERROR(IF(config!G39="","",config!G39),"")</f>
        <v>Frantzy</v>
      </c>
      <c r="D47" s="87">
        <f t="shared" si="27"/>
        <v>0</v>
      </c>
      <c r="E47" s="20">
        <f t="shared" si="28"/>
        <v>0</v>
      </c>
      <c r="F47" s="20">
        <f t="shared" si="29"/>
        <v>0</v>
      </c>
      <c r="G47" s="20">
        <f t="shared" si="30"/>
        <v>0</v>
      </c>
      <c r="H47" s="20">
        <f t="shared" si="31"/>
        <v>0</v>
      </c>
      <c r="I47" s="20">
        <f t="shared" si="32"/>
        <v>0</v>
      </c>
      <c r="J47" s="20">
        <f t="shared" si="33"/>
        <v>0</v>
      </c>
      <c r="K47" s="20">
        <f t="shared" si="34"/>
        <v>0</v>
      </c>
      <c r="L47" s="20">
        <f t="shared" si="35"/>
        <v>0</v>
      </c>
      <c r="M47" s="20">
        <f t="shared" si="36"/>
        <v>0</v>
      </c>
      <c r="N47" s="20">
        <f t="shared" si="37"/>
        <v>0</v>
      </c>
      <c r="O47" s="92">
        <f t="shared" si="38"/>
        <v>0</v>
      </c>
      <c r="P47" s="118"/>
      <c r="Q47" s="94"/>
      <c r="R47" s="94"/>
      <c r="S47" s="8"/>
      <c r="T47" s="8"/>
      <c r="U47" s="8"/>
      <c r="V47" s="8"/>
      <c r="W47" s="112"/>
      <c r="X47" s="94"/>
      <c r="Y47" s="94"/>
      <c r="Z47" s="8"/>
      <c r="AA47" s="8"/>
      <c r="AB47" s="8"/>
      <c r="AC47" s="112"/>
      <c r="AD47" s="8"/>
      <c r="AE47" s="94"/>
      <c r="AF47" s="94"/>
      <c r="AG47" s="8"/>
      <c r="AH47" s="8"/>
      <c r="AI47" s="8"/>
      <c r="AJ47" s="8"/>
      <c r="AK47" s="8"/>
      <c r="AL47" s="94"/>
      <c r="AM47" s="94"/>
      <c r="AN47" s="112"/>
      <c r="AO47" s="8"/>
      <c r="AP47" s="8"/>
      <c r="AQ47" s="8"/>
      <c r="AR47" s="8"/>
      <c r="AS47" s="94"/>
      <c r="AT47" s="125"/>
    </row>
    <row r="48" spans="1:58" ht="20.100000000000001" customHeight="1" thickBot="1" x14ac:dyDescent="0.3">
      <c r="A48" s="32" t="str">
        <f>IFERROR(IF(config!E40="","",config!E40),"")</f>
        <v>C004609</v>
      </c>
      <c r="B48" s="39" t="str">
        <f>IFERROR(IF(config!F40="","",config!F40),"")</f>
        <v>SOLA</v>
      </c>
      <c r="C48" s="69" t="str">
        <f>IFERROR(IF(config!G40="","",config!G40),"")</f>
        <v>Xavier</v>
      </c>
      <c r="D48" s="87">
        <f t="shared" si="27"/>
        <v>0</v>
      </c>
      <c r="E48" s="20">
        <f t="shared" si="28"/>
        <v>0</v>
      </c>
      <c r="F48" s="20">
        <f t="shared" si="29"/>
        <v>0</v>
      </c>
      <c r="G48" s="20">
        <f t="shared" si="30"/>
        <v>0</v>
      </c>
      <c r="H48" s="20">
        <f t="shared" si="31"/>
        <v>0</v>
      </c>
      <c r="I48" s="20">
        <f t="shared" si="32"/>
        <v>0</v>
      </c>
      <c r="J48" s="20">
        <f t="shared" si="33"/>
        <v>0</v>
      </c>
      <c r="K48" s="20">
        <f t="shared" si="34"/>
        <v>0</v>
      </c>
      <c r="L48" s="20">
        <f t="shared" si="35"/>
        <v>0</v>
      </c>
      <c r="M48" s="20">
        <f t="shared" si="36"/>
        <v>0</v>
      </c>
      <c r="N48" s="20">
        <f t="shared" si="37"/>
        <v>0</v>
      </c>
      <c r="O48" s="92">
        <f t="shared" si="38"/>
        <v>0</v>
      </c>
      <c r="P48" s="118"/>
      <c r="Q48" s="94"/>
      <c r="R48" s="94"/>
      <c r="S48" s="8"/>
      <c r="T48" s="8"/>
      <c r="U48" s="8"/>
      <c r="V48" s="8"/>
      <c r="W48" s="112"/>
      <c r="X48" s="94"/>
      <c r="Y48" s="94"/>
      <c r="Z48" s="8"/>
      <c r="AA48" s="8"/>
      <c r="AB48" s="8"/>
      <c r="AC48" s="112"/>
      <c r="AD48" s="8"/>
      <c r="AE48" s="94"/>
      <c r="AF48" s="94"/>
      <c r="AG48" s="8"/>
      <c r="AH48" s="8"/>
      <c r="AI48" s="8"/>
      <c r="AJ48" s="8"/>
      <c r="AK48" s="8"/>
      <c r="AL48" s="94"/>
      <c r="AM48" s="94"/>
      <c r="AN48" s="112"/>
      <c r="AO48" s="8"/>
      <c r="AP48" s="8"/>
      <c r="AQ48" s="8"/>
      <c r="AR48" s="8"/>
      <c r="AS48" s="94"/>
      <c r="AT48" s="125"/>
    </row>
    <row r="49" spans="1:58" ht="20.100000000000001" customHeight="1" thickBot="1" x14ac:dyDescent="0.3">
      <c r="A49" s="32" t="str">
        <f>IFERROR(IF(config!E41="","",config!E41),"")</f>
        <v>T029734</v>
      </c>
      <c r="B49" s="39" t="str">
        <f>IFERROR(IF(config!F41="","",config!F41),"")</f>
        <v>WEISS</v>
      </c>
      <c r="C49" s="69" t="str">
        <f>IFERROR(IF(config!G41="","",config!G41),"")</f>
        <v>Miguel</v>
      </c>
      <c r="D49" s="87">
        <f t="shared" si="27"/>
        <v>0</v>
      </c>
      <c r="E49" s="20">
        <f t="shared" si="28"/>
        <v>0</v>
      </c>
      <c r="F49" s="20">
        <f t="shared" si="29"/>
        <v>0</v>
      </c>
      <c r="G49" s="20">
        <f t="shared" si="30"/>
        <v>0</v>
      </c>
      <c r="H49" s="20">
        <f t="shared" si="31"/>
        <v>0</v>
      </c>
      <c r="I49" s="20">
        <f t="shared" si="32"/>
        <v>0</v>
      </c>
      <c r="J49" s="20">
        <f t="shared" si="33"/>
        <v>0</v>
      </c>
      <c r="K49" s="20">
        <f t="shared" si="34"/>
        <v>0</v>
      </c>
      <c r="L49" s="20">
        <f t="shared" si="35"/>
        <v>0</v>
      </c>
      <c r="M49" s="20">
        <f t="shared" si="36"/>
        <v>0</v>
      </c>
      <c r="N49" s="20">
        <f t="shared" si="37"/>
        <v>0</v>
      </c>
      <c r="O49" s="92">
        <f t="shared" si="38"/>
        <v>0</v>
      </c>
      <c r="P49" s="118"/>
      <c r="Q49" s="94"/>
      <c r="R49" s="94"/>
      <c r="S49" s="8"/>
      <c r="T49" s="8"/>
      <c r="U49" s="8"/>
      <c r="V49" s="8"/>
      <c r="W49" s="112"/>
      <c r="X49" s="94"/>
      <c r="Y49" s="94"/>
      <c r="Z49" s="8"/>
      <c r="AA49" s="8"/>
      <c r="AB49" s="8"/>
      <c r="AC49" s="112"/>
      <c r="AD49" s="8"/>
      <c r="AE49" s="94"/>
      <c r="AF49" s="94"/>
      <c r="AG49" s="8"/>
      <c r="AH49" s="8"/>
      <c r="AI49" s="8"/>
      <c r="AJ49" s="8"/>
      <c r="AK49" s="8"/>
      <c r="AL49" s="94"/>
      <c r="AM49" s="94"/>
      <c r="AN49" s="112"/>
      <c r="AO49" s="8"/>
      <c r="AP49" s="8"/>
      <c r="AQ49" s="8"/>
      <c r="AR49" s="8"/>
      <c r="AS49" s="94"/>
      <c r="AT49" s="125"/>
    </row>
    <row r="50" spans="1:58" ht="20.100000000000001" customHeight="1" thickBot="1" x14ac:dyDescent="0.3">
      <c r="A50" s="52" t="str">
        <f>IFERROR(IF(config!E42="","",config!E42),"")</f>
        <v/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4"/>
      <c r="AT50" s="143"/>
      <c r="AV50" s="290" t="s">
        <v>219</v>
      </c>
      <c r="AW50" s="291"/>
      <c r="AX50" s="291"/>
      <c r="AY50" s="291"/>
      <c r="AZ50" s="291"/>
      <c r="BA50" s="291"/>
      <c r="BB50" s="291"/>
      <c r="BC50" s="291"/>
      <c r="BD50" s="291"/>
      <c r="BE50" s="291"/>
      <c r="BF50" s="292"/>
    </row>
    <row r="51" spans="1:58" ht="20.100000000000001" customHeight="1" thickBot="1" x14ac:dyDescent="0.3">
      <c r="A51" s="139" t="str">
        <f>IFERROR(IF(config!E43="","",config!E43),"")</f>
        <v>AGENTS ESPACES VERTS</v>
      </c>
      <c r="B51" s="139" t="str">
        <f>IFERROR(IF(config!F43="","",config!F43),"")</f>
        <v/>
      </c>
      <c r="C51" s="102" t="str">
        <f>IFERROR(IF(config!G43="","",config!G43),"")</f>
        <v/>
      </c>
      <c r="D51" s="87">
        <f t="shared" ref="D51:D62" si="39">COUNTIF(P51:AS51,"p")</f>
        <v>0</v>
      </c>
      <c r="E51" s="20">
        <f t="shared" ref="E51:E62" si="40">COUNTIF(P51:AS51,"PC")</f>
        <v>0</v>
      </c>
      <c r="F51" s="20">
        <f t="shared" ref="F51:F62" si="41">COUNTIF(P51:AS51,"f")</f>
        <v>0</v>
      </c>
      <c r="G51" s="20">
        <f t="shared" ref="G51:G62" si="42">COUNTIF(P51:AS51,"ast")</f>
        <v>0</v>
      </c>
      <c r="H51" s="20">
        <f t="shared" ref="H51:H62" si="43">COUNTIF(P51:AS51,"cA")</f>
        <v>0</v>
      </c>
      <c r="I51" s="20">
        <f t="shared" ref="I51:I62" si="44">COUNTIF(P51:AS51,"rtt")</f>
        <v>0</v>
      </c>
      <c r="J51" s="20">
        <f t="shared" ref="J51:J62" si="45">COUNTIF(P51:AS51,"cex")</f>
        <v>0</v>
      </c>
      <c r="K51" s="20">
        <f t="shared" ref="K51:K62" si="46">COUNTIF(P51:AS51,"res")</f>
        <v>0</v>
      </c>
      <c r="L51" s="20">
        <f t="shared" ref="L51:L62" si="47">COUNTIF(P51:AS51,"mA")</f>
        <v>0</v>
      </c>
      <c r="M51" s="20">
        <f t="shared" ref="M51:M62" si="48">COUNTIF(P51:AS51,"at")</f>
        <v>0</v>
      </c>
      <c r="N51" s="20">
        <f t="shared" ref="N51:N62" si="49">COUNTIF(P51:AS51,"TAD")</f>
        <v>0</v>
      </c>
      <c r="O51" s="92">
        <f t="shared" ref="O51:O62" si="50">COUNTIF(P51:AS51,"TP")</f>
        <v>0</v>
      </c>
      <c r="P51" s="117"/>
      <c r="Q51" s="86"/>
      <c r="R51" s="86"/>
      <c r="S51" s="20"/>
      <c r="T51" s="20"/>
      <c r="U51" s="20"/>
      <c r="V51" s="20"/>
      <c r="W51" s="111"/>
      <c r="X51" s="198"/>
      <c r="Y51" s="198"/>
      <c r="Z51" s="20"/>
      <c r="AA51" s="20"/>
      <c r="AB51" s="20"/>
      <c r="AC51" s="111"/>
      <c r="AD51" s="123"/>
      <c r="AE51" s="198"/>
      <c r="AF51" s="198"/>
      <c r="AG51" s="20"/>
      <c r="AH51" s="20"/>
      <c r="AI51" s="20"/>
      <c r="AJ51" s="20"/>
      <c r="AK51" s="20"/>
      <c r="AL51" s="86"/>
      <c r="AM51" s="86"/>
      <c r="AN51" s="111"/>
      <c r="AO51" s="20"/>
      <c r="AP51" s="20"/>
      <c r="AQ51" s="20"/>
      <c r="AR51" s="20"/>
      <c r="AS51" s="86"/>
      <c r="AT51" s="124"/>
      <c r="AV51" s="15" t="s">
        <v>194</v>
      </c>
      <c r="AW51" s="78" t="s">
        <v>195</v>
      </c>
      <c r="AX51" s="12" t="s">
        <v>196</v>
      </c>
      <c r="AY51" s="79" t="s">
        <v>197</v>
      </c>
      <c r="AZ51" s="10" t="s">
        <v>198</v>
      </c>
      <c r="BA51" s="80" t="s">
        <v>199</v>
      </c>
      <c r="BB51" s="11" t="s">
        <v>200</v>
      </c>
      <c r="BC51" s="81" t="s">
        <v>201</v>
      </c>
      <c r="BD51" s="82" t="s">
        <v>202</v>
      </c>
      <c r="BE51" s="83" t="s">
        <v>203</v>
      </c>
      <c r="BF51" s="16" t="s">
        <v>205</v>
      </c>
    </row>
    <row r="52" spans="1:58" s="37" customFormat="1" ht="20.100000000000001" customHeight="1" thickBot="1" x14ac:dyDescent="0.3">
      <c r="A52" s="139" t="str">
        <f>IFERROR(IF(config!E44="","",config!E44),"")</f>
        <v>N018514</v>
      </c>
      <c r="B52" s="139" t="str">
        <f>IFERROR(IF(config!F44="","",config!F44),"")</f>
        <v>DELANDE</v>
      </c>
      <c r="C52" s="102" t="str">
        <f>IFERROR(IF(config!G44="","",config!G44),"")</f>
        <v>Romain</v>
      </c>
      <c r="D52" s="87">
        <f t="shared" si="39"/>
        <v>0</v>
      </c>
      <c r="E52" s="20">
        <f t="shared" si="40"/>
        <v>0</v>
      </c>
      <c r="F52" s="20">
        <f t="shared" si="41"/>
        <v>0</v>
      </c>
      <c r="G52" s="20">
        <f t="shared" si="42"/>
        <v>0</v>
      </c>
      <c r="H52" s="20">
        <f t="shared" si="43"/>
        <v>0</v>
      </c>
      <c r="I52" s="20">
        <f t="shared" si="44"/>
        <v>0</v>
      </c>
      <c r="J52" s="20">
        <f t="shared" si="45"/>
        <v>0</v>
      </c>
      <c r="K52" s="20">
        <f t="shared" si="46"/>
        <v>0</v>
      </c>
      <c r="L52" s="20">
        <f t="shared" si="47"/>
        <v>0</v>
      </c>
      <c r="M52" s="20">
        <f t="shared" si="48"/>
        <v>0</v>
      </c>
      <c r="N52" s="20">
        <f t="shared" si="49"/>
        <v>0</v>
      </c>
      <c r="O52" s="92">
        <f t="shared" si="50"/>
        <v>0</v>
      </c>
      <c r="P52" s="118"/>
      <c r="Q52" s="94"/>
      <c r="R52" s="94"/>
      <c r="S52" s="8"/>
      <c r="T52" s="8"/>
      <c r="U52" s="8"/>
      <c r="V52" s="8"/>
      <c r="W52" s="112"/>
      <c r="X52" s="94"/>
      <c r="Y52" s="94"/>
      <c r="Z52" s="8"/>
      <c r="AA52" s="8"/>
      <c r="AB52" s="8"/>
      <c r="AC52" s="112"/>
      <c r="AD52" s="8"/>
      <c r="AE52" s="94"/>
      <c r="AF52" s="94"/>
      <c r="AG52" s="8"/>
      <c r="AH52" s="8"/>
      <c r="AI52" s="8"/>
      <c r="AJ52" s="8"/>
      <c r="AK52" s="8"/>
      <c r="AL52" s="94"/>
      <c r="AM52" s="94"/>
      <c r="AN52" s="112"/>
      <c r="AO52" s="8"/>
      <c r="AP52" s="8"/>
      <c r="AQ52" s="8"/>
      <c r="AR52" s="8"/>
      <c r="AS52" s="94"/>
      <c r="AT52" s="125"/>
      <c r="AV52" s="19">
        <f>COUNTIF(P51:AS62,"P")</f>
        <v>0</v>
      </c>
      <c r="AW52" s="19">
        <f>COUNTIF(P51:AS62,"PC")</f>
        <v>0</v>
      </c>
      <c r="AX52" s="19">
        <f>COUNTIF(P51:AS62,"F")</f>
        <v>0</v>
      </c>
      <c r="AY52" s="19">
        <f>COUNTIF(P51:AS62,"AST")</f>
        <v>0</v>
      </c>
      <c r="AZ52" s="19">
        <f>COUNTIF(P51:AS62,"CA")</f>
        <v>0</v>
      </c>
      <c r="BA52" s="19">
        <f>COUNTIF(P51:AS62,"RTT")</f>
        <v>0</v>
      </c>
      <c r="BB52" s="19">
        <f>COUNTIF(P51:AS62,"CEX")</f>
        <v>0</v>
      </c>
      <c r="BC52" s="19">
        <f>COUNTIF(P51:AS62,"RES")</f>
        <v>0</v>
      </c>
      <c r="BD52" s="19">
        <f>COUNTIF(P51:AS62,"MA")</f>
        <v>0</v>
      </c>
      <c r="BE52" s="19">
        <f>COUNTIF(P51:AS62,"AT")</f>
        <v>0</v>
      </c>
      <c r="BF52" s="19">
        <f>COUNTIF(P51:AS62,"TP")</f>
        <v>0</v>
      </c>
    </row>
    <row r="53" spans="1:58" ht="20.100000000000001" customHeight="1" thickBot="1" x14ac:dyDescent="0.3">
      <c r="A53" s="139" t="str">
        <f>IFERROR(IF(config!E45="","",config!E45),"")</f>
        <v>T029231</v>
      </c>
      <c r="B53" s="139" t="str">
        <f>IFERROR(IF(config!F45="","",config!F45),"")</f>
        <v>DA SILVA REIS</v>
      </c>
      <c r="C53" s="102" t="str">
        <f>IFERROR(IF(config!G45="","",config!G45),"")</f>
        <v>Alexandra</v>
      </c>
      <c r="D53" s="87">
        <f t="shared" si="39"/>
        <v>0</v>
      </c>
      <c r="E53" s="20">
        <f t="shared" si="40"/>
        <v>0</v>
      </c>
      <c r="F53" s="20">
        <f t="shared" si="41"/>
        <v>0</v>
      </c>
      <c r="G53" s="20">
        <f t="shared" si="42"/>
        <v>0</v>
      </c>
      <c r="H53" s="20">
        <f t="shared" si="43"/>
        <v>0</v>
      </c>
      <c r="I53" s="20">
        <f t="shared" si="44"/>
        <v>0</v>
      </c>
      <c r="J53" s="20">
        <f t="shared" si="45"/>
        <v>0</v>
      </c>
      <c r="K53" s="20">
        <f t="shared" si="46"/>
        <v>0</v>
      </c>
      <c r="L53" s="20">
        <f t="shared" si="47"/>
        <v>0</v>
      </c>
      <c r="M53" s="20">
        <f t="shared" si="48"/>
        <v>0</v>
      </c>
      <c r="N53" s="20">
        <f t="shared" si="49"/>
        <v>0</v>
      </c>
      <c r="O53" s="92">
        <f t="shared" si="50"/>
        <v>0</v>
      </c>
      <c r="P53" s="118"/>
      <c r="Q53" s="94"/>
      <c r="R53" s="94"/>
      <c r="S53" s="8"/>
      <c r="T53" s="8"/>
      <c r="U53" s="8"/>
      <c r="V53" s="8"/>
      <c r="W53" s="112"/>
      <c r="X53" s="94"/>
      <c r="Y53" s="94"/>
      <c r="Z53" s="8"/>
      <c r="AA53" s="8"/>
      <c r="AB53" s="8"/>
      <c r="AC53" s="112"/>
      <c r="AD53" s="8"/>
      <c r="AE53" s="94"/>
      <c r="AF53" s="94"/>
      <c r="AG53" s="8"/>
      <c r="AH53" s="8"/>
      <c r="AI53" s="8"/>
      <c r="AJ53" s="8"/>
      <c r="AK53" s="8"/>
      <c r="AL53" s="94"/>
      <c r="AM53" s="94"/>
      <c r="AN53" s="112"/>
      <c r="AO53" s="8"/>
      <c r="AP53" s="8"/>
      <c r="AQ53" s="8"/>
      <c r="AR53" s="8"/>
      <c r="AS53" s="94"/>
      <c r="AT53" s="125"/>
    </row>
    <row r="54" spans="1:58" ht="20.100000000000001" customHeight="1" thickBot="1" x14ac:dyDescent="0.3">
      <c r="A54" s="139" t="str">
        <f>IFERROR(IF(config!E46="","",config!E46),"")</f>
        <v>N011181</v>
      </c>
      <c r="B54" s="139" t="str">
        <f>IFERROR(IF(config!F46="","",config!F46),"")</f>
        <v>ELMAGROUD</v>
      </c>
      <c r="C54" s="102" t="str">
        <f>IFERROR(IF(config!G46="","",config!G46),"")</f>
        <v>Sofiane</v>
      </c>
      <c r="D54" s="87">
        <f t="shared" si="39"/>
        <v>0</v>
      </c>
      <c r="E54" s="20">
        <f t="shared" si="40"/>
        <v>0</v>
      </c>
      <c r="F54" s="20">
        <f t="shared" si="41"/>
        <v>0</v>
      </c>
      <c r="G54" s="20">
        <f t="shared" si="42"/>
        <v>0</v>
      </c>
      <c r="H54" s="20">
        <f t="shared" si="43"/>
        <v>0</v>
      </c>
      <c r="I54" s="20">
        <f t="shared" si="44"/>
        <v>0</v>
      </c>
      <c r="J54" s="20">
        <f t="shared" si="45"/>
        <v>0</v>
      </c>
      <c r="K54" s="20">
        <f t="shared" si="46"/>
        <v>0</v>
      </c>
      <c r="L54" s="20">
        <f t="shared" si="47"/>
        <v>0</v>
      </c>
      <c r="M54" s="20">
        <f t="shared" si="48"/>
        <v>0</v>
      </c>
      <c r="N54" s="20">
        <f t="shared" si="49"/>
        <v>0</v>
      </c>
      <c r="O54" s="92">
        <f t="shared" si="50"/>
        <v>0</v>
      </c>
      <c r="P54" s="118"/>
      <c r="Q54" s="94"/>
      <c r="R54" s="94"/>
      <c r="S54" s="8"/>
      <c r="T54" s="8"/>
      <c r="U54" s="8"/>
      <c r="V54" s="8"/>
      <c r="W54" s="112"/>
      <c r="X54" s="94"/>
      <c r="Y54" s="94"/>
      <c r="Z54" s="8"/>
      <c r="AA54" s="8"/>
      <c r="AB54" s="8"/>
      <c r="AC54" s="112"/>
      <c r="AD54" s="8"/>
      <c r="AE54" s="94"/>
      <c r="AF54" s="94"/>
      <c r="AG54" s="8"/>
      <c r="AH54" s="8"/>
      <c r="AI54" s="8"/>
      <c r="AJ54" s="8"/>
      <c r="AK54" s="8"/>
      <c r="AL54" s="94"/>
      <c r="AM54" s="94"/>
      <c r="AN54" s="112"/>
      <c r="AO54" s="8"/>
      <c r="AP54" s="8"/>
      <c r="AQ54" s="8"/>
      <c r="AR54" s="8"/>
      <c r="AS54" s="94"/>
      <c r="AT54" s="125"/>
    </row>
    <row r="55" spans="1:58" ht="20.100000000000001" customHeight="1" thickBot="1" x14ac:dyDescent="0.3">
      <c r="A55" s="139" t="str">
        <f>IFERROR(IF(config!E47="","",config!E47),"")</f>
        <v>C004163</v>
      </c>
      <c r="B55" s="139" t="str">
        <f>IFERROR(IF(config!F47="","",config!F47),"")</f>
        <v>ESTEVE</v>
      </c>
      <c r="C55" s="102" t="str">
        <f>IFERROR(IF(config!G47="","",config!G47),"")</f>
        <v>Thierry</v>
      </c>
      <c r="D55" s="87">
        <f t="shared" si="39"/>
        <v>0</v>
      </c>
      <c r="E55" s="20">
        <f t="shared" si="40"/>
        <v>0</v>
      </c>
      <c r="F55" s="20">
        <f t="shared" si="41"/>
        <v>0</v>
      </c>
      <c r="G55" s="20">
        <f t="shared" si="42"/>
        <v>0</v>
      </c>
      <c r="H55" s="20">
        <f t="shared" si="43"/>
        <v>0</v>
      </c>
      <c r="I55" s="20">
        <f t="shared" si="44"/>
        <v>0</v>
      </c>
      <c r="J55" s="20">
        <f t="shared" si="45"/>
        <v>0</v>
      </c>
      <c r="K55" s="20">
        <f t="shared" si="46"/>
        <v>0</v>
      </c>
      <c r="L55" s="20">
        <f t="shared" si="47"/>
        <v>0</v>
      </c>
      <c r="M55" s="20">
        <f t="shared" si="48"/>
        <v>0</v>
      </c>
      <c r="N55" s="20">
        <f t="shared" si="49"/>
        <v>0</v>
      </c>
      <c r="O55" s="92">
        <f t="shared" si="50"/>
        <v>0</v>
      </c>
      <c r="P55" s="118"/>
      <c r="Q55" s="94"/>
      <c r="R55" s="94"/>
      <c r="S55" s="8"/>
      <c r="T55" s="8"/>
      <c r="U55" s="8"/>
      <c r="V55" s="8"/>
      <c r="W55" s="112"/>
      <c r="X55" s="94"/>
      <c r="Y55" s="94"/>
      <c r="Z55" s="8"/>
      <c r="AA55" s="8"/>
      <c r="AB55" s="8"/>
      <c r="AC55" s="112"/>
      <c r="AD55" s="8"/>
      <c r="AE55" s="94"/>
      <c r="AF55" s="94"/>
      <c r="AG55" s="8"/>
      <c r="AH55" s="8"/>
      <c r="AI55" s="8"/>
      <c r="AJ55" s="8"/>
      <c r="AK55" s="8"/>
      <c r="AL55" s="94"/>
      <c r="AM55" s="94"/>
      <c r="AN55" s="112"/>
      <c r="AO55" s="8"/>
      <c r="AP55" s="8"/>
      <c r="AQ55" s="8"/>
      <c r="AR55" s="8"/>
      <c r="AS55" s="94"/>
      <c r="AT55" s="125"/>
    </row>
    <row r="56" spans="1:58" ht="20.100000000000001" customHeight="1" thickBot="1" x14ac:dyDescent="0.3">
      <c r="A56" s="139" t="str">
        <f>IFERROR(IF(config!E48="","",config!E48),"")</f>
        <v>C006428</v>
      </c>
      <c r="B56" s="139" t="str">
        <f>IFERROR(IF(config!F48="","",config!F48),"")</f>
        <v>KADRI</v>
      </c>
      <c r="C56" s="102" t="str">
        <f>IFERROR(IF(config!G48="","",config!G48),"")</f>
        <v>Houssine</v>
      </c>
      <c r="D56" s="87">
        <f t="shared" si="39"/>
        <v>0</v>
      </c>
      <c r="E56" s="20">
        <f t="shared" si="40"/>
        <v>0</v>
      </c>
      <c r="F56" s="20">
        <f t="shared" si="41"/>
        <v>0</v>
      </c>
      <c r="G56" s="20">
        <f t="shared" si="42"/>
        <v>0</v>
      </c>
      <c r="H56" s="20">
        <f t="shared" si="43"/>
        <v>0</v>
      </c>
      <c r="I56" s="20">
        <f t="shared" si="44"/>
        <v>0</v>
      </c>
      <c r="J56" s="20">
        <f t="shared" si="45"/>
        <v>0</v>
      </c>
      <c r="K56" s="20">
        <f t="shared" si="46"/>
        <v>0</v>
      </c>
      <c r="L56" s="20">
        <f t="shared" si="47"/>
        <v>0</v>
      </c>
      <c r="M56" s="20">
        <f t="shared" si="48"/>
        <v>0</v>
      </c>
      <c r="N56" s="20">
        <f t="shared" si="49"/>
        <v>0</v>
      </c>
      <c r="O56" s="92">
        <f t="shared" si="50"/>
        <v>0</v>
      </c>
      <c r="P56" s="118"/>
      <c r="Q56" s="94"/>
      <c r="R56" s="94"/>
      <c r="S56" s="8"/>
      <c r="T56" s="8"/>
      <c r="U56" s="8"/>
      <c r="V56" s="8"/>
      <c r="W56" s="112"/>
      <c r="X56" s="94"/>
      <c r="Y56" s="94"/>
      <c r="Z56" s="8"/>
      <c r="AA56" s="8"/>
      <c r="AB56" s="8"/>
      <c r="AC56" s="112"/>
      <c r="AD56" s="8"/>
      <c r="AE56" s="94"/>
      <c r="AF56" s="94"/>
      <c r="AG56" s="8"/>
      <c r="AH56" s="8"/>
      <c r="AI56" s="8"/>
      <c r="AJ56" s="8"/>
      <c r="AK56" s="8"/>
      <c r="AL56" s="94"/>
      <c r="AM56" s="94"/>
      <c r="AN56" s="112"/>
      <c r="AO56" s="8"/>
      <c r="AP56" s="8"/>
      <c r="AQ56" s="8"/>
      <c r="AR56" s="8"/>
      <c r="AS56" s="94"/>
      <c r="AT56" s="125"/>
    </row>
    <row r="57" spans="1:58" s="37" customFormat="1" ht="20.100000000000001" customHeight="1" thickBot="1" x14ac:dyDescent="0.3">
      <c r="A57" s="139" t="str">
        <f>IFERROR(IF(config!E49="","",config!E49),"")</f>
        <v>N023455</v>
      </c>
      <c r="B57" s="139" t="str">
        <f>IFERROR(IF(config!F49="","",config!F49),"")</f>
        <v>MALLET</v>
      </c>
      <c r="C57" s="102" t="str">
        <f>IFERROR(IF(config!G49="","",config!G49),"")</f>
        <v>Ludovic</v>
      </c>
      <c r="D57" s="87">
        <f t="shared" si="39"/>
        <v>0</v>
      </c>
      <c r="E57" s="20">
        <f t="shared" si="40"/>
        <v>0</v>
      </c>
      <c r="F57" s="20">
        <f t="shared" si="41"/>
        <v>0</v>
      </c>
      <c r="G57" s="20">
        <f t="shared" si="42"/>
        <v>0</v>
      </c>
      <c r="H57" s="20">
        <f t="shared" si="43"/>
        <v>0</v>
      </c>
      <c r="I57" s="20">
        <f t="shared" si="44"/>
        <v>0</v>
      </c>
      <c r="J57" s="20">
        <f t="shared" si="45"/>
        <v>0</v>
      </c>
      <c r="K57" s="20">
        <f t="shared" si="46"/>
        <v>0</v>
      </c>
      <c r="L57" s="20">
        <f t="shared" si="47"/>
        <v>0</v>
      </c>
      <c r="M57" s="20">
        <f t="shared" si="48"/>
        <v>0</v>
      </c>
      <c r="N57" s="20">
        <f t="shared" si="49"/>
        <v>0</v>
      </c>
      <c r="O57" s="92">
        <f t="shared" si="50"/>
        <v>0</v>
      </c>
      <c r="P57" s="118"/>
      <c r="Q57" s="94"/>
      <c r="R57" s="94"/>
      <c r="S57" s="8"/>
      <c r="T57" s="8"/>
      <c r="U57" s="8"/>
      <c r="V57" s="8"/>
      <c r="W57" s="112"/>
      <c r="X57" s="94"/>
      <c r="Y57" s="94"/>
      <c r="Z57" s="8"/>
      <c r="AA57" s="8"/>
      <c r="AB57" s="8"/>
      <c r="AC57" s="112"/>
      <c r="AD57" s="8"/>
      <c r="AE57" s="94"/>
      <c r="AF57" s="94"/>
      <c r="AG57" s="8"/>
      <c r="AH57" s="8"/>
      <c r="AI57" s="8"/>
      <c r="AJ57" s="8"/>
      <c r="AK57" s="8"/>
      <c r="AL57" s="94"/>
      <c r="AM57" s="94"/>
      <c r="AN57" s="112"/>
      <c r="AO57" s="8"/>
      <c r="AP57" s="8"/>
      <c r="AQ57" s="8"/>
      <c r="AR57" s="8"/>
      <c r="AS57" s="94"/>
      <c r="AT57" s="125"/>
    </row>
    <row r="58" spans="1:58" ht="20.100000000000001" customHeight="1" thickBot="1" x14ac:dyDescent="0.3">
      <c r="A58" s="139" t="str">
        <f>IFERROR(IF(config!E50="","",config!E50),"")</f>
        <v>C007461</v>
      </c>
      <c r="B58" s="139" t="str">
        <f>IFERROR(IF(config!F50="","",config!F50),"")</f>
        <v>MAURY</v>
      </c>
      <c r="C58" s="102" t="str">
        <f>IFERROR(IF(config!G50="","",config!G50),"")</f>
        <v>Xavier</v>
      </c>
      <c r="D58" s="87">
        <f t="shared" si="39"/>
        <v>0</v>
      </c>
      <c r="E58" s="20">
        <f t="shared" si="40"/>
        <v>0</v>
      </c>
      <c r="F58" s="20">
        <f t="shared" si="41"/>
        <v>0</v>
      </c>
      <c r="G58" s="20">
        <f t="shared" si="42"/>
        <v>0</v>
      </c>
      <c r="H58" s="20">
        <f t="shared" si="43"/>
        <v>0</v>
      </c>
      <c r="I58" s="20">
        <f t="shared" si="44"/>
        <v>0</v>
      </c>
      <c r="J58" s="20">
        <f t="shared" si="45"/>
        <v>0</v>
      </c>
      <c r="K58" s="20">
        <f t="shared" si="46"/>
        <v>0</v>
      </c>
      <c r="L58" s="20">
        <f t="shared" si="47"/>
        <v>0</v>
      </c>
      <c r="M58" s="20">
        <f t="shared" si="48"/>
        <v>0</v>
      </c>
      <c r="N58" s="20">
        <f t="shared" si="49"/>
        <v>0</v>
      </c>
      <c r="O58" s="92">
        <f t="shared" si="50"/>
        <v>0</v>
      </c>
      <c r="P58" s="118"/>
      <c r="Q58" s="94"/>
      <c r="R58" s="94"/>
      <c r="S58" s="8"/>
      <c r="T58" s="8"/>
      <c r="U58" s="8"/>
      <c r="V58" s="8"/>
      <c r="W58" s="112"/>
      <c r="X58" s="94"/>
      <c r="Y58" s="94"/>
      <c r="Z58" s="8"/>
      <c r="AA58" s="8"/>
      <c r="AB58" s="8"/>
      <c r="AC58" s="112"/>
      <c r="AD58" s="8"/>
      <c r="AE58" s="94"/>
      <c r="AF58" s="94"/>
      <c r="AG58" s="8"/>
      <c r="AH58" s="8"/>
      <c r="AI58" s="8"/>
      <c r="AJ58" s="8"/>
      <c r="AK58" s="8"/>
      <c r="AL58" s="94"/>
      <c r="AM58" s="94"/>
      <c r="AN58" s="112"/>
      <c r="AO58" s="8"/>
      <c r="AP58" s="8"/>
      <c r="AQ58" s="8"/>
      <c r="AR58" s="8"/>
      <c r="AS58" s="94"/>
      <c r="AT58" s="125"/>
    </row>
    <row r="59" spans="1:58" ht="20.100000000000001" customHeight="1" thickBot="1" x14ac:dyDescent="0.3">
      <c r="A59" s="139" t="str">
        <f>IFERROR(IF(config!E51="","",config!E51),"")</f>
        <v>T030790</v>
      </c>
      <c r="B59" s="139" t="str">
        <f>IFERROR(IF(config!F51="","",config!F51),"")</f>
        <v>MOINGT</v>
      </c>
      <c r="C59" s="102" t="str">
        <f>IFERROR(IF(config!G51="","",config!G51),"")</f>
        <v>Joffrey</v>
      </c>
      <c r="D59" s="87">
        <f t="shared" si="39"/>
        <v>0</v>
      </c>
      <c r="E59" s="20">
        <f t="shared" si="40"/>
        <v>0</v>
      </c>
      <c r="F59" s="20">
        <f t="shared" si="41"/>
        <v>0</v>
      </c>
      <c r="G59" s="20">
        <f t="shared" si="42"/>
        <v>0</v>
      </c>
      <c r="H59" s="20">
        <f t="shared" si="43"/>
        <v>0</v>
      </c>
      <c r="I59" s="20">
        <f t="shared" si="44"/>
        <v>0</v>
      </c>
      <c r="J59" s="20">
        <f t="shared" si="45"/>
        <v>0</v>
      </c>
      <c r="K59" s="20">
        <f t="shared" si="46"/>
        <v>0</v>
      </c>
      <c r="L59" s="20">
        <f t="shared" si="47"/>
        <v>0</v>
      </c>
      <c r="M59" s="20">
        <f t="shared" si="48"/>
        <v>0</v>
      </c>
      <c r="N59" s="20">
        <f t="shared" si="49"/>
        <v>0</v>
      </c>
      <c r="O59" s="92">
        <f t="shared" si="50"/>
        <v>0</v>
      </c>
      <c r="P59" s="118"/>
      <c r="Q59" s="94"/>
      <c r="R59" s="94"/>
      <c r="S59" s="8"/>
      <c r="T59" s="8"/>
      <c r="U59" s="8"/>
      <c r="V59" s="8"/>
      <c r="W59" s="112"/>
      <c r="X59" s="94"/>
      <c r="Y59" s="94"/>
      <c r="Z59" s="8"/>
      <c r="AA59" s="8"/>
      <c r="AB59" s="8"/>
      <c r="AC59" s="112"/>
      <c r="AD59" s="8"/>
      <c r="AE59" s="94"/>
      <c r="AF59" s="94"/>
      <c r="AG59" s="8"/>
      <c r="AH59" s="8"/>
      <c r="AI59" s="8"/>
      <c r="AJ59" s="8"/>
      <c r="AK59" s="8"/>
      <c r="AL59" s="94"/>
      <c r="AM59" s="94"/>
      <c r="AN59" s="112"/>
      <c r="AO59" s="8"/>
      <c r="AP59" s="8"/>
      <c r="AQ59" s="8"/>
      <c r="AR59" s="8"/>
      <c r="AS59" s="94"/>
      <c r="AT59" s="125"/>
    </row>
    <row r="60" spans="1:58" ht="20.100000000000001" customHeight="1" thickBot="1" x14ac:dyDescent="0.3">
      <c r="A60" s="139" t="str">
        <f>IFERROR(IF(config!E52="","",config!E52),"")</f>
        <v>T030619</v>
      </c>
      <c r="B60" s="139" t="str">
        <f>IFERROR(IF(config!F52="","",config!F52),"")</f>
        <v>REY</v>
      </c>
      <c r="C60" s="102" t="str">
        <f>IFERROR(IF(config!G52="","",config!G52),"")</f>
        <v>Adrien</v>
      </c>
      <c r="D60" s="87">
        <f t="shared" si="39"/>
        <v>0</v>
      </c>
      <c r="E60" s="20">
        <f t="shared" si="40"/>
        <v>0</v>
      </c>
      <c r="F60" s="20">
        <f t="shared" si="41"/>
        <v>0</v>
      </c>
      <c r="G60" s="20">
        <f t="shared" si="42"/>
        <v>0</v>
      </c>
      <c r="H60" s="20">
        <f t="shared" si="43"/>
        <v>0</v>
      </c>
      <c r="I60" s="20">
        <f t="shared" si="44"/>
        <v>0</v>
      </c>
      <c r="J60" s="20">
        <f t="shared" si="45"/>
        <v>0</v>
      </c>
      <c r="K60" s="20">
        <f t="shared" si="46"/>
        <v>0</v>
      </c>
      <c r="L60" s="20">
        <f t="shared" si="47"/>
        <v>0</v>
      </c>
      <c r="M60" s="20">
        <f t="shared" si="48"/>
        <v>0</v>
      </c>
      <c r="N60" s="20">
        <f t="shared" si="49"/>
        <v>0</v>
      </c>
      <c r="O60" s="92">
        <f t="shared" si="50"/>
        <v>0</v>
      </c>
      <c r="P60" s="118"/>
      <c r="Q60" s="94"/>
      <c r="R60" s="94"/>
      <c r="S60" s="8"/>
      <c r="T60" s="8"/>
      <c r="U60" s="8"/>
      <c r="V60" s="8"/>
      <c r="W60" s="112"/>
      <c r="X60" s="94"/>
      <c r="Y60" s="94"/>
      <c r="Z60" s="8"/>
      <c r="AA60" s="8"/>
      <c r="AB60" s="8"/>
      <c r="AC60" s="112"/>
      <c r="AD60" s="8"/>
      <c r="AE60" s="94"/>
      <c r="AF60" s="94"/>
      <c r="AG60" s="8"/>
      <c r="AH60" s="8"/>
      <c r="AI60" s="8"/>
      <c r="AJ60" s="8"/>
      <c r="AK60" s="8"/>
      <c r="AL60" s="94"/>
      <c r="AM60" s="94"/>
      <c r="AN60" s="112"/>
      <c r="AO60" s="8"/>
      <c r="AP60" s="8"/>
      <c r="AQ60" s="8"/>
      <c r="AR60" s="8"/>
      <c r="AS60" s="94"/>
      <c r="AT60" s="125"/>
    </row>
    <row r="61" spans="1:58" ht="20.100000000000001" customHeight="1" thickBot="1" x14ac:dyDescent="0.3">
      <c r="A61" s="139" t="str">
        <f>IFERROR(IF(config!E53="","",config!E53),"")</f>
        <v>N019681</v>
      </c>
      <c r="B61" s="139" t="str">
        <f>IFERROR(IF(config!F53="","",config!F53),"")</f>
        <v>TADJROUNA</v>
      </c>
      <c r="C61" s="102" t="str">
        <f>IFERROR(IF(config!G53="","",config!G53),"")</f>
        <v>Mohamed</v>
      </c>
      <c r="D61" s="87">
        <f t="shared" si="39"/>
        <v>0</v>
      </c>
      <c r="E61" s="20">
        <f t="shared" si="40"/>
        <v>0</v>
      </c>
      <c r="F61" s="20">
        <f t="shared" si="41"/>
        <v>0</v>
      </c>
      <c r="G61" s="20">
        <f t="shared" si="42"/>
        <v>0</v>
      </c>
      <c r="H61" s="20">
        <f t="shared" si="43"/>
        <v>0</v>
      </c>
      <c r="I61" s="20">
        <f t="shared" si="44"/>
        <v>0</v>
      </c>
      <c r="J61" s="20">
        <f t="shared" si="45"/>
        <v>0</v>
      </c>
      <c r="K61" s="20">
        <f t="shared" si="46"/>
        <v>0</v>
      </c>
      <c r="L61" s="20">
        <f t="shared" si="47"/>
        <v>0</v>
      </c>
      <c r="M61" s="20">
        <f t="shared" si="48"/>
        <v>0</v>
      </c>
      <c r="N61" s="20">
        <f t="shared" si="49"/>
        <v>0</v>
      </c>
      <c r="O61" s="92">
        <f t="shared" si="50"/>
        <v>0</v>
      </c>
      <c r="P61" s="118"/>
      <c r="Q61" s="94"/>
      <c r="R61" s="94"/>
      <c r="S61" s="8"/>
      <c r="T61" s="8"/>
      <c r="U61" s="8"/>
      <c r="V61" s="8"/>
      <c r="W61" s="112"/>
      <c r="X61" s="94"/>
      <c r="Y61" s="94"/>
      <c r="Z61" s="8"/>
      <c r="AA61" s="8"/>
      <c r="AB61" s="8"/>
      <c r="AC61" s="112"/>
      <c r="AD61" s="8"/>
      <c r="AE61" s="94"/>
      <c r="AF61" s="94"/>
      <c r="AG61" s="8"/>
      <c r="AH61" s="8"/>
      <c r="AI61" s="8"/>
      <c r="AJ61" s="8"/>
      <c r="AK61" s="8"/>
      <c r="AL61" s="94"/>
      <c r="AM61" s="94"/>
      <c r="AN61" s="112"/>
      <c r="AO61" s="8"/>
      <c r="AP61" s="8"/>
      <c r="AQ61" s="8"/>
      <c r="AR61" s="8"/>
      <c r="AS61" s="94"/>
      <c r="AT61" s="125"/>
    </row>
    <row r="62" spans="1:58" ht="20.100000000000001" customHeight="1" thickBot="1" x14ac:dyDescent="0.3">
      <c r="A62" s="139" t="str">
        <f>IFERROR(IF(config!E54="","",config!E54),"")</f>
        <v>N019975</v>
      </c>
      <c r="B62" s="139" t="str">
        <f>IFERROR(IF(config!F54="","",config!F54),"")</f>
        <v>VILLENEUVE</v>
      </c>
      <c r="C62" s="102" t="str">
        <f>IFERROR(IF(config!G54="","",config!G54),"")</f>
        <v>Fabrice</v>
      </c>
      <c r="D62" s="87">
        <f t="shared" si="39"/>
        <v>0</v>
      </c>
      <c r="E62" s="20">
        <f t="shared" si="40"/>
        <v>0</v>
      </c>
      <c r="F62" s="20">
        <f t="shared" si="41"/>
        <v>0</v>
      </c>
      <c r="G62" s="20">
        <f t="shared" si="42"/>
        <v>0</v>
      </c>
      <c r="H62" s="20">
        <f t="shared" si="43"/>
        <v>0</v>
      </c>
      <c r="I62" s="20">
        <f t="shared" si="44"/>
        <v>0</v>
      </c>
      <c r="J62" s="20">
        <f t="shared" si="45"/>
        <v>0</v>
      </c>
      <c r="K62" s="20">
        <f t="shared" si="46"/>
        <v>0</v>
      </c>
      <c r="L62" s="20">
        <f t="shared" si="47"/>
        <v>0</v>
      </c>
      <c r="M62" s="20">
        <f t="shared" si="48"/>
        <v>0</v>
      </c>
      <c r="N62" s="20">
        <f t="shared" si="49"/>
        <v>0</v>
      </c>
      <c r="O62" s="92">
        <f t="shared" si="50"/>
        <v>0</v>
      </c>
      <c r="P62" s="119"/>
      <c r="Q62" s="95"/>
      <c r="R62" s="95"/>
      <c r="S62" s="21"/>
      <c r="T62" s="21"/>
      <c r="U62" s="21"/>
      <c r="V62" s="21"/>
      <c r="W62" s="113"/>
      <c r="X62" s="95"/>
      <c r="Y62" s="95"/>
      <c r="Z62" s="21"/>
      <c r="AA62" s="21"/>
      <c r="AB62" s="21"/>
      <c r="AC62" s="113"/>
      <c r="AD62" s="21"/>
      <c r="AE62" s="95"/>
      <c r="AF62" s="95"/>
      <c r="AG62" s="21"/>
      <c r="AH62" s="21"/>
      <c r="AI62" s="21"/>
      <c r="AJ62" s="21"/>
      <c r="AK62" s="21"/>
      <c r="AL62" s="95"/>
      <c r="AM62" s="95"/>
      <c r="AN62" s="113"/>
      <c r="AO62" s="21"/>
      <c r="AP62" s="21"/>
      <c r="AQ62" s="21"/>
      <c r="AR62" s="21"/>
      <c r="AS62" s="95"/>
      <c r="AT62" s="126"/>
    </row>
    <row r="63" spans="1:58" ht="20.100000000000001" customHeight="1" thickBot="1" x14ac:dyDescent="0.3">
      <c r="A63" s="287" t="str">
        <f>IFERROR(IF(config!E55="","",config!E55),"")</f>
        <v/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9"/>
      <c r="AV63" s="290" t="s">
        <v>221</v>
      </c>
      <c r="AW63" s="291"/>
      <c r="AX63" s="291"/>
      <c r="AY63" s="291"/>
      <c r="AZ63" s="291"/>
      <c r="BA63" s="291"/>
      <c r="BB63" s="291"/>
      <c r="BC63" s="291"/>
      <c r="BD63" s="291"/>
      <c r="BE63" s="291"/>
      <c r="BF63" s="292"/>
    </row>
    <row r="64" spans="1:58" ht="20.100000000000001" customHeight="1" thickBot="1" x14ac:dyDescent="0.3">
      <c r="A64" s="136" t="str">
        <f>IFERROR(IF(config!E56="","",config!E56),"")</f>
        <v>COMMUN - MAGASINIER ET AGENTS ENTRETIEN</v>
      </c>
      <c r="B64" s="137" t="str">
        <f>IFERROR(IF(config!F56="","",config!F56),"")</f>
        <v/>
      </c>
      <c r="C64" s="138" t="str">
        <f>IFERROR(IF(config!G56="","",config!G56),"")</f>
        <v/>
      </c>
      <c r="D64" s="87">
        <f>COUNTIF(P64:AS64,"p")</f>
        <v>0</v>
      </c>
      <c r="E64" s="20">
        <f>COUNTIF(P64:AS64,"PC")</f>
        <v>0</v>
      </c>
      <c r="F64" s="20">
        <f>COUNTIF(P64:AS64,"f")</f>
        <v>0</v>
      </c>
      <c r="G64" s="20">
        <f>COUNTIF(P64:AS64,"ast")</f>
        <v>0</v>
      </c>
      <c r="H64" s="20">
        <f>COUNTIF(P64:AS64,"cA")</f>
        <v>0</v>
      </c>
      <c r="I64" s="20">
        <f>COUNTIF(P64:AS64,"rtt")</f>
        <v>0</v>
      </c>
      <c r="J64" s="20">
        <f>COUNTIF(P64:AS64,"cex")</f>
        <v>0</v>
      </c>
      <c r="K64" s="20">
        <f>COUNTIF(P64:AS64,"res")</f>
        <v>0</v>
      </c>
      <c r="L64" s="20">
        <f>COUNTIF(P64:AS64,"mA")</f>
        <v>0</v>
      </c>
      <c r="M64" s="20">
        <f>COUNTIF(P64:AS64,"at")</f>
        <v>0</v>
      </c>
      <c r="N64" s="20">
        <f>COUNTIF(P64:AS64,"TAD")</f>
        <v>0</v>
      </c>
      <c r="O64" s="34">
        <f>COUNTIF(P64:AS64,"TP")</f>
        <v>0</v>
      </c>
      <c r="P64" s="244"/>
      <c r="Q64" s="86"/>
      <c r="R64" s="86"/>
      <c r="S64" s="20"/>
      <c r="T64" s="20"/>
      <c r="U64" s="20"/>
      <c r="V64" s="20"/>
      <c r="W64" s="111"/>
      <c r="X64" s="86"/>
      <c r="Y64" s="86"/>
      <c r="Z64" s="20"/>
      <c r="AA64" s="20"/>
      <c r="AB64" s="20"/>
      <c r="AC64" s="111"/>
      <c r="AD64" s="20"/>
      <c r="AE64" s="86"/>
      <c r="AF64" s="86"/>
      <c r="AG64" s="20"/>
      <c r="AH64" s="20"/>
      <c r="AI64" s="20"/>
      <c r="AJ64" s="20"/>
      <c r="AK64" s="20"/>
      <c r="AL64" s="86"/>
      <c r="AM64" s="86"/>
      <c r="AN64" s="111"/>
      <c r="AO64" s="20"/>
      <c r="AP64" s="20"/>
      <c r="AQ64" s="20"/>
      <c r="AR64" s="20"/>
      <c r="AS64" s="86"/>
      <c r="AT64" s="124"/>
      <c r="AV64" s="15" t="s">
        <v>194</v>
      </c>
      <c r="AW64" s="78" t="s">
        <v>195</v>
      </c>
      <c r="AX64" s="12" t="s">
        <v>196</v>
      </c>
      <c r="AY64" s="79" t="s">
        <v>197</v>
      </c>
      <c r="AZ64" s="10" t="s">
        <v>198</v>
      </c>
      <c r="BA64" s="80" t="s">
        <v>199</v>
      </c>
      <c r="BB64" s="11" t="s">
        <v>200</v>
      </c>
      <c r="BC64" s="81" t="s">
        <v>201</v>
      </c>
      <c r="BD64" s="82" t="s">
        <v>202</v>
      </c>
      <c r="BE64" s="83" t="s">
        <v>203</v>
      </c>
      <c r="BF64" s="16" t="s">
        <v>205</v>
      </c>
    </row>
    <row r="65" spans="1:58" ht="20.100000000000001" customHeight="1" thickBot="1" x14ac:dyDescent="0.3">
      <c r="A65" s="31" t="str">
        <f>IFERROR(IF(config!E57="","",config!E57),"")</f>
        <v>N010342</v>
      </c>
      <c r="B65" s="42" t="str">
        <f>IFERROR(IF(config!F57="","",config!F57),"")</f>
        <v>VOL</v>
      </c>
      <c r="C65" s="70" t="str">
        <f>IFERROR(IF(config!G57="","",config!G57),"")</f>
        <v>Christophe</v>
      </c>
      <c r="D65" s="87">
        <f>COUNTIF(P65:AS65,"p")</f>
        <v>0</v>
      </c>
      <c r="E65" s="20">
        <f>COUNTIF(P65:AS65,"PC")</f>
        <v>0</v>
      </c>
      <c r="F65" s="20">
        <f>COUNTIF(P65:AS65,"f")</f>
        <v>0</v>
      </c>
      <c r="G65" s="20">
        <f>COUNTIF(P65:AS65,"ast")</f>
        <v>0</v>
      </c>
      <c r="H65" s="20">
        <f>COUNTIF(P65:AS65,"cA")</f>
        <v>0</v>
      </c>
      <c r="I65" s="20">
        <f>COUNTIF(P65:AS65,"rtt")</f>
        <v>0</v>
      </c>
      <c r="J65" s="20">
        <f>COUNTIF(P65:AS65,"cex")</f>
        <v>0</v>
      </c>
      <c r="K65" s="20">
        <f>COUNTIF(P65:AS65,"res")</f>
        <v>0</v>
      </c>
      <c r="L65" s="20">
        <f>COUNTIF(P65:AS65,"mA")</f>
        <v>0</v>
      </c>
      <c r="M65" s="20">
        <f>COUNTIF(P65:AS65,"at")</f>
        <v>0</v>
      </c>
      <c r="N65" s="20">
        <f>COUNTIF(P65:AS65,"TAD")</f>
        <v>0</v>
      </c>
      <c r="O65" s="34">
        <f>COUNTIF(P65:AS65,"TP")</f>
        <v>0</v>
      </c>
      <c r="P65" s="245"/>
      <c r="Q65" s="94"/>
      <c r="R65" s="94"/>
      <c r="S65" s="8"/>
      <c r="T65" s="8"/>
      <c r="U65" s="8"/>
      <c r="V65" s="8"/>
      <c r="W65" s="112"/>
      <c r="X65" s="94"/>
      <c r="Y65" s="94"/>
      <c r="Z65" s="8"/>
      <c r="AA65" s="8"/>
      <c r="AB65" s="8"/>
      <c r="AC65" s="112"/>
      <c r="AD65" s="8"/>
      <c r="AE65" s="94"/>
      <c r="AF65" s="94"/>
      <c r="AG65" s="8"/>
      <c r="AH65" s="8"/>
      <c r="AI65" s="8"/>
      <c r="AJ65" s="8"/>
      <c r="AK65" s="8"/>
      <c r="AL65" s="94"/>
      <c r="AM65" s="94"/>
      <c r="AN65" s="112"/>
      <c r="AO65" s="8"/>
      <c r="AP65" s="8"/>
      <c r="AQ65" s="8"/>
      <c r="AR65" s="8"/>
      <c r="AS65" s="94"/>
      <c r="AT65" s="125"/>
      <c r="AV65" s="19">
        <f>COUNTIF(P64:AS73,"P")</f>
        <v>0</v>
      </c>
      <c r="AW65" s="19">
        <f>COUNTIF(P64:AS73,"PC")</f>
        <v>0</v>
      </c>
      <c r="AX65" s="19">
        <f>COUNTIF(P64:AS73,"F")</f>
        <v>0</v>
      </c>
      <c r="AY65" s="19">
        <f>COUNTIF(P64:AS73,"AST")</f>
        <v>0</v>
      </c>
      <c r="AZ65" s="19">
        <f>COUNTIF(P64:AS73,"Ca")</f>
        <v>0</v>
      </c>
      <c r="BA65" s="19">
        <f>COUNTIF(P64:AS73,"RTT")</f>
        <v>0</v>
      </c>
      <c r="BB65" s="19">
        <f>COUNTIF(P64:AS73,"CEX")</f>
        <v>0</v>
      </c>
      <c r="BC65" s="19">
        <f>COUNTIF(P64:AS73,"RES")</f>
        <v>0</v>
      </c>
      <c r="BD65" s="19">
        <f>COUNTIF(P64:AS73,"MA")</f>
        <v>0</v>
      </c>
      <c r="BE65" s="19">
        <f>COUNTIF(P64:AS73,"AT")</f>
        <v>0</v>
      </c>
      <c r="BF65" s="19">
        <f>COUNTIF(P64:AS73,"TP")</f>
        <v>0</v>
      </c>
    </row>
    <row r="66" spans="1:58" ht="20.100000000000001" customHeight="1" thickBot="1" x14ac:dyDescent="0.3">
      <c r="A66" s="31" t="str">
        <f>IFERROR(IF(config!E58="","",config!E58),"")</f>
        <v>C003865</v>
      </c>
      <c r="B66" s="42" t="str">
        <f>IFERROR(IF(config!F58="","",config!F58),"")</f>
        <v xml:space="preserve">GENNA </v>
      </c>
      <c r="C66" s="70" t="str">
        <f>IFERROR(IF(config!G58="","",config!G58),"")</f>
        <v>Grégory</v>
      </c>
      <c r="D66" s="87">
        <f>COUNTIF(P66:AS66,"p")</f>
        <v>0</v>
      </c>
      <c r="E66" s="20">
        <f>COUNTIF(P66:AS66,"PC")</f>
        <v>0</v>
      </c>
      <c r="F66" s="20">
        <f>COUNTIF(P66:AS66,"f")</f>
        <v>0</v>
      </c>
      <c r="G66" s="20">
        <f>COUNTIF(P66:AS66,"ast")</f>
        <v>0</v>
      </c>
      <c r="H66" s="20">
        <f>COUNTIF(P66:AS66,"cA")</f>
        <v>0</v>
      </c>
      <c r="I66" s="20">
        <f>COUNTIF(P66:AS66,"rtt")</f>
        <v>0</v>
      </c>
      <c r="J66" s="20">
        <f>COUNTIF(P66:AS66,"cex")</f>
        <v>0</v>
      </c>
      <c r="K66" s="20">
        <f>COUNTIF(P66:AS66,"res")</f>
        <v>0</v>
      </c>
      <c r="L66" s="20">
        <f>COUNTIF(P66:AS66,"mA")</f>
        <v>0</v>
      </c>
      <c r="M66" s="20">
        <f>COUNTIF(P66:AS66,"at")</f>
        <v>0</v>
      </c>
      <c r="N66" s="20">
        <f>COUNTIF(P66:AS66,"TAD")</f>
        <v>0</v>
      </c>
      <c r="O66" s="34">
        <f>COUNTIF(P66:AS66,"TP")</f>
        <v>0</v>
      </c>
      <c r="P66" s="245"/>
      <c r="Q66" s="94"/>
      <c r="R66" s="94"/>
      <c r="S66" s="8"/>
      <c r="T66" s="8"/>
      <c r="U66" s="8"/>
      <c r="V66" s="8"/>
      <c r="W66" s="112"/>
      <c r="X66" s="94"/>
      <c r="Y66" s="94"/>
      <c r="Z66" s="8"/>
      <c r="AA66" s="8"/>
      <c r="AB66" s="8"/>
      <c r="AC66" s="112"/>
      <c r="AD66" s="8"/>
      <c r="AE66" s="94"/>
      <c r="AF66" s="94"/>
      <c r="AG66" s="8"/>
      <c r="AH66" s="8"/>
      <c r="AI66" s="8"/>
      <c r="AJ66" s="8"/>
      <c r="AK66" s="8"/>
      <c r="AL66" s="94"/>
      <c r="AM66" s="94"/>
      <c r="AN66" s="112"/>
      <c r="AO66" s="8"/>
      <c r="AP66" s="8"/>
      <c r="AQ66" s="8"/>
      <c r="AR66" s="8"/>
      <c r="AS66" s="94"/>
      <c r="AT66" s="125"/>
    </row>
    <row r="67" spans="1:58" ht="20.100000000000001" customHeight="1" thickBot="1" x14ac:dyDescent="0.3">
      <c r="A67" s="31" t="str">
        <f>IFERROR(IF(config!E59="","",config!E59),"")</f>
        <v>N010032</v>
      </c>
      <c r="B67" s="42" t="str">
        <f>IFERROR(IF(config!F59="","",config!F59),"")</f>
        <v>BERNARD</v>
      </c>
      <c r="C67" s="70" t="str">
        <f>IFERROR(IF(config!G59="","",config!G59),"")</f>
        <v xml:space="preserve"> Jean-Louis</v>
      </c>
      <c r="D67" s="88">
        <f>COUNTIF(P67:AS67,"p")</f>
        <v>0</v>
      </c>
      <c r="E67" s="89">
        <f>COUNTIF(P67:AS67,"PC")</f>
        <v>0</v>
      </c>
      <c r="F67" s="89">
        <f>COUNTIF(P67:AS67,"f")</f>
        <v>0</v>
      </c>
      <c r="G67" s="89">
        <f>COUNTIF(P67:AS67,"ast")</f>
        <v>0</v>
      </c>
      <c r="H67" s="89">
        <f>COUNTIF(P67:AS67,"cA")</f>
        <v>0</v>
      </c>
      <c r="I67" s="89">
        <f>COUNTIF(P67:AS67,"rtt")</f>
        <v>0</v>
      </c>
      <c r="J67" s="89">
        <f>COUNTIF(P67:AS67,"cex")</f>
        <v>0</v>
      </c>
      <c r="K67" s="89">
        <f>COUNTIF(P67:AS67,"res")</f>
        <v>0</v>
      </c>
      <c r="L67" s="89">
        <f>COUNTIF(P67:AS67,"mA")</f>
        <v>0</v>
      </c>
      <c r="M67" s="89">
        <f>COUNTIF(P67:AS67,"at")</f>
        <v>0</v>
      </c>
      <c r="N67" s="89">
        <f>COUNTIF(P67:AS67,"TAD")</f>
        <v>0</v>
      </c>
      <c r="O67" s="246">
        <f>COUNTIF(P67:AS67,"TP")</f>
        <v>0</v>
      </c>
      <c r="P67" s="245"/>
      <c r="Q67" s="94"/>
      <c r="R67" s="94"/>
      <c r="S67" s="8"/>
      <c r="T67" s="8"/>
      <c r="U67" s="8"/>
      <c r="V67" s="8"/>
      <c r="W67" s="112"/>
      <c r="X67" s="94"/>
      <c r="Y67" s="94"/>
      <c r="Z67" s="8"/>
      <c r="AA67" s="8"/>
      <c r="AB67" s="8"/>
      <c r="AC67" s="112"/>
      <c r="AD67" s="8"/>
      <c r="AE67" s="94"/>
      <c r="AF67" s="94"/>
      <c r="AG67" s="8"/>
      <c r="AH67" s="8"/>
      <c r="AI67" s="8"/>
      <c r="AJ67" s="8"/>
      <c r="AK67" s="8"/>
      <c r="AL67" s="94"/>
      <c r="AM67" s="94"/>
      <c r="AN67" s="112"/>
      <c r="AO67" s="8"/>
      <c r="AP67" s="8"/>
      <c r="AQ67" s="8"/>
      <c r="AR67" s="8"/>
      <c r="AS67" s="94"/>
      <c r="AT67" s="125"/>
    </row>
    <row r="76" spans="1:58" x14ac:dyDescent="0.25">
      <c r="T76" s="19" t="s">
        <v>194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55" priority="49" operator="equal">
      <formula>"repos"</formula>
    </cfRule>
    <cfRule type="cellIs" dxfId="54" priority="50" operator="equal">
      <formula>"permanence"</formula>
    </cfRule>
    <cfRule type="cellIs" dxfId="53" priority="51" operator="equal">
      <formula>"dimanche"</formula>
    </cfRule>
    <cfRule type="cellIs" dxfId="52" priority="52" operator="equal">
      <formula>"formation"</formula>
    </cfRule>
    <cfRule type="cellIs" dxfId="51" priority="53" operator="equal">
      <formula>"conges exc"</formula>
    </cfRule>
    <cfRule type="cellIs" dxfId="50" priority="54" operator="equal">
      <formula>"conges"</formula>
    </cfRule>
    <cfRule type="cellIs" dxfId="49" priority="55" operator="equal">
      <formula>"asa"</formula>
    </cfRule>
    <cfRule type="cellIs" dxfId="48" priority="56" operator="equal">
      <formula>"maladie / at"</formula>
    </cfRule>
    <cfRule type="cellIs" dxfId="47" priority="57" operator="equal">
      <formula>"presence"</formula>
    </cfRule>
  </conditionalFormatting>
  <conditionalFormatting sqref="D11:O20 D23:O24 D26:O29 D31:O36 D39:O49 D51:O62 D64:O67">
    <cfRule type="cellIs" dxfId="46" priority="58" operator="equal">
      <formula>0</formula>
    </cfRule>
  </conditionalFormatting>
  <conditionalFormatting sqref="P9:AT9">
    <cfRule type="expression" dxfId="45" priority="60">
      <formula>OR(P$9=1, P$9=7)</formula>
    </cfRule>
  </conditionalFormatting>
  <conditionalFormatting sqref="P9:AT10">
    <cfRule type="expression" dxfId="44" priority="59">
      <formula>OR(P$9=1,P$9=7)</formula>
    </cfRule>
  </conditionalFormatting>
  <conditionalFormatting sqref="P11:AT20 P26:AT29 P31:AT36 P51:AT62">
    <cfRule type="containsText" dxfId="43" priority="37" operator="containsText" text="TP">
      <formula>NOT(ISERROR(SEARCH("TP",P11)))</formula>
    </cfRule>
    <cfRule type="containsText" priority="38" operator="containsText" text="TAD">
      <formula>NOT(ISERROR(SEARCH("TAD",P11)))</formula>
    </cfRule>
    <cfRule type="containsText" dxfId="42" priority="39" operator="containsText" text="AT">
      <formula>NOT(ISERROR(SEARCH("AT",P11)))</formula>
    </cfRule>
    <cfRule type="containsText" dxfId="41" priority="40" operator="containsText" text="MA">
      <formula>NOT(ISERROR(SEARCH("MA",P11)))</formula>
    </cfRule>
    <cfRule type="containsText" dxfId="40" priority="41" operator="containsText" text="RES">
      <formula>NOT(ISERROR(SEARCH("RES",P11)))</formula>
    </cfRule>
    <cfRule type="containsText" dxfId="39" priority="42" operator="containsText" text="CEX">
      <formula>NOT(ISERROR(SEARCH("CEX",P11)))</formula>
    </cfRule>
    <cfRule type="containsText" dxfId="38" priority="43" operator="containsText" text="RTT">
      <formula>NOT(ISERROR(SEARCH("RTT",P11)))</formula>
    </cfRule>
    <cfRule type="beginsWith" dxfId="37" priority="44" operator="beginsWith" text="CA">
      <formula>LEFT(P11,LEN("CA"))="CA"</formula>
    </cfRule>
    <cfRule type="containsText" dxfId="36" priority="45" operator="containsText" text="AST">
      <formula>NOT(ISERROR(SEARCH("AST",P11)))</formula>
    </cfRule>
    <cfRule type="containsText" dxfId="35" priority="46" operator="containsText" text="F">
      <formula>NOT(ISERROR(SEARCH("F",P11)))</formula>
    </cfRule>
    <cfRule type="containsText" dxfId="34" priority="47" operator="containsText" text="PC">
      <formula>NOT(ISERROR(SEARCH("PC",P11)))</formula>
    </cfRule>
    <cfRule type="containsText" dxfId="33" priority="48" operator="containsText" text="P">
      <formula>NOT(ISERROR(SEARCH("P",P11)))</formula>
    </cfRule>
  </conditionalFormatting>
  <conditionalFormatting sqref="P23:AT24">
    <cfRule type="containsText" dxfId="32" priority="25" operator="containsText" text="TP">
      <formula>NOT(ISERROR(SEARCH("TP",P23)))</formula>
    </cfRule>
    <cfRule type="containsText" priority="26" operator="containsText" text="TAD">
      <formula>NOT(ISERROR(SEARCH("TAD",P23)))</formula>
    </cfRule>
    <cfRule type="containsText" dxfId="31" priority="27" operator="containsText" text="AT">
      <formula>NOT(ISERROR(SEARCH("AT",P23)))</formula>
    </cfRule>
    <cfRule type="containsText" dxfId="30" priority="28" operator="containsText" text="MA">
      <formula>NOT(ISERROR(SEARCH("MA",P23)))</formula>
    </cfRule>
    <cfRule type="containsText" dxfId="29" priority="29" operator="containsText" text="RES">
      <formula>NOT(ISERROR(SEARCH("RES",P23)))</formula>
    </cfRule>
    <cfRule type="containsText" dxfId="28" priority="30" operator="containsText" text="CEX">
      <formula>NOT(ISERROR(SEARCH("CEX",P23)))</formula>
    </cfRule>
    <cfRule type="containsText" dxfId="27" priority="31" operator="containsText" text="RTT">
      <formula>NOT(ISERROR(SEARCH("RTT",P23)))</formula>
    </cfRule>
    <cfRule type="beginsWith" dxfId="26" priority="32" operator="beginsWith" text="CA">
      <formula>LEFT(P23,LEN("CA"))="CA"</formula>
    </cfRule>
    <cfRule type="containsText" dxfId="25" priority="33" operator="containsText" text="AST">
      <formula>NOT(ISERROR(SEARCH("AST",P23)))</formula>
    </cfRule>
    <cfRule type="containsText" dxfId="24" priority="34" operator="containsText" text="F">
      <formula>NOT(ISERROR(SEARCH("F",P23)))</formula>
    </cfRule>
    <cfRule type="containsText" dxfId="23" priority="35" operator="containsText" text="PC">
      <formula>NOT(ISERROR(SEARCH("PC",P23)))</formula>
    </cfRule>
    <cfRule type="containsText" dxfId="22" priority="36" operator="containsText" text="P">
      <formula>NOT(ISERROR(SEARCH("P",P23)))</formula>
    </cfRule>
  </conditionalFormatting>
  <conditionalFormatting sqref="P39:AT49">
    <cfRule type="containsText" dxfId="21" priority="13" operator="containsText" text="TP">
      <formula>NOT(ISERROR(SEARCH("TP",P39)))</formula>
    </cfRule>
    <cfRule type="containsText" priority="14" operator="containsText" text="TAD">
      <formula>NOT(ISERROR(SEARCH("TAD",P39)))</formula>
    </cfRule>
    <cfRule type="containsText" dxfId="20" priority="15" operator="containsText" text="AT">
      <formula>NOT(ISERROR(SEARCH("AT",P39)))</formula>
    </cfRule>
    <cfRule type="containsText" dxfId="19" priority="16" operator="containsText" text="MA">
      <formula>NOT(ISERROR(SEARCH("MA",P39)))</formula>
    </cfRule>
    <cfRule type="containsText" dxfId="18" priority="17" operator="containsText" text="RES">
      <formula>NOT(ISERROR(SEARCH("RES",P39)))</formula>
    </cfRule>
    <cfRule type="containsText" dxfId="17" priority="18" operator="containsText" text="CEX">
      <formula>NOT(ISERROR(SEARCH("CEX",P39)))</formula>
    </cfRule>
    <cfRule type="containsText" dxfId="16" priority="19" operator="containsText" text="RTT">
      <formula>NOT(ISERROR(SEARCH("RTT",P39)))</formula>
    </cfRule>
    <cfRule type="beginsWith" dxfId="15" priority="20" operator="beginsWith" text="CA">
      <formula>LEFT(P39,LEN("CA"))="CA"</formula>
    </cfRule>
    <cfRule type="containsText" dxfId="14" priority="21" operator="containsText" text="AST">
      <formula>NOT(ISERROR(SEARCH("AST",P39)))</formula>
    </cfRule>
    <cfRule type="containsText" dxfId="13" priority="22" operator="containsText" text="F">
      <formula>NOT(ISERROR(SEARCH("F",P39)))</formula>
    </cfRule>
    <cfRule type="containsText" dxfId="12" priority="23" operator="containsText" text="PC">
      <formula>NOT(ISERROR(SEARCH("PC",P39)))</formula>
    </cfRule>
    <cfRule type="containsText" dxfId="11" priority="24" operator="containsText" text="P">
      <formula>NOT(ISERROR(SEARCH("P",P39)))</formula>
    </cfRule>
  </conditionalFormatting>
  <conditionalFormatting sqref="P64:AT67">
    <cfRule type="containsText" dxfId="1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" priority="3" operator="containsText" text="AT">
      <formula>NOT(ISERROR(SEARCH("AT",P64)))</formula>
    </cfRule>
    <cfRule type="containsText" dxfId="8" priority="4" operator="containsText" text="MA">
      <formula>NOT(ISERROR(SEARCH("MA",P64)))</formula>
    </cfRule>
    <cfRule type="containsText" dxfId="7" priority="5" operator="containsText" text="RES">
      <formula>NOT(ISERROR(SEARCH("RES",P64)))</formula>
    </cfRule>
    <cfRule type="containsText" dxfId="6" priority="6" operator="containsText" text="CEX">
      <formula>NOT(ISERROR(SEARCH("CEX",P64)))</formula>
    </cfRule>
    <cfRule type="containsText" dxfId="5" priority="7" operator="containsText" text="RTT">
      <formula>NOT(ISERROR(SEARCH("RTT",P64)))</formula>
    </cfRule>
    <cfRule type="beginsWith" dxfId="4" priority="8" operator="beginsWith" text="CA">
      <formula>LEFT(P64,LEN("CA"))="CA"</formula>
    </cfRule>
    <cfRule type="containsText" dxfId="3" priority="9" operator="containsText" text="AST">
      <formula>NOT(ISERROR(SEARCH("AST",P64)))</formula>
    </cfRule>
    <cfRule type="containsText" dxfId="2" priority="10" operator="containsText" text="F">
      <formula>NOT(ISERROR(SEARCH("F",P64)))</formula>
    </cfRule>
    <cfRule type="containsText" dxfId="1" priority="11" operator="containsText" text="PC">
      <formula>NOT(ISERROR(SEARCH("PC",P64)))</formula>
    </cfRule>
    <cfRule type="containsText" dxfId="0" priority="12" operator="containsText" text="P">
      <formula>NOT(ISERROR(SEARCH("P",P64)))</formula>
    </cfRule>
  </conditionalFormatting>
  <dataValidations count="3">
    <dataValidation type="list" allowBlank="1" showInputMessage="1" showErrorMessage="1" sqref="P10:AT10" xr:uid="{00000000-0002-0000-0D00-000000000000}">
      <formula1>"P,M,A,C,CEX,F,R,T,8H"</formula1>
    </dataValidation>
    <dataValidation type="list" allowBlank="1" showInputMessage="1" showErrorMessage="1" sqref="T76" xr:uid="{00000000-0002-0000-0D00-000001000000}">
      <formula1>$D$9:$O$9</formula1>
    </dataValidation>
    <dataValidation type="list" allowBlank="1" showInputMessage="1" showErrorMessage="1" sqref="P11:AT20 P23:AT24 P26:AT29 P31:AT36 P39:AT49 P51:AT62 P64:AT67" xr:uid="{00000000-0002-0000-0D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config</vt:lpstr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Novembre 2026</vt:lpstr>
      <vt:lpstr>Décembre 2026</vt:lpstr>
      <vt:lpstr>Janvier 2027</vt:lpstr>
      <vt:lpstr>config!Zone_d_impression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BERTU Laurence</dc:creator>
  <cp:lastModifiedBy>Gonçalves</cp:lastModifiedBy>
  <dcterms:created xsi:type="dcterms:W3CDTF">2020-11-27T06:19:21Z</dcterms:created>
  <dcterms:modified xsi:type="dcterms:W3CDTF">2025-11-25T19:42:24Z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0x0101004AF3B3DF8F52D746BFF13FB3784F436F</vt:lpwstr>
  </property>
  <property fmtid="{D5CDD505-2E9C-101B-9397-08002B2CF9AE}" pid="3" name="MediaServiceImageTags">
    <vt:lpwstr/>
  </property>
  <property fmtid="{D5CDD505-2E9C-101B-9397-08002B2CF9AE}" pid="4" name="_ExtendedDescription">
    <vt:lpwstr>Source#\\cluster1-met-smb.bordeaux-it.fr\Production$\BM\H\HB\HBC\SECTEUR BASTIDE BORDEAUX MARITIME-HBC8\06_RESSOURCES HUMAINES\CONGES\09 2024 - PRESENCES_CONGES PROPRETE ST8.xlsx|Cible#https&amp;#58;//bdx.sharepoint.com/sites/PT-BORDEAUX-MET-DGT_https&amp;#58;//bdx.sharepoint.com/sites/PT-BORDEAUX-MET-DGT/Documents%20partages_DGEP//DGEP/HBC/SECTEUR BASTIDE BORDEAUX MARITIME-HBC8/06_RESSOURCES HUMAINES/CONGES/09 2024 - PRESENCES_CONGES PROPRETE ST8.xlsx|DateDernierAcces#31/10/2024 11&amp;#58;24&amp;#58;50</vt:lpwstr>
  </property>
</Properties>
</file>