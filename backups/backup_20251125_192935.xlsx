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35" firstSheet="0" activeTab="0" autoFilterDateGrouping="1"/>
  </bookViews>
  <sheets>
    <sheet name="config" sheetId="1" state="visible" r:id="rId1"/>
    <sheet name="Janvier 2026" sheetId="2" state="visible" r:id="rId2"/>
    <sheet name="Fevrier 2026" sheetId="3" state="visible" r:id="rId3"/>
    <sheet name="Mars 2026" sheetId="4" state="visible" r:id="rId4"/>
    <sheet name="Avril 2026" sheetId="5" state="visible" r:id="rId5"/>
    <sheet name="Mai 2026" sheetId="6" state="visible" r:id="rId6"/>
    <sheet name="Juin 2026" sheetId="7" state="visible" r:id="rId7"/>
    <sheet name="Juillet 2026" sheetId="8" state="visible" r:id="rId8"/>
    <sheet name="Aout 2026" sheetId="9" state="visible" r:id="rId9"/>
    <sheet name="Septembre 2026" sheetId="10" state="visible" r:id="rId10"/>
    <sheet name="Octobre 2026" sheetId="11" state="visible" r:id="rId11"/>
    <sheet name="Novembre 2026" sheetId="12" state="visible" r:id="rId12"/>
    <sheet name="Décembre 2026" sheetId="13" state="visible" r:id="rId13"/>
    <sheet name="Janvier 2027" sheetId="14" state="visible" r:id="rId14"/>
  </sheets>
  <definedNames>
    <definedName name="_xlnm.Print_Area" localSheetId="0">'config'!$E$1:$G$60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d"/>
  </numFmts>
  <fonts count="11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8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theme="4" tint="0.7999816888943144"/>
      </patternFill>
    </fill>
    <fill>
      <patternFill patternType="solid">
        <fgColor theme="7" tint="0.5999938962981048"/>
        <bgColor theme="4" tint="0.799981688894314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9" tint="0.3999755851924192"/>
        <bgColor theme="4" tint="0.7999816888943144"/>
      </patternFill>
    </fill>
    <fill>
      <patternFill patternType="solid">
        <fgColor theme="5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3499862666707358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textRotation="90"/>
    </xf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textRotation="90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8" borderId="4" applyAlignment="1" pivotButton="0" quotePrefix="0" xfId="0">
      <alignment horizontal="left" vertical="center"/>
    </xf>
    <xf numFmtId="0" fontId="4" fillId="8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4" fillId="2" borderId="5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textRotation="90"/>
    </xf>
    <xf numFmtId="14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 textRotation="90"/>
    </xf>
    <xf numFmtId="0" fontId="8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12" borderId="4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18" borderId="4" applyAlignment="1" pivotButton="0" quotePrefix="0" xfId="0">
      <alignment horizontal="left" vertical="center"/>
    </xf>
    <xf numFmtId="0" fontId="4" fillId="8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17" borderId="25" applyAlignment="1" pivotButton="0" quotePrefix="0" xfId="0">
      <alignment horizontal="centerContinuous" vertical="center"/>
    </xf>
    <xf numFmtId="0" fontId="0" fillId="17" borderId="26" applyAlignment="1" pivotButton="0" quotePrefix="0" xfId="0">
      <alignment horizontal="centerContinuous" vertical="center"/>
    </xf>
    <xf numFmtId="0" fontId="0" fillId="16" borderId="25" applyAlignment="1" pivotButton="0" quotePrefix="0" xfId="0">
      <alignment horizontal="centerContinuous" vertical="center"/>
    </xf>
    <xf numFmtId="0" fontId="0" fillId="16" borderId="26" applyAlignment="1" pivotButton="0" quotePrefix="0" xfId="0">
      <alignment horizontal="centerContinuous" vertical="center"/>
    </xf>
    <xf numFmtId="0" fontId="0" fillId="13" borderId="25" applyAlignment="1" pivotButton="0" quotePrefix="0" xfId="0">
      <alignment horizontal="centerContinuous" vertical="center"/>
    </xf>
    <xf numFmtId="0" fontId="0" fillId="13" borderId="26" applyAlignment="1" pivotButton="0" quotePrefix="0" xfId="0">
      <alignment horizontal="centerContinuous" vertical="center"/>
    </xf>
    <xf numFmtId="0" fontId="0" fillId="15" borderId="25" applyAlignment="1" pivotButton="0" quotePrefix="0" xfId="0">
      <alignment horizontal="centerContinuous" vertical="center"/>
    </xf>
    <xf numFmtId="0" fontId="0" fillId="15" borderId="26" applyAlignment="1" pivotButton="0" quotePrefix="0" xfId="0">
      <alignment horizontal="centerContinuous" vertical="center"/>
    </xf>
    <xf numFmtId="0" fontId="0" fillId="10" borderId="25" applyAlignment="1" pivotButton="0" quotePrefix="0" xfId="0">
      <alignment horizontal="centerContinuous" vertical="center"/>
    </xf>
    <xf numFmtId="0" fontId="0" fillId="10" borderId="26" applyAlignment="1" pivotButton="0" quotePrefix="0" xfId="0">
      <alignment horizontal="centerContinuous" vertical="center"/>
    </xf>
    <xf numFmtId="0" fontId="4" fillId="20" borderId="4" applyAlignment="1" pivotButton="0" quotePrefix="0" xfId="0">
      <alignment horizontal="left" vertical="center"/>
    </xf>
    <xf numFmtId="0" fontId="4" fillId="20" borderId="5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21" borderId="4" applyAlignment="1" pivotButton="0" quotePrefix="0" xfId="0">
      <alignment horizontal="left" vertical="center"/>
    </xf>
    <xf numFmtId="0" fontId="4" fillId="21" borderId="5" applyAlignment="1" pivotButton="0" quotePrefix="0" xfId="0">
      <alignment horizontal="left" vertical="center"/>
    </xf>
    <xf numFmtId="0" fontId="4" fillId="17" borderId="0" applyAlignment="1" pivotButton="0" quotePrefix="0" xfId="0">
      <alignment horizontal="center" vertical="center"/>
    </xf>
    <xf numFmtId="0" fontId="4" fillId="13" borderId="4" applyAlignment="1" pivotButton="0" quotePrefix="0" xfId="0">
      <alignment horizontal="left" vertical="center"/>
    </xf>
    <xf numFmtId="0" fontId="4" fillId="13" borderId="5" applyAlignment="1" pivotButton="0" quotePrefix="0" xfId="0">
      <alignment horizontal="left" vertical="center"/>
    </xf>
    <xf numFmtId="0" fontId="4" fillId="13" borderId="0" applyAlignment="1" pivotButton="0" quotePrefix="0" xfId="0">
      <alignment horizontal="center" vertical="center"/>
    </xf>
    <xf numFmtId="0" fontId="4" fillId="22" borderId="4" applyAlignment="1" pivotButton="0" quotePrefix="0" xfId="0">
      <alignment horizontal="left" vertical="center"/>
    </xf>
    <xf numFmtId="0" fontId="4" fillId="14" borderId="5" applyAlignment="1" pivotButton="0" quotePrefix="0" xfId="0">
      <alignment horizontal="left" vertical="center"/>
    </xf>
    <xf numFmtId="0" fontId="4" fillId="14" borderId="5" applyAlignment="1" pivotButton="0" quotePrefix="0" xfId="0">
      <alignment horizontal="center" vertical="center"/>
    </xf>
    <xf numFmtId="0" fontId="4" fillId="23" borderId="4" applyAlignment="1" pivotButton="0" quotePrefix="0" xfId="0">
      <alignment horizontal="left" vertical="center"/>
    </xf>
    <xf numFmtId="0" fontId="4" fillId="23" borderId="5" applyAlignment="1" pivotButton="0" quotePrefix="0" xfId="0">
      <alignment horizontal="left" vertical="center"/>
    </xf>
    <xf numFmtId="0" fontId="4" fillId="23" borderId="5" applyAlignment="1" pivotButton="0" quotePrefix="0" xfId="0">
      <alignment horizontal="center" vertical="center"/>
    </xf>
    <xf numFmtId="0" fontId="4" fillId="12" borderId="5" applyAlignment="1" pivotButton="0" quotePrefix="0" xfId="0">
      <alignment horizontal="left" vertical="center"/>
    </xf>
    <xf numFmtId="0" fontId="4" fillId="24" borderId="4" applyAlignment="1" pivotButton="0" quotePrefix="0" xfId="0">
      <alignment horizontal="left" vertical="center"/>
    </xf>
    <xf numFmtId="0" fontId="4" fillId="24" borderId="5" applyAlignment="1" pivotButton="0" quotePrefix="0" xfId="0">
      <alignment horizontal="left" vertical="center"/>
    </xf>
    <xf numFmtId="0" fontId="4" fillId="24" borderId="5" applyAlignment="1" pivotButton="0" quotePrefix="0" xfId="0">
      <alignment horizontal="center" vertical="center"/>
    </xf>
    <xf numFmtId="0" fontId="0" fillId="10" borderId="30" applyAlignment="1" pivotButton="0" quotePrefix="0" xfId="0">
      <alignment horizontal="centerContinuous" vertical="center"/>
    </xf>
    <xf numFmtId="0" fontId="0" fillId="10" borderId="31" applyAlignment="1" pivotButton="0" quotePrefix="0" xfId="0">
      <alignment horizontal="centerContinuous" vertical="center"/>
    </xf>
    <xf numFmtId="0" fontId="0" fillId="10" borderId="32" applyAlignment="1" pivotButton="0" quotePrefix="0" xfId="0">
      <alignment horizontal="centerContinuous" vertical="center"/>
    </xf>
    <xf numFmtId="0" fontId="0" fillId="10" borderId="33" applyAlignment="1" pivotButton="0" quotePrefix="0" xfId="0">
      <alignment horizontal="centerContinuous" vertical="center"/>
    </xf>
    <xf numFmtId="0" fontId="0" fillId="17" borderId="30" applyAlignment="1" pivotButton="0" quotePrefix="0" xfId="0">
      <alignment horizontal="centerContinuous" vertical="center"/>
    </xf>
    <xf numFmtId="0" fontId="0" fillId="17" borderId="31" applyAlignment="1" pivotButton="0" quotePrefix="0" xfId="0">
      <alignment horizontal="centerContinuous" vertical="center"/>
    </xf>
    <xf numFmtId="0" fontId="0" fillId="17" borderId="32" applyAlignment="1" pivotButton="0" quotePrefix="0" xfId="0">
      <alignment horizontal="centerContinuous" vertical="center"/>
    </xf>
    <xf numFmtId="0" fontId="0" fillId="17" borderId="33" applyAlignment="1" pivotButton="0" quotePrefix="0" xfId="0">
      <alignment horizontal="centerContinuous" vertical="center"/>
    </xf>
    <xf numFmtId="0" fontId="0" fillId="0" borderId="12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6" fillId="25" borderId="1" applyAlignment="1" pivotButton="0" quotePrefix="0" xfId="0">
      <alignment horizontal="center" vertical="center" textRotation="90"/>
    </xf>
    <xf numFmtId="0" fontId="6" fillId="4" borderId="1" applyAlignment="1" pivotButton="0" quotePrefix="0" xfId="0">
      <alignment horizontal="center" vertical="center" textRotation="90"/>
    </xf>
    <xf numFmtId="0" fontId="6" fillId="26" borderId="1" applyAlignment="1" pivotButton="0" quotePrefix="0" xfId="0">
      <alignment horizontal="center" vertical="center" textRotation="90" wrapText="1"/>
    </xf>
    <xf numFmtId="0" fontId="6" fillId="27" borderId="1" applyAlignment="1" pivotButton="0" quotePrefix="0" xfId="0">
      <alignment horizontal="center" vertical="center" textRotation="90"/>
    </xf>
    <xf numFmtId="0" fontId="6" fillId="28" borderId="1" applyAlignment="1" pivotButton="0" quotePrefix="0" xfId="0">
      <alignment horizontal="center" vertical="center" textRotation="90"/>
    </xf>
    <xf numFmtId="0" fontId="6" fillId="29" borderId="1" applyAlignment="1" pivotButton="0" quotePrefix="0" xfId="0">
      <alignment horizontal="center" vertical="center" textRotation="90"/>
    </xf>
    <xf numFmtId="0" fontId="6" fillId="11" borderId="1" applyAlignment="1" pivotButton="0" quotePrefix="0" xfId="0">
      <alignment horizontal="center" vertical="center" textRotation="90"/>
    </xf>
    <xf numFmtId="0" fontId="3" fillId="27" borderId="3" applyAlignment="1" pivotButton="0" quotePrefix="0" xfId="0">
      <alignment horizontal="center" vertical="center"/>
    </xf>
    <xf numFmtId="0" fontId="3" fillId="28" borderId="3" applyAlignment="1" pivotButton="0" quotePrefix="0" xfId="0">
      <alignment horizontal="center" vertical="center"/>
    </xf>
    <xf numFmtId="0" fontId="3" fillId="25" borderId="3" applyAlignment="1" pivotButton="0" quotePrefix="0" xfId="0">
      <alignment horizontal="center" vertical="center"/>
    </xf>
    <xf numFmtId="0" fontId="3" fillId="29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90" wrapText="1"/>
    </xf>
    <xf numFmtId="0" fontId="9" fillId="0" borderId="1" applyAlignment="1" pivotButton="0" quotePrefix="0" xfId="0">
      <alignment horizontal="center" vertical="center"/>
    </xf>
    <xf numFmtId="0" fontId="0" fillId="30" borderId="2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0" borderId="22" applyAlignment="1" pivotButton="0" quotePrefix="0" xfId="0">
      <alignment horizontal="center" vertical="center"/>
    </xf>
    <xf numFmtId="0" fontId="0" fillId="17" borderId="35" applyAlignment="1" pivotButton="0" quotePrefix="0" xfId="0">
      <alignment horizontal="centerContinuous" vertical="center"/>
    </xf>
    <xf numFmtId="0" fontId="0" fillId="17" borderId="37" applyAlignment="1" pivotButton="0" quotePrefix="0" xfId="0">
      <alignment horizontal="centerContinuous" vertical="center"/>
    </xf>
    <xf numFmtId="0" fontId="0" fillId="16" borderId="0" applyAlignment="1" pivotButton="0" quotePrefix="0" xfId="0">
      <alignment horizontal="centerContinuous" vertical="center"/>
    </xf>
    <xf numFmtId="0" fontId="0" fillId="10" borderId="36" applyAlignment="1" pivotButton="0" quotePrefix="0" xfId="0">
      <alignment horizontal="centerContinuous" vertical="center"/>
    </xf>
    <xf numFmtId="0" fontId="0" fillId="10" borderId="38" applyAlignment="1" pivotButton="0" quotePrefix="0" xfId="0">
      <alignment horizontal="centerContinuous" vertical="center"/>
    </xf>
    <xf numFmtId="0" fontId="0" fillId="0" borderId="6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30" borderId="10" applyAlignment="1" pivotButton="0" quotePrefix="0" xfId="0">
      <alignment horizontal="center" vertical="center"/>
    </xf>
    <xf numFmtId="0" fontId="0" fillId="13" borderId="27" applyAlignment="1" pivotButton="0" quotePrefix="0" xfId="0">
      <alignment horizontal="centerContinuous" vertical="center"/>
    </xf>
    <xf numFmtId="0" fontId="0" fillId="0" borderId="19" applyAlignment="1" pivotButton="0" quotePrefix="0" xfId="0">
      <alignment horizontal="center" vertical="center"/>
    </xf>
    <xf numFmtId="0" fontId="0" fillId="30" borderId="2" applyAlignment="1" pivotButton="0" quotePrefix="0" xfId="0">
      <alignment horizontal="center" vertical="center"/>
    </xf>
    <xf numFmtId="14" fontId="10" fillId="31" borderId="0" applyAlignment="1" pivotButton="0" quotePrefix="0" xfId="0">
      <alignment horizontal="center" vertical="center"/>
    </xf>
    <xf numFmtId="164" fontId="3" fillId="31" borderId="3" applyAlignment="1" pivotButton="0" quotePrefix="0" xfId="0">
      <alignment horizontal="center" vertical="center"/>
    </xf>
    <xf numFmtId="0" fontId="3" fillId="31" borderId="3" applyAlignment="1" pivotButton="0" quotePrefix="0" xfId="0">
      <alignment horizontal="center" vertical="center"/>
    </xf>
    <xf numFmtId="0" fontId="0" fillId="31" borderId="2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1" borderId="22" applyAlignment="1" pivotButton="0" quotePrefix="0" xfId="0">
      <alignment horizontal="center" vertical="center"/>
    </xf>
    <xf numFmtId="0" fontId="0" fillId="31" borderId="10" applyAlignment="1" pivotButton="0" quotePrefix="0" xfId="0">
      <alignment horizontal="center" vertical="center"/>
    </xf>
    <xf numFmtId="164" fontId="3" fillId="31" borderId="6" applyAlignment="1" pivotButton="0" quotePrefix="0" xfId="0">
      <alignment horizontal="center" vertical="center"/>
    </xf>
    <xf numFmtId="0" fontId="3" fillId="31" borderId="18" applyAlignment="1" pivotButton="0" quotePrefix="0" xfId="0">
      <alignment horizontal="center" vertical="center"/>
    </xf>
    <xf numFmtId="0" fontId="0" fillId="31" borderId="11" applyAlignment="1" pivotButton="0" quotePrefix="0" xfId="0">
      <alignment horizontal="center" vertical="center"/>
    </xf>
    <xf numFmtId="0" fontId="0" fillId="31" borderId="15" applyAlignment="1" pivotButton="0" quotePrefix="0" xfId="0">
      <alignment horizontal="center" vertical="center"/>
    </xf>
    <xf numFmtId="0" fontId="0" fillId="31" borderId="13" applyAlignment="1" pivotButton="0" quotePrefix="0" xfId="0">
      <alignment horizontal="center" vertical="center"/>
    </xf>
    <xf numFmtId="0" fontId="0" fillId="31" borderId="20" applyAlignment="1" pivotButton="0" quotePrefix="0" xfId="0">
      <alignment horizontal="center" vertical="center"/>
    </xf>
    <xf numFmtId="14" fontId="7" fillId="0" borderId="24" applyAlignment="1" pivotButton="0" quotePrefix="0" xfId="0">
      <alignment vertical="center"/>
    </xf>
    <xf numFmtId="0" fontId="0" fillId="30" borderId="15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30" borderId="12" applyAlignment="1" pivotButton="0" quotePrefix="0" xfId="0">
      <alignment horizontal="center" vertical="center"/>
    </xf>
    <xf numFmtId="0" fontId="0" fillId="30" borderId="16" applyAlignment="1" pivotButton="0" quotePrefix="0" xfId="0">
      <alignment horizontal="center" vertical="center"/>
    </xf>
    <xf numFmtId="0" fontId="0" fillId="30" borderId="14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164" fontId="3" fillId="6" borderId="3" applyAlignment="1" pivotButton="0" quotePrefix="0" xfId="0">
      <alignment horizontal="center" vertical="center"/>
    </xf>
    <xf numFmtId="0" fontId="0" fillId="32" borderId="16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Continuous" vertical="center"/>
    </xf>
    <xf numFmtId="0" fontId="0" fillId="0" borderId="45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42" applyAlignment="1" pivotButton="0" quotePrefix="0" xfId="0">
      <alignment horizontal="center" vertical="center"/>
    </xf>
    <xf numFmtId="0" fontId="0" fillId="13" borderId="36" applyAlignment="1" pivotButton="0" quotePrefix="0" xfId="0">
      <alignment horizontal="centerContinuous"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0" fillId="0" borderId="20" applyAlignment="1" pivotButton="0" quotePrefix="0" xfId="0">
      <alignment horizontal="left" vertical="center"/>
    </xf>
    <xf numFmtId="0" fontId="0" fillId="0" borderId="51" applyAlignment="1" pivotButton="0" quotePrefix="0" xfId="0">
      <alignment horizontal="center" vertical="center"/>
    </xf>
    <xf numFmtId="0" fontId="0" fillId="30" borderId="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textRotation="90"/>
    </xf>
    <xf numFmtId="0" fontId="0" fillId="15" borderId="0" applyAlignment="1" pivotButton="0" quotePrefix="0" xfId="0">
      <alignment horizontal="centerContinuous" vertical="center"/>
    </xf>
    <xf numFmtId="0" fontId="0" fillId="15" borderId="39" applyAlignment="1" pivotButton="0" quotePrefix="0" xfId="0">
      <alignment horizontal="centerContinuous" vertical="center"/>
    </xf>
    <xf numFmtId="0" fontId="0" fillId="30" borderId="15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0" fillId="30" borderId="16" applyAlignment="1" pivotButton="0" quotePrefix="0" xfId="0">
      <alignment vertical="center"/>
    </xf>
    <xf numFmtId="0" fontId="0" fillId="30" borderId="11" applyAlignment="1" pivotButton="0" quotePrefix="0" xfId="0">
      <alignment horizontal="center" vertical="center"/>
    </xf>
    <xf numFmtId="14" fontId="7" fillId="0" borderId="0" applyAlignment="1" pivotButton="0" quotePrefix="0" xfId="0">
      <alignment vertical="center"/>
    </xf>
    <xf numFmtId="164" fontId="3" fillId="0" borderId="28" applyAlignment="1" pivotButton="0" quotePrefix="0" xfId="0">
      <alignment horizontal="center" vertical="center"/>
    </xf>
    <xf numFmtId="164" fontId="3" fillId="0" borderId="43" applyAlignment="1" pivotButton="0" quotePrefix="0" xfId="0">
      <alignment horizontal="center" vertical="center"/>
    </xf>
    <xf numFmtId="164" fontId="3" fillId="0" borderId="51" applyAlignment="1" pivotButton="0" quotePrefix="0" xfId="0">
      <alignment horizontal="center" vertical="center"/>
    </xf>
    <xf numFmtId="164" fontId="3" fillId="0" borderId="4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 textRotation="90"/>
    </xf>
    <xf numFmtId="164" fontId="3" fillId="6" borderId="43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54" applyAlignment="1" pivotButton="0" quotePrefix="0" xfId="0">
      <alignment horizontal="left" vertical="center"/>
    </xf>
    <xf numFmtId="0" fontId="0" fillId="30" borderId="41" applyAlignment="1" pivotButton="0" quotePrefix="0" xfId="0">
      <alignment horizontal="center" vertical="center"/>
    </xf>
    <xf numFmtId="0" fontId="0" fillId="31" borderId="41" applyAlignment="1" pivotButton="0" quotePrefix="0" xfId="0">
      <alignment horizontal="center" vertical="center"/>
    </xf>
    <xf numFmtId="0" fontId="0" fillId="30" borderId="13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14" borderId="38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164" fontId="3" fillId="0" borderId="52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57" applyAlignment="1" pivotButton="0" quotePrefix="0" xfId="0">
      <alignment horizontal="left" vertical="center"/>
    </xf>
    <xf numFmtId="0" fontId="0" fillId="0" borderId="58" applyAlignment="1" pivotButton="0" quotePrefix="0" xfId="0">
      <alignment vertical="center"/>
    </xf>
    <xf numFmtId="0" fontId="0" fillId="0" borderId="46" applyAlignment="1" pivotButton="0" quotePrefix="0" xfId="0">
      <alignment horizontal="center" vertical="center"/>
    </xf>
    <xf numFmtId="0" fontId="0" fillId="15" borderId="27" applyAlignment="1" pivotButton="0" quotePrefix="0" xfId="0">
      <alignment horizontal="centerContinuous" vertical="center"/>
    </xf>
    <xf numFmtId="0" fontId="0" fillId="16" borderId="27" applyAlignment="1" pivotButton="0" quotePrefix="0" xfId="0">
      <alignment horizontal="centerContinuous" vertical="center"/>
    </xf>
    <xf numFmtId="0" fontId="0" fillId="10" borderId="27" applyAlignment="1" pivotButton="0" quotePrefix="0" xfId="0">
      <alignment horizontal="centerContinuous" vertical="center"/>
    </xf>
    <xf numFmtId="0" fontId="0" fillId="17" borderId="27" applyAlignment="1" pivotButton="0" quotePrefix="0" xfId="0">
      <alignment horizontal="centerContinuous" vertical="center"/>
    </xf>
    <xf numFmtId="164" fontId="3" fillId="31" borderId="52" applyAlignment="1" pivotButton="0" quotePrefix="0" xfId="0">
      <alignment horizontal="center" vertical="center"/>
    </xf>
    <xf numFmtId="0" fontId="3" fillId="31" borderId="5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3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0" borderId="20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10" borderId="56" applyAlignment="1" pivotButton="0" quotePrefix="0" xfId="0">
      <alignment horizontal="centerContinuous" vertical="center"/>
    </xf>
    <xf numFmtId="0" fontId="0" fillId="10" borderId="47" applyAlignment="1" pivotButton="0" quotePrefix="0" xfId="0">
      <alignment horizontal="centerContinuous" vertical="center"/>
    </xf>
    <xf numFmtId="0" fontId="0" fillId="10" borderId="48" applyAlignment="1" pivotButton="0" quotePrefix="0" xfId="0">
      <alignment horizontal="centerContinuous" vertical="center"/>
    </xf>
    <xf numFmtId="0" fontId="0" fillId="10" borderId="49" applyAlignment="1" pivotButton="0" quotePrefix="0" xfId="0">
      <alignment horizontal="centerContinuous" vertical="center"/>
    </xf>
    <xf numFmtId="0" fontId="0" fillId="10" borderId="59" applyAlignment="1" pivotButton="0" quotePrefix="0" xfId="0">
      <alignment horizontal="centerContinuous" vertical="center"/>
    </xf>
    <xf numFmtId="0" fontId="0" fillId="31" borderId="6" applyAlignment="1" pivotButton="0" quotePrefix="0" xfId="0">
      <alignment horizontal="center" vertical="center"/>
    </xf>
    <xf numFmtId="0" fontId="0" fillId="30" borderId="17" applyAlignment="1" pivotButton="0" quotePrefix="0" xfId="0">
      <alignment horizontal="center" vertical="center"/>
    </xf>
    <xf numFmtId="0" fontId="0" fillId="30" borderId="43" applyAlignment="1" pivotButton="0" quotePrefix="0" xfId="0">
      <alignment horizontal="center" vertical="center"/>
    </xf>
    <xf numFmtId="0" fontId="0" fillId="30" borderId="28" applyAlignment="1" pivotButton="0" quotePrefix="0" xfId="0">
      <alignment horizontal="center" vertical="center"/>
    </xf>
    <xf numFmtId="0" fontId="0" fillId="32" borderId="15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0" fontId="0" fillId="32" borderId="16" applyAlignment="1" pivotButton="0" quotePrefix="0" xfId="0">
      <alignment vertical="center"/>
    </xf>
    <xf numFmtId="0" fontId="0" fillId="33" borderId="57" applyAlignment="1" pivotButton="0" quotePrefix="0" xfId="0">
      <alignment horizontal="left" vertical="center"/>
    </xf>
    <xf numFmtId="0" fontId="0" fillId="33" borderId="58" applyAlignment="1" pivotButton="0" quotePrefix="0" xfId="0">
      <alignment vertical="center"/>
    </xf>
    <xf numFmtId="0" fontId="0" fillId="33" borderId="42" applyAlignment="1" pivotButton="0" quotePrefix="0" xfId="0">
      <alignment horizontal="center" vertical="center"/>
    </xf>
    <xf numFmtId="0" fontId="0" fillId="33" borderId="43" applyAlignment="1" pivotButton="0" quotePrefix="0" xfId="0">
      <alignment horizontal="center" vertical="center"/>
    </xf>
    <xf numFmtId="0" fontId="0" fillId="33" borderId="51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22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2" borderId="20" applyAlignment="1" pivotButton="0" quotePrefix="0" xfId="0">
      <alignment horizontal="left" vertical="center"/>
    </xf>
    <xf numFmtId="0" fontId="0" fillId="32" borderId="17" applyAlignment="1" pivotButton="0" quotePrefix="0" xfId="0">
      <alignment vertical="center"/>
    </xf>
    <xf numFmtId="0" fontId="0" fillId="32" borderId="11" applyAlignment="1" pivotButton="0" quotePrefix="0" xfId="0">
      <alignment horizontal="center" vertical="center"/>
    </xf>
    <xf numFmtId="0" fontId="0" fillId="32" borderId="21" applyAlignment="1" pivotButton="0" quotePrefix="0" xfId="0">
      <alignment horizontal="center" vertical="center"/>
    </xf>
    <xf numFmtId="0" fontId="0" fillId="32" borderId="28" applyAlignment="1" pivotButton="0" quotePrefix="0" xfId="0">
      <alignment horizontal="center" vertical="center"/>
    </xf>
    <xf numFmtId="0" fontId="0" fillId="32" borderId="15" applyAlignment="1" pivotButton="0" quotePrefix="0" xfId="0">
      <alignment horizontal="center" vertical="center"/>
    </xf>
    <xf numFmtId="0" fontId="4" fillId="31" borderId="4" applyAlignment="1" pivotButton="0" quotePrefix="0" xfId="0">
      <alignment horizontal="left" vertical="center"/>
    </xf>
    <xf numFmtId="0" fontId="4" fillId="31" borderId="5" applyAlignment="1" pivotButton="0" quotePrefix="0" xfId="0">
      <alignment horizontal="center" vertical="center"/>
    </xf>
    <xf numFmtId="0" fontId="4" fillId="31" borderId="0" applyAlignment="1" pivotButton="0" quotePrefix="0" xfId="0">
      <alignment horizontal="center" vertical="center"/>
    </xf>
    <xf numFmtId="0" fontId="0" fillId="0" borderId="57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34" borderId="25" applyAlignment="1" pivotButton="0" quotePrefix="0" xfId="0">
      <alignment horizontal="centerContinuous" vertical="center"/>
    </xf>
    <xf numFmtId="0" fontId="0" fillId="34" borderId="26" applyAlignment="1" pivotButton="0" quotePrefix="0" xfId="0">
      <alignment horizontal="centerContinuous" vertical="center"/>
    </xf>
    <xf numFmtId="0" fontId="0" fillId="34" borderId="30" applyAlignment="1" pivotButton="0" quotePrefix="0" xfId="0">
      <alignment horizontal="centerContinuous" vertical="center"/>
    </xf>
    <xf numFmtId="0" fontId="0" fillId="34" borderId="31" applyAlignment="1" pivotButton="0" quotePrefix="0" xfId="0">
      <alignment horizontal="centerContinuous" vertical="center"/>
    </xf>
    <xf numFmtId="0" fontId="0" fillId="34" borderId="32" applyAlignment="1" pivotButton="0" quotePrefix="0" xfId="0">
      <alignment horizontal="centerContinuous" vertical="center"/>
    </xf>
    <xf numFmtId="0" fontId="0" fillId="34" borderId="33" applyAlignment="1" pivotButton="0" quotePrefix="0" xfId="0">
      <alignment horizontal="centerContinuous" vertical="center"/>
    </xf>
    <xf numFmtId="0" fontId="0" fillId="34" borderId="27" applyAlignment="1" pivotButton="0" quotePrefix="0" xfId="0">
      <alignment horizontal="centerContinuous" vertical="center"/>
    </xf>
    <xf numFmtId="0" fontId="0" fillId="30" borderId="0" applyAlignment="1" pivotButton="0" quotePrefix="0" xfId="0">
      <alignment horizontal="center" vertical="center"/>
    </xf>
    <xf numFmtId="164" fontId="3" fillId="32" borderId="52" applyAlignment="1" pivotButton="0" quotePrefix="0" xfId="0">
      <alignment horizontal="center" vertical="center"/>
    </xf>
    <xf numFmtId="0" fontId="3" fillId="32" borderId="50" applyAlignment="1" pivotButton="0" quotePrefix="0" xfId="0">
      <alignment horizontal="center" vertical="center"/>
    </xf>
    <xf numFmtId="0" fontId="0" fillId="32" borderId="20" applyAlignment="1" pivotButton="0" quotePrefix="0" xfId="0">
      <alignment horizontal="center" vertical="center"/>
    </xf>
    <xf numFmtId="0" fontId="0" fillId="32" borderId="13" applyAlignment="1" pivotButton="0" quotePrefix="0" xfId="0">
      <alignment horizontal="center" vertical="center"/>
    </xf>
    <xf numFmtId="0" fontId="0" fillId="32" borderId="47" applyAlignment="1" pivotButton="0" quotePrefix="0" xfId="0">
      <alignment horizontal="center" vertical="center"/>
    </xf>
    <xf numFmtId="0" fontId="0" fillId="30" borderId="48" applyAlignment="1" pivotButton="0" quotePrefix="0" xfId="0">
      <alignment horizontal="center" vertical="center"/>
    </xf>
    <xf numFmtId="0" fontId="0" fillId="30" borderId="4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0" borderId="11" applyAlignment="1" pivotButton="0" quotePrefix="0" xfId="0">
      <alignment vertical="center"/>
    </xf>
    <xf numFmtId="0" fontId="0" fillId="30" borderId="21" applyAlignment="1" pivotButton="0" quotePrefix="0" xfId="0">
      <alignment vertical="center"/>
    </xf>
    <xf numFmtId="0" fontId="0" fillId="30" borderId="12" applyAlignment="1" pivotButton="0" quotePrefix="0" xfId="0">
      <alignment vertical="center"/>
    </xf>
    <xf numFmtId="0" fontId="0" fillId="34" borderId="36" applyAlignment="1" pivotButton="0" quotePrefix="0" xfId="0">
      <alignment horizontal="centerContinuous" vertical="center"/>
    </xf>
    <xf numFmtId="0" fontId="0" fillId="34" borderId="38" applyAlignment="1" pivotButton="0" quotePrefix="0" xfId="0">
      <alignment horizontal="centerContinuous" vertical="center"/>
    </xf>
    <xf numFmtId="0" fontId="0" fillId="30" borderId="20" applyAlignment="1" pivotButton="0" quotePrefix="0" xfId="0">
      <alignment vertical="center"/>
    </xf>
    <xf numFmtId="0" fontId="0" fillId="30" borderId="10" applyAlignment="1" pivotButton="0" quotePrefix="0" xfId="0">
      <alignment vertical="center"/>
    </xf>
    <xf numFmtId="0" fontId="0" fillId="30" borderId="17" applyAlignment="1" pivotButton="0" quotePrefix="0" xfId="0">
      <alignment vertical="center"/>
    </xf>
    <xf numFmtId="0" fontId="0" fillId="31" borderId="40" applyAlignment="1" pivotButton="0" quotePrefix="0" xfId="0">
      <alignment horizontal="center" vertical="center"/>
    </xf>
    <xf numFmtId="0" fontId="0" fillId="31" borderId="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19" borderId="27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6" borderId="36" applyAlignment="1" pivotButton="0" quotePrefix="0" xfId="0">
      <alignment horizontal="centerContinuous" vertical="center"/>
    </xf>
    <xf numFmtId="0" fontId="0" fillId="16" borderId="38" applyAlignment="1" pivotButton="0" quotePrefix="0" xfId="0">
      <alignment horizontal="centerContinuous" vertical="center"/>
    </xf>
    <xf numFmtId="0" fontId="0" fillId="16" borderId="39" applyAlignment="1" pivotButton="0" quotePrefix="0" xfId="0">
      <alignment horizontal="centerContinuous" vertical="center"/>
    </xf>
    <xf numFmtId="0" fontId="0" fillId="30" borderId="40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Continuous" vertical="center"/>
    </xf>
    <xf numFmtId="0" fontId="0" fillId="17" borderId="0" applyAlignment="1" pivotButton="0" quotePrefix="0" xfId="0">
      <alignment horizontal="centerContinuous" vertical="center"/>
    </xf>
    <xf numFmtId="0" fontId="0" fillId="34" borderId="0" applyAlignment="1" pivotButton="0" quotePrefix="0" xfId="0">
      <alignment horizontal="centerContinuous" vertical="center"/>
    </xf>
    <xf numFmtId="0" fontId="0" fillId="13" borderId="0" applyAlignment="1" pivotButton="0" quotePrefix="0" xfId="0">
      <alignment horizontal="centerContinuous" vertical="center"/>
    </xf>
    <xf numFmtId="0" fontId="0" fillId="19" borderId="0" applyAlignment="1" pivotButton="0" quotePrefix="0" xfId="0">
      <alignment horizontal="center" vertical="center"/>
    </xf>
    <xf numFmtId="0" fontId="0" fillId="32" borderId="22" applyAlignment="1" pivotButton="0" quotePrefix="0" xfId="0">
      <alignment horizontal="center" vertical="center"/>
    </xf>
    <xf numFmtId="0" fontId="0" fillId="32" borderId="14" applyAlignment="1" pivotButton="0" quotePrefix="0" xfId="0">
      <alignment horizontal="center" vertical="center"/>
    </xf>
    <xf numFmtId="0" fontId="0" fillId="14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Continuous" vertical="center"/>
    </xf>
    <xf numFmtId="0" fontId="0" fillId="35" borderId="15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0" fontId="0" fillId="35" borderId="16" applyAlignment="1" pivotButton="0" quotePrefix="0" xfId="0">
      <alignment vertical="center"/>
    </xf>
    <xf numFmtId="0" fontId="0" fillId="35" borderId="11" applyAlignment="1" pivotButton="0" quotePrefix="0" xfId="0">
      <alignment horizontal="center" vertical="center"/>
    </xf>
    <xf numFmtId="0" fontId="0" fillId="35" borderId="21" applyAlignment="1" pivotButton="0" quotePrefix="0" xfId="0">
      <alignment horizontal="center" vertical="center"/>
    </xf>
    <xf numFmtId="0" fontId="0" fillId="35" borderId="28" applyAlignment="1" pivotButton="0" quotePrefix="0" xfId="0">
      <alignment horizontal="center" vertical="center"/>
    </xf>
    <xf numFmtId="0" fontId="0" fillId="35" borderId="15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5" borderId="16" applyAlignment="1" pivotButton="0" quotePrefix="0" xfId="0">
      <alignment horizontal="center" vertical="center"/>
    </xf>
    <xf numFmtId="0" fontId="0" fillId="34" borderId="39" applyAlignment="1" pivotButton="0" quotePrefix="0" xfId="0">
      <alignment horizontal="centerContinuous" vertical="center"/>
    </xf>
    <xf numFmtId="164" fontId="3" fillId="31" borderId="43" applyAlignment="1" pivotButton="0" quotePrefix="0" xfId="0">
      <alignment horizontal="center" vertical="center"/>
    </xf>
    <xf numFmtId="0" fontId="3" fillId="31" borderId="22" applyAlignment="1" pivotButton="0" quotePrefix="0" xfId="0">
      <alignment horizontal="center"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63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31" borderId="16" applyAlignment="1" pivotButton="0" quotePrefix="0" xfId="0">
      <alignment horizontal="center" vertical="center"/>
    </xf>
    <xf numFmtId="0" fontId="0" fillId="31" borderId="47" applyAlignment="1" pivotButton="0" quotePrefix="0" xfId="0">
      <alignment horizontal="center" vertical="center"/>
    </xf>
    <xf numFmtId="0" fontId="0" fillId="15" borderId="36" applyAlignment="1" pivotButton="0" quotePrefix="0" xfId="0">
      <alignment horizontal="centerContinuous" vertical="center"/>
    </xf>
    <xf numFmtId="0" fontId="0" fillId="14" borderId="39" applyAlignment="1" pivotButton="0" quotePrefix="0" xfId="0">
      <alignment horizontal="center" vertical="center"/>
    </xf>
    <xf numFmtId="0" fontId="0" fillId="15" borderId="38" applyAlignment="1" pivotButton="0" quotePrefix="0" xfId="0">
      <alignment horizontal="centerContinuous" vertical="center"/>
    </xf>
    <xf numFmtId="2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17" fontId="4" fillId="0" borderId="0" pivotButton="0" quotePrefix="0" xfId="0"/>
    <xf numFmtId="0" fontId="0" fillId="19" borderId="25" applyAlignment="1" pivotButton="0" quotePrefix="0" xfId="0">
      <alignment horizontal="center" vertical="center"/>
    </xf>
    <xf numFmtId="0" fontId="0" fillId="19" borderId="26" applyAlignment="1" pivotButton="0" quotePrefix="0" xfId="0">
      <alignment horizontal="center" vertical="center"/>
    </xf>
    <xf numFmtId="0" fontId="0" fillId="19" borderId="2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7" fillId="0" borderId="6" applyAlignment="1" pivotButton="0" quotePrefix="0" xfId="0">
      <alignment horizontal="center" vertical="center"/>
    </xf>
    <xf numFmtId="14" fontId="7" fillId="0" borderId="7" applyAlignment="1" pivotButton="0" quotePrefix="0" xfId="0">
      <alignment horizontal="center" vertical="center"/>
    </xf>
    <xf numFmtId="14" fontId="7" fillId="0" borderId="2" applyAlignment="1" pivotButton="0" quotePrefix="0" xfId="0">
      <alignment horizontal="center" vertical="center"/>
    </xf>
    <xf numFmtId="0" fontId="0" fillId="14" borderId="56" applyAlignment="1" pivotButton="0" quotePrefix="0" xfId="0">
      <alignment horizontal="center" vertical="center"/>
    </xf>
    <xf numFmtId="0" fontId="0" fillId="14" borderId="36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9" borderId="61" applyAlignment="1" pivotButton="0" quotePrefix="0" xfId="0">
      <alignment horizontal="center" vertical="center"/>
    </xf>
    <xf numFmtId="0" fontId="0" fillId="19" borderId="35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center"/>
    </xf>
    <xf numFmtId="0" fontId="0" fillId="19" borderId="39" applyAlignment="1" pivotButton="0" quotePrefix="0" xfId="0">
      <alignment horizontal="center" vertical="center"/>
    </xf>
    <xf numFmtId="0" fontId="0" fillId="19" borderId="36" applyAlignment="1" pivotButton="0" quotePrefix="0" xfId="0">
      <alignment horizontal="center" vertical="center"/>
    </xf>
    <xf numFmtId="0" fontId="0" fillId="14" borderId="38" applyAlignment="1" pivotButton="0" quotePrefix="0" xfId="0">
      <alignment horizontal="center" vertical="center"/>
    </xf>
    <xf numFmtId="0" fontId="0" fillId="14" borderId="25" applyAlignment="1" pivotButton="0" quotePrefix="0" xfId="0">
      <alignment horizontal="center" vertical="center"/>
    </xf>
    <xf numFmtId="0" fontId="0" fillId="14" borderId="26" applyAlignment="1" pivotButton="0" quotePrefix="0" xfId="0">
      <alignment horizontal="center" vertical="center"/>
    </xf>
    <xf numFmtId="0" fontId="0" fillId="14" borderId="35" applyAlignment="1" pivotButton="0" quotePrefix="0" xfId="0">
      <alignment horizontal="center" vertical="center"/>
    </xf>
    <xf numFmtId="17" fontId="4" fillId="0" borderId="0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6" pivotButton="0" quotePrefix="0" xfId="0"/>
    <xf numFmtId="0" fontId="0" fillId="19" borderId="6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19" borderId="6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7" pivotButton="0" quotePrefix="0" xfId="0"/>
    <xf numFmtId="0" fontId="0" fillId="14" borderId="67" applyAlignment="1" pivotButton="0" quotePrefix="0" xfId="0">
      <alignment horizontal="center" vertical="center"/>
    </xf>
    <xf numFmtId="0" fontId="0" fillId="0" borderId="38" pivotButton="0" quotePrefix="0" xfId="0"/>
  </cellXfs>
  <cellStyles count="1">
    <cellStyle name="Normal" xfId="0" builtinId="0"/>
  </cellStyles>
  <dxfs count="136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center"/>
      <border outline="0">
        <left/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center"/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alignment horizontal="center" vertical="center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'Janvier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2026'!$AV$13:$BF$13</f>
              <numCache>
                <formatCode>General</formatCode>
                <ptCount val="11"/>
                <pt idx="0">
                  <v>0</v>
                </pt>
                <pt idx="1">
                  <v>35</v>
                </pt>
                <pt idx="2">
                  <v>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21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2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2026'!$AV$40:$BF$40</f>
              <numCache>
                <formatCode>General</formatCode>
                <ptCount val="11"/>
                <pt idx="0">
                  <v>0</v>
                </pt>
                <pt idx="1">
                  <v>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11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'Fevrier 2026'!$AS$12:$BC$12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2026'!$AS$13:$BC$13</f>
              <numCache>
                <formatCode>General</formatCode>
                <ptCount val="11"/>
                <pt idx="0">
                  <v>0</v>
                </pt>
                <pt idx="1">
                  <v>18</v>
                </pt>
                <pt idx="2">
                  <v>0</v>
                </pt>
                <pt idx="3">
                  <v>0</v>
                </pt>
                <pt idx="4">
                  <v>6</v>
                </pt>
                <pt idx="5">
                  <v>2</v>
                </pt>
                <pt idx="6">
                  <v>12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'Fevrier 2026'!$AS$51:$BC$51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2026'!$AS$52:$BC$52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'Fevrier 2026'!$AS$39:$BC$39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2026'!$AS$40:$BC$40</f>
              <numCache>
                <formatCode>General</formatCode>
                <ptCount val="11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28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'Fevrier 2026'!$AS$64:$BC$64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2026'!$AS$65:$BC$65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'Mars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2026'!$AV$13:$BF$13</f>
              <numCache>
                <formatCode>General</formatCode>
                <ptCount val="11"/>
                <pt idx="0">
                  <v>0</v>
                </pt>
                <pt idx="1">
                  <v>15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'Mars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'Mars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'Mars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'Avril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'Avril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'Avril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'Avril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'Mai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2026'!$AV$13:$BF$13</f>
              <numCache>
                <formatCode>General</formatCode>
                <ptCount val="11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'Mai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'Mai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'Mai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'Juin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2026'!$AU$13:$BE$13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'Juin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'Juin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'Juin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'Juillet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2026'!$AU$13:$BE$13</f>
              <numCache>
                <formatCode>General</formatCode>
                <ptCount val="11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'Juillet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'Juillet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'Juillet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'Aout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92D05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'Aout 2026'!$AV$52:$BF$52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2026'!$AV$53:$BF$53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'Aout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'Aout 2026'!$AV$65:$BF$65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2026'!$AV$66:$BF$66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'Septembre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2026'!$AU$13:$BE$13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'Septembre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'Septembre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8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'Septembre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'Octobre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'Octobre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'Octobre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'Octobre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'Novembre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2026'!$AU$13:$BE$13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'Novembre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'Novembre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'Novembre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'Décembre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'Décembre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'Décembre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8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'Décembre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'Janvier 2027'!$AV$12:$BF$12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2027'!$AV$51:$BF$51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2027'!$AV$39:$BF$39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2027'!$AV$64:$BF$64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tc={6E408287-D40D-4F4D-8E53-F9696CEC6714}</author>
    <author>tc={1B55D5BA-FF4A-4491-AB2D-D554E8C6723C}</author>
  </authors>
  <commentList>
    <comment ref="AK20" authorId="0" shapeId="0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opérations d'infrastructures de voirie : les fondamentaux de la maîtrise d'ouvrage </t>
      </text>
    </comment>
    <comment ref="AQ20" authorId="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opérations d'infrastructures de voirie : les fondamentaux de la maîtrise d'ouvrage</t>
      </text>
    </comment>
  </commentList>
</comments>
</file>

<file path=xl/comments/comment2.xml><?xml version="1.0" encoding="utf-8"?>
<comments xmlns="http://schemas.openxmlformats.org/spreadsheetml/2006/main">
  <authors>
    <author>tc={4842458A-AF2D-41AB-BF57-7A8FEC3F88E0}</author>
  </authors>
  <commentList>
    <comment ref="AP18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FRAC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43</col>
      <colOff>672352</colOff>
      <row>13</row>
      <rowOff>123264</rowOff>
    </from>
    <to>
      <col>55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55</col>
      <colOff>298662</colOff>
      <row>49</row>
      <rowOff>66262</rowOff>
    </from>
    <to>
      <col>59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55</col>
      <colOff>273326</colOff>
      <row>37</row>
      <rowOff>16565</rowOff>
    </from>
    <to>
      <col>58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43</col>
      <colOff>627529</colOff>
      <row>65</row>
      <rowOff>123265</rowOff>
    </from>
    <to>
      <col>55</col>
      <colOff>302557</colOff>
      <row>80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81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81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50</row>
      <rowOff>66262</rowOff>
    </from>
    <to>
      <col>62</col>
      <colOff>130572</colOff>
      <row>64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66</row>
      <rowOff>123265</rowOff>
    </from>
    <to>
      <col>58</col>
      <colOff>302557</colOff>
      <row>83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80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u14" displayName="Tableau14" ref="E2:AD70" headerRowCount="1" totalsRowShown="0" headerRowDxfId="1354" dataDxfId="1353">
  <autoFilter ref="E2:AD70"/>
  <tableColumns count="26">
    <tableColumn id="1" name="Matricule" dataDxfId="1352"/>
    <tableColumn id="2" name="Nom" dataDxfId="1351"/>
    <tableColumn id="3" name="Prénom" dataDxfId="1350"/>
    <tableColumn id="6" name="Anniversaire" dataDxfId="1349"/>
    <tableColumn id="7" name="Dernières visites médicale" dataDxfId="1348"/>
    <tableColumn id="8" name="Prochaines visites médicale" dataDxfId="1347"/>
    <tableColumn id="9" name="R.482 A (1)" dataDxfId="1346"/>
    <tableColumn id="10" name="R.482 B1 (2)" dataDxfId="1345"/>
    <tableColumn id="11" name="R.482 C2 (3)" dataDxfId="1344"/>
    <tableColumn id="12" name="R.482 C1 (4)" dataDxfId="1343"/>
    <tableColumn id="13" name="R.482 5" dataDxfId="1342"/>
    <tableColumn id="14" name="R.482 D (7)" dataDxfId="1341"/>
    <tableColumn id="15" name="R.482 E (8)" dataDxfId="1340"/>
    <tableColumn id="16" name="R.482 F (9)" dataDxfId="1339"/>
    <tableColumn id="17" name="R.482 G (10)" dataDxfId="1338"/>
    <tableColumn id="4" name="Tondeuse FI" dataDxfId="1337"/>
    <tableColumn id="5" name="Grue R.490" dataDxfId="1336"/>
    <tableColumn id="18" name="B (Nacelle)" dataDxfId="1335"/>
    <tableColumn id="19" name="Chariot R.489 / 3" dataDxfId="1334"/>
    <tableColumn id="20" name="Tronço" dataDxfId="1333"/>
    <tableColumn id="21" name="Permis BE - REMORQUE" dataDxfId="1332"/>
    <tableColumn id="22" name="Permis PL" dataDxfId="1331"/>
    <tableColumn id="23" name="Permis CE _x000d__x000a_Sup Lourd" dataDxfId="1330"/>
    <tableColumn id="24" name="FIMO" dataDxfId="1329"/>
    <tableColumn id="25" name="AIPR" dataDxfId="1328"/>
    <tableColumn id="26" name="Premiers secours" dataDxfId="13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70"/>
  <sheetViews>
    <sheetView tabSelected="1" topLeftCell="C1" workbookViewId="0">
      <selection activeCell="K33" sqref="K33"/>
    </sheetView>
  </sheetViews>
  <sheetFormatPr baseColWidth="10" defaultColWidth="11.42578125" defaultRowHeight="15"/>
  <cols>
    <col width="13" bestFit="1" customWidth="1" style="1" min="1" max="1"/>
    <col width="10.7109375" bestFit="1" customWidth="1" style="1" min="2" max="3"/>
    <col width="10.85546875" customWidth="1" style="1" min="4" max="4"/>
    <col width="36.85546875" bestFit="1" customWidth="1" style="1" min="5" max="5"/>
    <col width="16.85546875" customWidth="1" style="1" min="6" max="6"/>
    <col width="13.5703125" bestFit="1" customWidth="1" style="1" min="7" max="7"/>
    <col width="17.7109375" bestFit="1" customWidth="1" style="1" min="8" max="8"/>
    <col width="30.140625" bestFit="1" customWidth="1" min="9" max="9"/>
    <col width="31.140625" bestFit="1" customWidth="1" min="10" max="10"/>
    <col width="15.7109375" bestFit="1" customWidth="1" min="11" max="11"/>
    <col width="16.5703125" bestFit="1" customWidth="1" min="12" max="14"/>
    <col width="12.5703125" bestFit="1" customWidth="1" min="15" max="15"/>
    <col width="15.7109375" bestFit="1" customWidth="1" min="16" max="16"/>
    <col width="15.42578125" bestFit="1" customWidth="1" min="17" max="18"/>
    <col width="16.85546875" bestFit="1" customWidth="1" min="19" max="19"/>
    <col width="17.140625" bestFit="1" customWidth="1" min="20" max="20"/>
    <col width="16" bestFit="1" customWidth="1" min="21" max="21"/>
    <col width="16.140625" bestFit="1" customWidth="1" min="22" max="22"/>
    <col width="20.7109375" bestFit="1" customWidth="1" min="23" max="23"/>
    <col width="12.42578125" bestFit="1" customWidth="1" min="24" max="24"/>
    <col width="27.42578125" bestFit="1" customWidth="1" min="25" max="25"/>
    <col width="15" bestFit="1" customWidth="1" min="26" max="26"/>
    <col width="25.5703125" bestFit="1" customWidth="1" min="27" max="27"/>
    <col width="11.28515625" bestFit="1" customWidth="1" min="28" max="28"/>
    <col width="10.5703125" bestFit="1" customWidth="1" min="29" max="29"/>
    <col width="21.7109375" bestFit="1" customWidth="1" min="30" max="30"/>
  </cols>
  <sheetData>
    <row r="2">
      <c r="A2" s="1" t="inlineStr">
        <is>
          <t>date d'entrée</t>
        </is>
      </c>
      <c r="B2" s="3" t="n">
        <v>46023</v>
      </c>
      <c r="E2" s="1" t="inlineStr">
        <is>
          <t>Matricule</t>
        </is>
      </c>
      <c r="F2" s="1" t="inlineStr">
        <is>
          <t>Nom</t>
        </is>
      </c>
      <c r="G2" s="1" t="inlineStr">
        <is>
          <t>Prénom</t>
        </is>
      </c>
      <c r="H2" s="1" t="inlineStr">
        <is>
          <t>Anniversaire</t>
        </is>
      </c>
      <c r="I2" s="1" t="inlineStr">
        <is>
          <t>Dernières visites médicale</t>
        </is>
      </c>
      <c r="J2" s="1" t="inlineStr">
        <is>
          <t>Prochaines visites médicale</t>
        </is>
      </c>
      <c r="K2" s="1" t="inlineStr">
        <is>
          <t>R.482 A (1)</t>
        </is>
      </c>
      <c r="L2" s="1" t="inlineStr">
        <is>
          <t>R.482 B1 (2)</t>
        </is>
      </c>
      <c r="M2" s="1" t="inlineStr">
        <is>
          <t>R.482 C2 (3)</t>
        </is>
      </c>
      <c r="N2" s="1" t="inlineStr">
        <is>
          <t>R.482 C1 (4)</t>
        </is>
      </c>
      <c r="O2" s="1" t="inlineStr">
        <is>
          <t>R.482 5</t>
        </is>
      </c>
      <c r="P2" s="1" t="inlineStr">
        <is>
          <t>R.482 D (7)</t>
        </is>
      </c>
      <c r="Q2" s="1" t="inlineStr">
        <is>
          <t>R.482 E (8)</t>
        </is>
      </c>
      <c r="R2" s="1" t="inlineStr">
        <is>
          <t>R.482 F (9)</t>
        </is>
      </c>
      <c r="S2" s="1" t="inlineStr">
        <is>
          <t>R.482 G (10)</t>
        </is>
      </c>
      <c r="T2" s="1" t="inlineStr">
        <is>
          <t>Tondeuse FI</t>
        </is>
      </c>
      <c r="U2" s="1" t="inlineStr">
        <is>
          <t>Grue R.490</t>
        </is>
      </c>
      <c r="V2" s="1" t="inlineStr">
        <is>
          <t>B (Nacelle)</t>
        </is>
      </c>
      <c r="W2" s="1" t="inlineStr">
        <is>
          <t>Chariot R.489 / 3</t>
        </is>
      </c>
      <c r="X2" s="1" t="inlineStr">
        <is>
          <t>Tronço</t>
        </is>
      </c>
      <c r="Y2" s="1" t="inlineStr">
        <is>
          <t>Permis BE - REMORQUE</t>
        </is>
      </c>
      <c r="Z2" s="1" t="inlineStr">
        <is>
          <t>Permis PL</t>
        </is>
      </c>
      <c r="AA2" s="1" t="inlineStr">
        <is>
          <t>Permis CE _x000D_
Sup Lourd</t>
        </is>
      </c>
      <c r="AB2" s="1" t="inlineStr">
        <is>
          <t>FIMO</t>
        </is>
      </c>
      <c r="AC2" s="1" t="inlineStr">
        <is>
          <t>AIPR</t>
        </is>
      </c>
      <c r="AD2" s="1" t="inlineStr">
        <is>
          <t>Premiers secours</t>
        </is>
      </c>
    </row>
    <row r="3">
      <c r="A3" s="1" t="inlineStr">
        <is>
          <t> </t>
        </is>
      </c>
      <c r="B3" s="3" t="n"/>
      <c r="E3" s="16" t="inlineStr">
        <is>
          <t>N019002</t>
        </is>
      </c>
      <c r="F3" s="17" t="inlineStr">
        <is>
          <t>DEBREYNE</t>
        </is>
      </c>
      <c r="G3" s="46" t="inlineStr">
        <is>
          <t>Audrey</t>
        </is>
      </c>
      <c r="H3" s="46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7" t="n"/>
      <c r="T3" s="317" t="n"/>
      <c r="U3" s="317" t="n"/>
      <c r="V3" s="317" t="n"/>
      <c r="W3" s="317" t="n"/>
      <c r="X3" s="317" t="n"/>
      <c r="Y3" s="317" t="n"/>
      <c r="Z3" s="317" t="n"/>
      <c r="AA3" s="317" t="n"/>
      <c r="AB3" s="317" t="n"/>
      <c r="AC3" s="317" t="n"/>
      <c r="AD3" s="317" t="n"/>
    </row>
    <row r="4">
      <c r="B4" s="1" t="inlineStr">
        <is>
          <t>début</t>
        </is>
      </c>
      <c r="C4" s="1" t="inlineStr">
        <is>
          <t>fin</t>
        </is>
      </c>
      <c r="E4" s="18" t="inlineStr">
        <is>
          <t>N024050</t>
        </is>
      </c>
      <c r="F4" s="19" t="inlineStr">
        <is>
          <t>LUTARD</t>
        </is>
      </c>
      <c r="G4" s="46" t="inlineStr">
        <is>
          <t>Karyne</t>
        </is>
      </c>
      <c r="H4" s="46" t="n"/>
      <c r="I4" s="317" t="n"/>
      <c r="J4" s="317" t="n"/>
      <c r="K4" s="317" t="n"/>
      <c r="L4" s="317" t="n"/>
      <c r="M4" s="317" t="n"/>
      <c r="N4" s="317" t="n"/>
      <c r="O4" s="317" t="n"/>
      <c r="P4" s="317" t="n"/>
      <c r="Q4" s="317" t="n"/>
      <c r="R4" s="317" t="n"/>
      <c r="S4" s="317" t="n"/>
      <c r="T4" s="317" t="n"/>
      <c r="U4" s="317" t="n"/>
      <c r="V4" s="317" t="n"/>
      <c r="W4" s="317" t="n"/>
      <c r="X4" s="317" t="n"/>
      <c r="Y4" s="317" t="n"/>
      <c r="Z4" s="317" t="n"/>
      <c r="AA4" s="317" t="n"/>
      <c r="AB4" s="317" t="n"/>
      <c r="AC4" s="317" t="n"/>
      <c r="AD4" s="317" t="n"/>
    </row>
    <row r="5">
      <c r="A5" s="1" t="inlineStr">
        <is>
          <t>Janvier</t>
        </is>
      </c>
      <c r="B5" s="3">
        <f>B2</f>
        <v/>
      </c>
      <c r="C5" s="3">
        <f>EOMONTH(B5,0)</f>
        <v/>
      </c>
      <c r="E5" s="18" t="inlineStr">
        <is>
          <t>N018905</t>
        </is>
      </c>
      <c r="F5" s="19" t="inlineStr">
        <is>
          <t>HAUTDECOEUR</t>
        </is>
      </c>
      <c r="G5" s="46" t="inlineStr">
        <is>
          <t>Laurence</t>
        </is>
      </c>
      <c r="H5" s="46" t="n"/>
      <c r="I5" s="317" t="n"/>
      <c r="J5" s="317" t="n"/>
      <c r="K5" s="317" t="n"/>
      <c r="L5" s="317" t="n"/>
      <c r="M5" s="317" t="n"/>
      <c r="N5" s="317" t="n"/>
      <c r="O5" s="317" t="n"/>
      <c r="P5" s="317" t="n"/>
      <c r="Q5" s="317" t="n"/>
      <c r="R5" s="317" t="n"/>
      <c r="S5" s="317" t="n"/>
      <c r="T5" s="317" t="n"/>
      <c r="U5" s="317" t="n"/>
      <c r="V5" s="317" t="n"/>
      <c r="W5" s="317" t="n"/>
      <c r="X5" s="317" t="n"/>
      <c r="Y5" s="317" t="n"/>
      <c r="Z5" s="317" t="n"/>
      <c r="AA5" s="317" t="n"/>
      <c r="AB5" s="317" t="n"/>
      <c r="AC5" s="317" t="n"/>
      <c r="AD5" s="317" t="n"/>
    </row>
    <row r="6">
      <c r="A6" s="1" t="inlineStr">
        <is>
          <t>Février</t>
        </is>
      </c>
      <c r="B6" s="3">
        <f>EDATE(B5,1)</f>
        <v/>
      </c>
      <c r="C6" s="3">
        <f>EOMONTH(B6,0)</f>
        <v/>
      </c>
      <c r="E6" s="18" t="inlineStr">
        <is>
          <t>N016820</t>
        </is>
      </c>
      <c r="F6" s="19" t="inlineStr">
        <is>
          <t>GRENET</t>
        </is>
      </c>
      <c r="G6" s="46" t="inlineStr">
        <is>
          <t>Eric</t>
        </is>
      </c>
      <c r="H6" s="46" t="n"/>
      <c r="I6" s="317" t="n"/>
      <c r="J6" s="317" t="n"/>
      <c r="K6" s="317" t="n"/>
      <c r="L6" s="317" t="n"/>
      <c r="M6" s="317" t="n"/>
      <c r="N6" s="317" t="n"/>
      <c r="O6" s="317" t="n"/>
      <c r="P6" s="317" t="n"/>
      <c r="Q6" s="317" t="n"/>
      <c r="R6" s="317" t="n"/>
      <c r="S6" s="317" t="n"/>
      <c r="T6" s="317" t="n"/>
      <c r="U6" s="317" t="n"/>
      <c r="V6" s="317" t="n"/>
      <c r="W6" s="317" t="n"/>
      <c r="X6" s="317" t="n"/>
      <c r="Y6" s="317" t="n"/>
      <c r="Z6" s="317" t="n"/>
      <c r="AA6" s="317" t="n"/>
      <c r="AB6" s="317" t="n"/>
      <c r="AC6" s="317" t="n"/>
      <c r="AD6" s="317" t="n"/>
    </row>
    <row r="7">
      <c r="A7" s="1" t="inlineStr">
        <is>
          <t>Mars</t>
        </is>
      </c>
      <c r="B7" s="3">
        <f>EDATE(B6,1)</f>
        <v/>
      </c>
      <c r="C7" s="3">
        <f>EOMONTH(B7,0)</f>
        <v/>
      </c>
      <c r="E7" s="18" t="inlineStr">
        <is>
          <t>C003285</t>
        </is>
      </c>
      <c r="F7" s="19" t="inlineStr">
        <is>
          <t>FOURCADE</t>
        </is>
      </c>
      <c r="G7" s="46" t="inlineStr">
        <is>
          <t>Hervé</t>
        </is>
      </c>
      <c r="H7" s="46" t="n"/>
      <c r="I7" s="317" t="inlineStr">
        <is>
          <t>May-24</t>
        </is>
      </c>
      <c r="J7" s="317" t="inlineStr">
        <is>
          <t>May-26</t>
        </is>
      </c>
      <c r="K7" s="317" t="n"/>
      <c r="L7" s="317" t="n"/>
      <c r="M7" s="317" t="n"/>
      <c r="N7" s="317" t="n"/>
      <c r="O7" s="317" t="n"/>
      <c r="P7" s="317" t="n"/>
      <c r="Q7" s="317" t="n"/>
      <c r="R7" s="317" t="n"/>
      <c r="S7" s="317" t="n"/>
      <c r="T7" s="317" t="n"/>
      <c r="U7" s="317" t="n"/>
      <c r="V7" s="317" t="n"/>
      <c r="W7" s="317" t="n"/>
      <c r="X7" s="317" t="n"/>
      <c r="Y7" s="317" t="n"/>
      <c r="Z7" s="317" t="n"/>
      <c r="AA7" s="317" t="n"/>
      <c r="AB7" s="317" t="n"/>
      <c r="AC7" s="317" t="n"/>
      <c r="AD7" s="317" t="n"/>
    </row>
    <row r="8">
      <c r="A8" s="1" t="inlineStr">
        <is>
          <t>Avril</t>
        </is>
      </c>
      <c r="B8" s="3">
        <f>EDATE(B7,1)</f>
        <v/>
      </c>
      <c r="C8" s="3">
        <f>EOMONTH(B8,0)</f>
        <v/>
      </c>
      <c r="E8" s="18" t="inlineStr">
        <is>
          <t>JT030845</t>
        </is>
      </c>
      <c r="F8" s="19" t="inlineStr">
        <is>
          <t>GONCALVES</t>
        </is>
      </c>
      <c r="G8" s="46" t="inlineStr">
        <is>
          <t>Lionel</t>
        </is>
      </c>
      <c r="H8" s="46" t="n"/>
      <c r="I8" s="317" t="inlineStr">
        <is>
          <t>Dec-24</t>
        </is>
      </c>
      <c r="J8" s="317" t="inlineStr">
        <is>
          <t>Dec-26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</row>
    <row r="9">
      <c r="A9" s="1" t="inlineStr">
        <is>
          <t>Mai</t>
        </is>
      </c>
      <c r="B9" s="3">
        <f>EDATE(B8,1)</f>
        <v/>
      </c>
      <c r="C9" s="3">
        <f>EOMONTH(B9,0)</f>
        <v/>
      </c>
      <c r="E9" s="18" t="inlineStr">
        <is>
          <t>N011045</t>
        </is>
      </c>
      <c r="F9" s="19" t="inlineStr">
        <is>
          <t>SIGALA</t>
        </is>
      </c>
      <c r="G9" s="46" t="inlineStr">
        <is>
          <t>Jean-Christohpe</t>
        </is>
      </c>
      <c r="H9" s="46" t="n"/>
      <c r="I9" s="317" t="inlineStr">
        <is>
          <t>May-24</t>
        </is>
      </c>
      <c r="J9" s="317" t="inlineStr">
        <is>
          <t>May-26</t>
        </is>
      </c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</row>
    <row r="10">
      <c r="A10" s="1" t="inlineStr">
        <is>
          <t>Juin</t>
        </is>
      </c>
      <c r="B10" s="3">
        <f>EDATE(B9,1)</f>
        <v/>
      </c>
      <c r="C10" s="3">
        <f>EOMONTH(B10,0)</f>
        <v/>
      </c>
      <c r="E10" s="18" t="inlineStr">
        <is>
          <t>N010036</t>
        </is>
      </c>
      <c r="F10" s="19" t="inlineStr">
        <is>
          <t>BETTINGER</t>
        </is>
      </c>
      <c r="G10" s="52" t="inlineStr">
        <is>
          <t>Philippe</t>
        </is>
      </c>
      <c r="H10" s="46" t="n"/>
      <c r="I10" s="317" t="n"/>
      <c r="J10" s="317" t="n"/>
      <c r="K10" s="317" t="n"/>
      <c r="L10" s="317" t="n"/>
      <c r="M10" s="317" t="n"/>
      <c r="N10" s="317" t="n"/>
      <c r="O10" s="317" t="n"/>
      <c r="P10" s="317" t="n"/>
      <c r="Q10" s="317" t="n"/>
      <c r="R10" s="317" t="n"/>
      <c r="S10" s="317" t="n"/>
      <c r="T10" s="317" t="n"/>
      <c r="U10" s="317" t="n"/>
      <c r="V10" s="317" t="n"/>
      <c r="W10" s="317" t="n"/>
      <c r="X10" s="317" t="n"/>
      <c r="Y10" s="317" t="n"/>
      <c r="Z10" s="317" t="n"/>
      <c r="AA10" s="317" t="n"/>
      <c r="AB10" s="317" t="n"/>
      <c r="AC10" s="317" t="n"/>
      <c r="AD10" s="317" t="n"/>
    </row>
    <row r="11">
      <c r="A11" s="1" t="inlineStr">
        <is>
          <t>Juillet</t>
        </is>
      </c>
      <c r="B11" s="3">
        <f>EDATE(B10,1)</f>
        <v/>
      </c>
      <c r="C11" s="3">
        <f>EOMONTH(B11,0)</f>
        <v/>
      </c>
      <c r="E11" s="18" t="inlineStr">
        <is>
          <t>N015967</t>
        </is>
      </c>
      <c r="F11" s="19" t="inlineStr">
        <is>
          <t>TUCOULET</t>
        </is>
      </c>
      <c r="G11" s="52" t="inlineStr">
        <is>
          <t>Dorian</t>
        </is>
      </c>
      <c r="H11" s="46" t="n"/>
      <c r="I11" s="317" t="inlineStr">
        <is>
          <t>Apr-24</t>
        </is>
      </c>
      <c r="J11" s="317" t="inlineStr">
        <is>
          <t>Apr-26</t>
        </is>
      </c>
      <c r="K11" s="318" t="n">
        <v>47178</v>
      </c>
      <c r="L11" s="317" t="n"/>
      <c r="M11" s="317" t="n"/>
      <c r="N11" s="318" t="n">
        <v>47178</v>
      </c>
      <c r="O11" s="317" t="n"/>
      <c r="P11" s="317" t="n"/>
      <c r="Q11" s="317" t="n"/>
      <c r="R11" s="317" t="n"/>
      <c r="S11" s="317" t="n"/>
      <c r="T11" s="317" t="n"/>
      <c r="U11" s="317" t="n"/>
      <c r="V11" s="317" t="n"/>
      <c r="W11" s="317" t="n"/>
      <c r="X11" s="317" t="n"/>
      <c r="Y11" s="317" t="n"/>
      <c r="Z11" s="317" t="n"/>
      <c r="AA11" s="317" t="n"/>
      <c r="AB11" s="317" t="n"/>
      <c r="AC11" s="317" t="n"/>
      <c r="AD11" s="317" t="n"/>
    </row>
    <row r="12">
      <c r="A12" s="1" t="inlineStr">
        <is>
          <t>Août</t>
        </is>
      </c>
      <c r="B12" s="3">
        <f>EDATE(B11,1)</f>
        <v/>
      </c>
      <c r="C12" s="3">
        <f>EOMONTH(B12,0)</f>
        <v/>
      </c>
      <c r="E12" s="18" t="inlineStr">
        <is>
          <t>N017539</t>
        </is>
      </c>
      <c r="F12" s="19" t="inlineStr">
        <is>
          <t>VRBOVSKA</t>
        </is>
      </c>
      <c r="G12" s="52" t="inlineStr">
        <is>
          <t>Xavier</t>
        </is>
      </c>
      <c r="H12" s="46" t="n"/>
      <c r="I12" s="317" t="n"/>
      <c r="J12" s="52" t="n"/>
      <c r="K12" s="317" t="n"/>
      <c r="L12" s="317" t="n"/>
      <c r="M12" s="317" t="n"/>
      <c r="N12" s="317" t="n"/>
      <c r="O12" s="317" t="n"/>
      <c r="P12" s="317" t="n"/>
      <c r="Q12" s="317" t="n"/>
      <c r="R12" s="317" t="n"/>
      <c r="S12" s="317" t="n"/>
      <c r="T12" s="317" t="n"/>
      <c r="U12" s="317" t="n"/>
      <c r="V12" s="317" t="n"/>
      <c r="W12" s="317" t="n"/>
      <c r="X12" s="317" t="n"/>
      <c r="Y12" s="317" t="n"/>
      <c r="Z12" s="317" t="n"/>
      <c r="AA12" s="317" t="n"/>
      <c r="AB12" s="317" t="n"/>
      <c r="AC12" s="317" t="n"/>
      <c r="AD12" s="317" t="n"/>
    </row>
    <row r="13">
      <c r="A13" s="1" t="inlineStr">
        <is>
          <t>Septembre</t>
        </is>
      </c>
      <c r="B13" s="3">
        <f>EDATE(B12,1)</f>
        <v/>
      </c>
      <c r="C13" s="3">
        <f>EOMONTH(B13,0)</f>
        <v/>
      </c>
      <c r="E13" s="68" t="inlineStr">
        <is>
          <t>MAINTENANCE</t>
        </is>
      </c>
      <c r="F13" s="69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317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</row>
    <row r="14">
      <c r="A14" s="1" t="inlineStr">
        <is>
          <t>Octobre</t>
        </is>
      </c>
      <c r="B14" s="3">
        <f>EDATE(B13,1)</f>
        <v/>
      </c>
      <c r="C14" s="3">
        <f>EOMONTH(B14,0)</f>
        <v/>
      </c>
      <c r="E14" s="71" t="inlineStr">
        <is>
          <t>SURVEILLANT DE TRAVAUX</t>
        </is>
      </c>
      <c r="F14" s="72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317" t="n"/>
      <c r="U14" s="317" t="n"/>
      <c r="V14" s="317" t="n"/>
      <c r="W14" s="317" t="n"/>
      <c r="X14" s="317" t="n"/>
      <c r="Y14" s="317" t="n"/>
      <c r="Z14" s="317" t="n"/>
      <c r="AA14" s="317" t="n"/>
      <c r="AB14" s="317" t="n"/>
      <c r="AC14" s="317" t="n"/>
      <c r="AD14" s="317" t="n"/>
    </row>
    <row r="15">
      <c r="A15" s="1" t="inlineStr">
        <is>
          <t>Novembre</t>
        </is>
      </c>
      <c r="B15" s="3">
        <f>EDATE(B14,1)</f>
        <v/>
      </c>
      <c r="C15" s="3">
        <f>EOMONTH(B15,0)</f>
        <v/>
      </c>
      <c r="E15" s="18" t="inlineStr">
        <is>
          <t>C004587</t>
        </is>
      </c>
      <c r="F15" s="19" t="inlineStr">
        <is>
          <t xml:space="preserve">BOURGOIN </t>
        </is>
      </c>
      <c r="G15" s="46" t="inlineStr">
        <is>
          <t>Jean-Baptiste</t>
        </is>
      </c>
      <c r="H15" s="46" t="inlineStr"/>
      <c r="I15" s="317" t="inlineStr"/>
      <c r="J15" s="317" t="inlineStr"/>
      <c r="K15" s="317" t="inlineStr"/>
      <c r="L15" s="317" t="inlineStr"/>
      <c r="M15" s="317" t="inlineStr"/>
      <c r="N15" s="317" t="inlineStr"/>
      <c r="O15" s="317" t="inlineStr"/>
      <c r="P15" s="317" t="inlineStr"/>
      <c r="Q15" s="317" t="inlineStr"/>
      <c r="R15" s="317" t="inlineStr"/>
      <c r="S15" s="317" t="inlineStr"/>
      <c r="T15" s="317" t="inlineStr"/>
      <c r="U15" s="317" t="inlineStr"/>
      <c r="V15" s="317" t="inlineStr"/>
      <c r="W15" s="317" t="inlineStr"/>
      <c r="X15" s="317" t="inlineStr"/>
      <c r="Y15" s="317" t="inlineStr"/>
      <c r="Z15" s="317" t="inlineStr"/>
      <c r="AA15" s="317" t="inlineStr"/>
      <c r="AB15" s="317" t="inlineStr"/>
      <c r="AC15" s="317" t="inlineStr"/>
      <c r="AD15" s="317" t="inlineStr"/>
    </row>
    <row r="16">
      <c r="A16" s="1" t="inlineStr">
        <is>
          <t>Décembre</t>
        </is>
      </c>
      <c r="B16" s="3">
        <f>EDATE(B15,1)</f>
        <v/>
      </c>
      <c r="C16" s="3">
        <f>EOMONTH(B16,0)</f>
        <v/>
      </c>
      <c r="E16" s="18" t="inlineStr">
        <is>
          <t>N02645</t>
        </is>
      </c>
      <c r="F16" s="19" t="inlineStr">
        <is>
          <t>MERCADIEU</t>
        </is>
      </c>
      <c r="G16" s="46" t="inlineStr">
        <is>
          <t>Baptiste</t>
        </is>
      </c>
      <c r="H16" s="46" t="n"/>
      <c r="I16" s="317" t="n"/>
      <c r="J16" s="317" t="n"/>
      <c r="K16" s="317" t="n"/>
      <c r="L16" s="317" t="n"/>
      <c r="M16" s="317" t="n"/>
      <c r="N16" s="317" t="n"/>
      <c r="O16" s="317" t="n"/>
      <c r="P16" s="317" t="n"/>
      <c r="Q16" s="317" t="n"/>
      <c r="R16" s="317" t="n"/>
      <c r="S16" s="317" t="n"/>
      <c r="T16" s="317" t="n"/>
      <c r="U16" s="317" t="n"/>
      <c r="V16" s="317" t="n"/>
      <c r="W16" s="317" t="n"/>
      <c r="X16" s="317" t="n"/>
      <c r="Y16" s="317" t="n"/>
      <c r="Z16" s="317" t="n"/>
      <c r="AA16" s="317" t="n"/>
      <c r="AB16" s="317" t="n"/>
      <c r="AC16" s="317" t="n"/>
      <c r="AD16" s="317" t="n"/>
    </row>
    <row r="17">
      <c r="A17" s="1" t="inlineStr">
        <is>
          <t>Janvier</t>
        </is>
      </c>
      <c r="B17" s="3">
        <f>EDATE(B16,1)</f>
        <v/>
      </c>
      <c r="C17" s="3">
        <f>EOMONTH(B17,0)</f>
        <v/>
      </c>
      <c r="D17" s="2" t="n"/>
      <c r="E17" s="18" t="inlineStr">
        <is>
          <t>ASDP</t>
        </is>
      </c>
      <c r="F17" s="19" t="n"/>
      <c r="G17" s="46" t="n"/>
      <c r="H17" s="316" t="n"/>
      <c r="I17" s="317" t="n"/>
      <c r="J17" s="317" t="n"/>
      <c r="K17" s="317" t="n"/>
      <c r="L17" s="317" t="n"/>
      <c r="M17" s="317" t="n"/>
      <c r="N17" s="317" t="n"/>
      <c r="O17" s="317" t="n"/>
      <c r="P17" s="317" t="n"/>
      <c r="Q17" s="317" t="n"/>
      <c r="R17" s="317" t="n"/>
      <c r="S17" s="317" t="n"/>
      <c r="T17" s="317" t="n"/>
      <c r="U17" s="317" t="n"/>
      <c r="V17" s="317" t="n"/>
      <c r="W17" s="317" t="n"/>
      <c r="X17" s="317" t="n"/>
      <c r="Y17" s="317" t="n"/>
      <c r="Z17" s="317" t="n"/>
      <c r="AA17" s="317" t="n"/>
      <c r="AB17" s="317" t="n"/>
      <c r="AC17" s="317" t="n"/>
      <c r="AD17" s="317" t="n"/>
    </row>
    <row r="18">
      <c r="A18" s="1" t="inlineStr">
        <is>
          <t>Février</t>
        </is>
      </c>
      <c r="B18" s="3">
        <f>EDATE(B17,1)</f>
        <v/>
      </c>
      <c r="C18" s="3">
        <f>EOMONTH(B18,0)</f>
        <v/>
      </c>
      <c r="E18" s="18" t="inlineStr">
        <is>
          <t>C004845</t>
        </is>
      </c>
      <c r="F18" s="19" t="inlineStr">
        <is>
          <t>GARCIA</t>
        </is>
      </c>
      <c r="G18" s="46" t="inlineStr">
        <is>
          <t>Yoan</t>
        </is>
      </c>
      <c r="H18" s="46" t="n"/>
      <c r="I18" s="317" t="n"/>
      <c r="J18" s="317" t="n"/>
      <c r="K18" s="317" t="n"/>
      <c r="L18" s="317" t="n"/>
      <c r="M18" s="317" t="n"/>
      <c r="N18" s="317" t="n"/>
      <c r="O18" s="317" t="n"/>
      <c r="P18" s="317" t="n"/>
      <c r="Q18" s="317" t="n"/>
      <c r="R18" s="317" t="n"/>
      <c r="S18" s="317" t="n"/>
      <c r="T18" s="317" t="n"/>
      <c r="U18" s="317" t="n"/>
      <c r="V18" s="317" t="n"/>
      <c r="W18" s="317" t="n"/>
      <c r="X18" s="317" t="n"/>
      <c r="Y18" s="317" t="n"/>
      <c r="Z18" s="317" t="n"/>
      <c r="AA18" s="317" t="n"/>
      <c r="AB18" s="317" t="n"/>
      <c r="AC18" s="317" t="n"/>
      <c r="AD18" s="317" t="n"/>
    </row>
    <row r="19">
      <c r="E19" s="22" t="inlineStr">
        <is>
          <t>C005015</t>
        </is>
      </c>
      <c r="F19" s="23" t="inlineStr">
        <is>
          <t>LARROUDE</t>
        </is>
      </c>
      <c r="G19" s="46" t="inlineStr">
        <is>
          <t>Christophe</t>
        </is>
      </c>
      <c r="H19" s="46" t="n"/>
      <c r="I19" s="317" t="n"/>
      <c r="J19" s="317" t="n"/>
      <c r="K19" s="317" t="n"/>
      <c r="L19" s="317" t="n"/>
      <c r="M19" s="317" t="n"/>
      <c r="N19" s="317" t="n"/>
      <c r="O19" s="317" t="n"/>
      <c r="P19" s="317" t="n"/>
      <c r="Q19" s="317" t="n"/>
      <c r="R19" s="317" t="n"/>
      <c r="S19" s="317" t="n"/>
      <c r="T19" s="317" t="n"/>
      <c r="U19" s="317" t="n"/>
      <c r="V19" s="317" t="n"/>
      <c r="W19" s="317" t="n"/>
      <c r="X19" s="317" t="n"/>
      <c r="Y19" s="317" t="n"/>
      <c r="Z19" s="317" t="n"/>
      <c r="AA19" s="317" t="n"/>
      <c r="AB19" s="317" t="n"/>
      <c r="AC19" s="317" t="n"/>
      <c r="AD19" s="317" t="n"/>
    </row>
    <row r="20" customFormat="1" s="1">
      <c r="E20" s="22" t="inlineStr">
        <is>
          <t>N020065</t>
        </is>
      </c>
      <c r="F20" s="23" t="inlineStr">
        <is>
          <t>SAMITIER</t>
        </is>
      </c>
      <c r="G20" s="46" t="inlineStr">
        <is>
          <t>Beatrice</t>
        </is>
      </c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</row>
    <row r="21">
      <c r="E21" s="188" t="inlineStr">
        <is>
          <t>C005216</t>
        </is>
      </c>
      <c r="F21" s="189" t="inlineStr">
        <is>
          <t>PIEL</t>
        </is>
      </c>
      <c r="G21" s="46" t="inlineStr">
        <is>
          <t>Frédy</t>
        </is>
      </c>
      <c r="H21" s="46" t="n"/>
      <c r="I21" s="317" t="n"/>
      <c r="J21" s="317" t="n"/>
      <c r="K21" s="317" t="n"/>
      <c r="L21" s="317" t="n"/>
      <c r="M21" s="317" t="n"/>
      <c r="N21" s="317" t="n"/>
      <c r="O21" s="317" t="n"/>
      <c r="P21" s="317" t="n"/>
      <c r="Q21" s="317" t="n"/>
      <c r="R21" s="317" t="n"/>
      <c r="S21" s="317" t="n"/>
      <c r="T21" s="317" t="n"/>
      <c r="U21" s="317" t="n"/>
      <c r="V21" s="317" t="n"/>
      <c r="W21" s="317" t="n"/>
      <c r="X21" s="317" t="n"/>
      <c r="Y21" s="317" t="n"/>
      <c r="Z21" s="317" t="n"/>
      <c r="AA21" s="317" t="n"/>
      <c r="AB21" s="317" t="n"/>
      <c r="AC21" s="317" t="n"/>
      <c r="AD21" s="317" t="n"/>
    </row>
    <row r="22">
      <c r="E22" s="246" t="inlineStr">
        <is>
          <t>PROPRETE</t>
        </is>
      </c>
      <c r="F22" s="247" t="n"/>
      <c r="G22" s="248" t="n"/>
      <c r="H22" s="248" t="n"/>
      <c r="I22" s="248" t="n"/>
      <c r="J22" s="248" t="n"/>
      <c r="K22" s="248" t="n"/>
      <c r="L22" s="248" t="n"/>
      <c r="M22" s="248" t="n"/>
      <c r="N22" s="248" t="n"/>
      <c r="O22" s="248" t="n"/>
      <c r="P22" s="248" t="n"/>
      <c r="Q22" s="248" t="n"/>
      <c r="R22" s="248" t="n"/>
      <c r="S22" s="248" t="n"/>
      <c r="T22" s="317" t="n"/>
      <c r="U22" s="317" t="n"/>
      <c r="V22" s="317" t="n"/>
      <c r="W22" s="317" t="n"/>
      <c r="X22" s="317" t="n"/>
      <c r="Y22" s="317" t="n"/>
      <c r="Z22" s="317" t="n"/>
      <c r="AA22" s="317" t="n"/>
      <c r="AB22" s="317" t="n"/>
      <c r="AC22" s="317" t="n"/>
      <c r="AD22" s="317" t="n"/>
    </row>
    <row r="23">
      <c r="E23" s="18" t="inlineStr">
        <is>
          <t>JN020502</t>
        </is>
      </c>
      <c r="F23" s="19" t="inlineStr">
        <is>
          <t>GOURVIAT</t>
        </is>
      </c>
      <c r="G23" s="46" t="inlineStr">
        <is>
          <t>Annabelle</t>
        </is>
      </c>
      <c r="H23" s="46" t="n"/>
      <c r="I23" s="317" t="n"/>
      <c r="J23" s="317" t="n"/>
      <c r="K23" s="317" t="n"/>
      <c r="L23" s="317" t="n"/>
      <c r="M23" s="317" t="n"/>
      <c r="N23" s="317" t="n"/>
      <c r="O23" s="317" t="n"/>
      <c r="P23" s="317" t="n"/>
      <c r="Q23" s="317" t="n"/>
      <c r="R23" s="317" t="n"/>
      <c r="S23" s="317" t="n"/>
      <c r="T23" s="317" t="n"/>
      <c r="U23" s="317" t="n"/>
      <c r="V23" s="317" t="n"/>
      <c r="W23" s="317" t="n"/>
      <c r="X23" s="317" t="n"/>
      <c r="Y23" s="317" t="n"/>
      <c r="Z23" s="317" t="n"/>
      <c r="AA23" s="317" t="n"/>
      <c r="AB23" s="317" t="n"/>
      <c r="AC23" s="317" t="n"/>
      <c r="AD23" s="317" t="n"/>
    </row>
    <row r="24">
      <c r="E24" s="18" t="inlineStr">
        <is>
          <t>JT032516</t>
        </is>
      </c>
      <c r="F24" s="19" t="inlineStr">
        <is>
          <t>LARTIGUE</t>
        </is>
      </c>
      <c r="G24" s="46" t="inlineStr">
        <is>
          <t>Laura</t>
        </is>
      </c>
      <c r="H24" s="46" t="n"/>
      <c r="I24" s="317" t="n"/>
      <c r="J24" s="317" t="n"/>
      <c r="K24" s="317" t="n"/>
      <c r="L24" s="317" t="n"/>
      <c r="M24" s="317" t="n"/>
      <c r="N24" s="317" t="n"/>
      <c r="O24" s="317" t="n"/>
      <c r="P24" s="317" t="n"/>
      <c r="Q24" s="317" t="n"/>
      <c r="R24" s="317" t="n"/>
      <c r="S24" s="317" t="n"/>
      <c r="T24" s="317" t="n"/>
      <c r="U24" s="317" t="n"/>
      <c r="V24" s="317" t="n"/>
      <c r="W24" s="317" t="n"/>
      <c r="X24" s="317" t="n"/>
      <c r="Y24" s="317" t="n"/>
      <c r="Z24" s="317" t="n"/>
      <c r="AA24" s="317" t="n"/>
      <c r="AB24" s="317" t="n"/>
      <c r="AC24" s="317" t="n"/>
      <c r="AD24" s="317" t="n"/>
    </row>
    <row r="25">
      <c r="E25" s="18" t="inlineStr">
        <is>
          <t>JN010897</t>
        </is>
      </c>
      <c r="F25" s="19" t="inlineStr">
        <is>
          <t>TRIQUENEAUX</t>
        </is>
      </c>
      <c r="G25" s="46" t="inlineStr">
        <is>
          <t>Benoit</t>
        </is>
      </c>
      <c r="H25" s="46" t="n"/>
      <c r="I25" s="317" t="n"/>
      <c r="J25" s="317" t="n"/>
      <c r="K25" s="317" t="n"/>
      <c r="L25" s="317" t="n"/>
      <c r="M25" s="317" t="n"/>
      <c r="N25" s="317" t="n"/>
      <c r="O25" s="317" t="n"/>
      <c r="P25" s="317" t="n"/>
      <c r="Q25" s="317" t="n"/>
      <c r="R25" s="317" t="n"/>
      <c r="S25" s="317" t="n"/>
      <c r="T25" s="317" t="n"/>
      <c r="U25" s="317" t="n"/>
      <c r="V25" s="317" t="n"/>
      <c r="W25" s="317" t="n"/>
      <c r="X25" s="317" t="n"/>
      <c r="Y25" s="317" t="n"/>
      <c r="Z25" s="317" t="n"/>
      <c r="AA25" s="317" t="n"/>
      <c r="AB25" s="317" t="n"/>
      <c r="AC25" s="317" t="n"/>
      <c r="AD25" s="317" t="n"/>
    </row>
    <row r="26">
      <c r="E26" s="18" t="inlineStr">
        <is>
          <t>JN010381</t>
        </is>
      </c>
      <c r="F26" s="19" t="inlineStr">
        <is>
          <t>ESPERON</t>
        </is>
      </c>
      <c r="G26" s="46" t="inlineStr">
        <is>
          <t>Alain</t>
        </is>
      </c>
      <c r="H26" s="46" t="n"/>
      <c r="I26" s="317" t="n"/>
      <c r="J26" s="317" t="n"/>
      <c r="K26" s="317" t="n"/>
      <c r="L26" s="317" t="n"/>
      <c r="M26" s="317" t="n"/>
      <c r="N26" s="317" t="n"/>
      <c r="O26" s="317" t="n"/>
      <c r="P26" s="317" t="n"/>
      <c r="Q26" s="317" t="n"/>
      <c r="R26" s="317" t="n"/>
      <c r="S26" s="317" t="n"/>
      <c r="T26" s="317" t="n"/>
      <c r="U26" s="317" t="n"/>
      <c r="V26" s="317" t="n"/>
      <c r="W26" s="317" t="n"/>
      <c r="X26" s="317" t="n"/>
      <c r="Y26" s="317" t="n"/>
      <c r="Z26" s="317" t="n"/>
      <c r="AA26" s="317" t="n"/>
      <c r="AB26" s="317" t="n"/>
      <c r="AC26" s="317" t="n"/>
      <c r="AD26" s="317" t="n"/>
    </row>
    <row r="27">
      <c r="E27" s="18" t="inlineStr">
        <is>
          <t>JN010750</t>
        </is>
      </c>
      <c r="F27" s="19" t="inlineStr">
        <is>
          <t>ROUGLAN</t>
        </is>
      </c>
      <c r="G27" s="46" t="inlineStr">
        <is>
          <t>William</t>
        </is>
      </c>
      <c r="H27" s="46" t="n"/>
      <c r="I27" s="317" t="n"/>
      <c r="J27" s="317" t="n"/>
      <c r="K27" s="317" t="n"/>
      <c r="L27" s="317" t="n"/>
      <c r="M27" s="317" t="n"/>
      <c r="N27" s="317" t="n"/>
      <c r="O27" s="317" t="n"/>
      <c r="P27" s="317" t="n"/>
      <c r="Q27" s="317" t="n"/>
      <c r="R27" s="317" t="n"/>
      <c r="S27" s="317" t="n"/>
      <c r="T27" s="317" t="n"/>
      <c r="U27" s="317" t="n"/>
      <c r="V27" s="317" t="n"/>
      <c r="W27" s="317" t="n"/>
      <c r="X27" s="317" t="n"/>
      <c r="Y27" s="317" t="n"/>
      <c r="Z27" s="317" t="n"/>
      <c r="AA27" s="317" t="n"/>
      <c r="AB27" s="317" t="n"/>
      <c r="AC27" s="317" t="n"/>
      <c r="AD27" s="317" t="n"/>
    </row>
    <row r="28">
      <c r="E28" s="18" t="inlineStr">
        <is>
          <t>JN010461</t>
        </is>
      </c>
      <c r="F28" s="19" t="inlineStr">
        <is>
          <t>NOURRI</t>
        </is>
      </c>
      <c r="G28" s="46" t="inlineStr">
        <is>
          <t>Danny</t>
        </is>
      </c>
      <c r="H28" s="46" t="n"/>
      <c r="I28" s="317" t="n"/>
      <c r="J28" s="317" t="n"/>
      <c r="K28" s="317" t="n"/>
      <c r="L28" s="317" t="n"/>
      <c r="M28" s="317" t="n"/>
      <c r="N28" s="317" t="n"/>
      <c r="O28" s="317" t="n"/>
      <c r="P28" s="317" t="n"/>
      <c r="Q28" s="317" t="n"/>
      <c r="R28" s="317" t="n"/>
      <c r="S28" s="317" t="n"/>
      <c r="T28" s="317" t="n"/>
      <c r="U28" s="317" t="n"/>
      <c r="V28" s="317" t="n"/>
      <c r="W28" s="317" t="n"/>
      <c r="X28" s="317" t="n"/>
      <c r="Y28" s="317" t="n"/>
      <c r="Z28" s="317" t="n"/>
      <c r="AA28" s="317" t="n"/>
      <c r="AB28" s="317" t="n"/>
      <c r="AC28" s="317" t="n"/>
      <c r="AD28" s="317" t="n"/>
    </row>
    <row r="29">
      <c r="E29" s="74" t="inlineStr">
        <is>
          <t>REGIE</t>
        </is>
      </c>
      <c r="F29" s="75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317" t="n"/>
      <c r="U29" s="317" t="n"/>
      <c r="V29" s="317" t="n"/>
      <c r="W29" s="317" t="n"/>
      <c r="X29" s="317" t="n"/>
      <c r="Y29" s="317" t="n"/>
      <c r="Z29" s="317" t="n"/>
      <c r="AA29" s="317" t="n"/>
      <c r="AB29" s="317" t="n"/>
      <c r="AC29" s="317" t="n"/>
      <c r="AD29" s="317" t="n"/>
    </row>
    <row r="30">
      <c r="E30" s="77" t="inlineStr">
        <is>
          <t>AGENTS VOIRIE</t>
        </is>
      </c>
      <c r="F30" s="78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317" t="n"/>
      <c r="U30" s="317" t="n"/>
      <c r="V30" s="317" t="n"/>
      <c r="W30" s="317" t="n"/>
      <c r="X30" s="317" t="n"/>
      <c r="Y30" s="317" t="n"/>
      <c r="Z30" s="317" t="n"/>
      <c r="AA30" s="317" t="n"/>
      <c r="AB30" s="317" t="n"/>
      <c r="AC30" s="317" t="n"/>
      <c r="AD30" s="317" t="n"/>
    </row>
    <row r="31">
      <c r="E31" s="16" t="inlineStr">
        <is>
          <t>JT028103</t>
        </is>
      </c>
      <c r="F31" s="17" t="inlineStr">
        <is>
          <t>BERRIO-GAUDNER</t>
        </is>
      </c>
      <c r="G31" s="54" t="inlineStr">
        <is>
          <t xml:space="preserve"> Jacques</t>
        </is>
      </c>
      <c r="H31" s="341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  <c r="AC31" s="318" t="n"/>
      <c r="AD31" s="318" t="n"/>
    </row>
    <row r="32">
      <c r="E32" s="18" t="inlineStr">
        <is>
          <t>C002908</t>
        </is>
      </c>
      <c r="F32" s="19" t="inlineStr">
        <is>
          <t>FONTENEAU</t>
        </is>
      </c>
      <c r="G32" s="52" t="inlineStr">
        <is>
          <t>Fabrice</t>
        </is>
      </c>
      <c r="H32" s="341" t="n"/>
      <c r="I32" s="318" t="n">
        <v>45536</v>
      </c>
      <c r="J32" s="318" t="n">
        <v>46266</v>
      </c>
      <c r="K32" s="318" t="n">
        <v>11780</v>
      </c>
      <c r="L32" s="318" t="n"/>
      <c r="M32" s="318" t="n"/>
      <c r="N32" s="318" t="n">
        <v>11232</v>
      </c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>
        <v>46661</v>
      </c>
      <c r="X32" s="318" t="inlineStr">
        <is>
          <t>X</t>
        </is>
      </c>
      <c r="Y32" s="318" t="inlineStr">
        <is>
          <t>X</t>
        </is>
      </c>
      <c r="Z32" s="318" t="n">
        <v>46447</v>
      </c>
      <c r="AA32" s="318" t="n"/>
      <c r="AB32" s="318" t="n"/>
      <c r="AC32" s="318" t="n">
        <v>46478</v>
      </c>
      <c r="AD32" s="318" t="n"/>
    </row>
    <row r="33">
      <c r="E33" s="16" t="inlineStr">
        <is>
          <t>C004504</t>
        </is>
      </c>
      <c r="F33" s="17" t="inlineStr">
        <is>
          <t xml:space="preserve">GUIJARRO </t>
        </is>
      </c>
      <c r="G33" s="54" t="inlineStr">
        <is>
          <t>Juan-Pédro</t>
        </is>
      </c>
      <c r="H33" s="341" t="n"/>
      <c r="I33" s="318" t="n">
        <v>45413</v>
      </c>
      <c r="J33" s="318" t="n">
        <v>46143</v>
      </c>
      <c r="K33" s="318" t="n">
        <v>46905</v>
      </c>
      <c r="L33" s="318" t="n"/>
      <c r="M33" s="318" t="n"/>
      <c r="N33" s="318" t="n">
        <v>12663</v>
      </c>
      <c r="O33" s="318" t="n"/>
      <c r="P33" s="318" t="n"/>
      <c r="Q33" s="318" t="n">
        <v>46722</v>
      </c>
      <c r="R33" s="318" t="n">
        <v>12663</v>
      </c>
      <c r="S33" s="318" t="n"/>
      <c r="T33" s="318" t="n"/>
      <c r="U33" s="318" t="n">
        <v>11018</v>
      </c>
      <c r="V33" s="318" t="n"/>
      <c r="W33" s="318" t="n"/>
      <c r="X33" s="318" t="inlineStr">
        <is>
          <t>X</t>
        </is>
      </c>
      <c r="Y33" s="318" t="inlineStr">
        <is>
          <t>X</t>
        </is>
      </c>
      <c r="Z33" s="318" t="n">
        <v>46082</v>
      </c>
      <c r="AA33" s="318" t="n">
        <v>46082</v>
      </c>
      <c r="AB33" s="318" t="n">
        <v>46813</v>
      </c>
      <c r="AC33" s="318" t="n">
        <v>46419</v>
      </c>
      <c r="AD33" s="318" t="n"/>
    </row>
    <row r="34">
      <c r="E34" s="18" t="inlineStr">
        <is>
          <t>T028198</t>
        </is>
      </c>
      <c r="F34" s="19" t="inlineStr">
        <is>
          <t>GOUREAU</t>
        </is>
      </c>
      <c r="G34" s="46" t="inlineStr">
        <is>
          <t>Jonathan</t>
        </is>
      </c>
      <c r="H34" s="341" t="inlineStr"/>
      <c r="I34" s="318" t="inlineStr"/>
      <c r="J34" s="318" t="inlineStr"/>
      <c r="K34" s="318" t="inlineStr"/>
      <c r="L34" s="318" t="inlineStr"/>
      <c r="M34" s="318" t="inlineStr"/>
      <c r="N34" s="318" t="inlineStr"/>
      <c r="O34" s="318" t="inlineStr"/>
      <c r="P34" s="318" t="inlineStr"/>
      <c r="Q34" s="318" t="inlineStr"/>
      <c r="R34" s="318" t="inlineStr"/>
      <c r="S34" s="318" t="inlineStr"/>
      <c r="T34" s="318" t="inlineStr"/>
      <c r="U34" s="318" t="inlineStr"/>
      <c r="V34" s="318" t="inlineStr"/>
      <c r="W34" s="318" t="inlineStr"/>
      <c r="X34" s="318" t="inlineStr">
        <is>
          <t>x</t>
        </is>
      </c>
      <c r="Y34" s="318" t="inlineStr"/>
      <c r="Z34" s="318" t="inlineStr"/>
      <c r="AA34" s="318" t="inlineStr"/>
      <c r="AB34" s="318" t="inlineStr"/>
      <c r="AC34" s="318" t="inlineStr"/>
      <c r="AD34" s="318" t="inlineStr"/>
    </row>
    <row r="35">
      <c r="E35" s="18" t="inlineStr">
        <is>
          <t>C002986</t>
        </is>
      </c>
      <c r="F35" s="19" t="inlineStr">
        <is>
          <t>LABORIE</t>
        </is>
      </c>
      <c r="G35" s="52" t="inlineStr">
        <is>
          <t>Jean-Louis</t>
        </is>
      </c>
      <c r="H35" s="341" t="n"/>
      <c r="I35" s="318" t="n">
        <v>45778</v>
      </c>
      <c r="J35" s="318" t="n">
        <v>46508</v>
      </c>
      <c r="K35" s="318" t="n">
        <v>47209</v>
      </c>
      <c r="L35" s="318" t="n"/>
      <c r="M35" s="318" t="n"/>
      <c r="N35" s="318" t="n">
        <v>47209</v>
      </c>
      <c r="O35" s="318" t="n"/>
      <c r="P35" s="318" t="n"/>
      <c r="Q35" s="318" t="n"/>
      <c r="R35" s="318" t="n">
        <v>47209</v>
      </c>
      <c r="S35" s="318" t="n"/>
      <c r="T35" s="318" t="n"/>
      <c r="U35" s="318" t="n"/>
      <c r="V35" s="318" t="n"/>
      <c r="W35" s="318" t="n"/>
      <c r="X35" s="318" t="inlineStr">
        <is>
          <t>X</t>
        </is>
      </c>
      <c r="Y35" s="318" t="inlineStr">
        <is>
          <t>X</t>
        </is>
      </c>
      <c r="Z35" s="318" t="n">
        <v>10959</v>
      </c>
      <c r="AA35" s="318" t="n">
        <v>10959</v>
      </c>
      <c r="AB35" s="318" t="n"/>
      <c r="AC35" s="318" t="n"/>
      <c r="AD35" s="318" t="n"/>
    </row>
    <row r="36">
      <c r="E36" s="18" t="inlineStr">
        <is>
          <t>C007317</t>
        </is>
      </c>
      <c r="F36" s="19" t="inlineStr">
        <is>
          <t>LARRIEU</t>
        </is>
      </c>
      <c r="G36" s="52" t="inlineStr">
        <is>
          <t>Cédric</t>
        </is>
      </c>
      <c r="H36" s="341" t="n"/>
      <c r="I36" s="318" t="n">
        <v>45383</v>
      </c>
      <c r="J36" s="318" t="n">
        <v>46143</v>
      </c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  <c r="AC36" s="318" t="n"/>
      <c r="AD36" s="318" t="n"/>
    </row>
    <row r="37">
      <c r="E37" s="18" t="inlineStr">
        <is>
          <t>C004309</t>
        </is>
      </c>
      <c r="F37" s="19" t="inlineStr">
        <is>
          <t>LEVIGNAT</t>
        </is>
      </c>
      <c r="G37" s="52" t="inlineStr">
        <is>
          <t>Didier</t>
        </is>
      </c>
      <c r="H37" s="341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  <c r="AC37" s="318" t="n"/>
      <c r="AD37" s="318" t="n"/>
    </row>
    <row r="38">
      <c r="E38" s="18" t="inlineStr">
        <is>
          <t>C005624</t>
        </is>
      </c>
      <c r="F38" s="19" t="inlineStr">
        <is>
          <t>MARTIN-HERNANDEZ</t>
        </is>
      </c>
      <c r="G38" s="52" t="inlineStr">
        <is>
          <t>Pierre</t>
        </is>
      </c>
      <c r="H38" s="341" t="n"/>
      <c r="I38" s="318" t="n">
        <v>44927</v>
      </c>
      <c r="J38" s="318" t="n">
        <v>45658</v>
      </c>
      <c r="K38" s="318" t="n"/>
      <c r="L38" s="318" t="n"/>
      <c r="M38" s="318" t="n"/>
      <c r="N38" s="318" t="n">
        <v>12086</v>
      </c>
      <c r="O38" s="318" t="n"/>
      <c r="P38" s="318" t="n"/>
      <c r="Q38" s="318" t="n"/>
      <c r="R38" s="318" t="n">
        <v>45931</v>
      </c>
      <c r="S38" s="318" t="n"/>
      <c r="T38" s="318" t="n"/>
      <c r="U38" s="318" t="n"/>
      <c r="V38" s="318" t="n"/>
      <c r="W38" s="318" t="n"/>
      <c r="X38" s="318" t="inlineStr">
        <is>
          <t>X</t>
        </is>
      </c>
      <c r="Y38" s="318" t="n"/>
      <c r="Z38" s="318" t="n"/>
      <c r="AA38" s="318" t="n"/>
      <c r="AB38" s="318" t="n"/>
      <c r="AC38" s="318" t="n"/>
      <c r="AD38" s="318" t="n"/>
    </row>
    <row r="39">
      <c r="E39" s="18" t="inlineStr">
        <is>
          <t>C007758</t>
        </is>
      </c>
      <c r="F39" s="19" t="inlineStr">
        <is>
          <t>PIERRE</t>
        </is>
      </c>
      <c r="G39" s="52" t="inlineStr">
        <is>
          <t>Frantzy</t>
        </is>
      </c>
      <c r="H39" s="341" t="n"/>
      <c r="I39" s="318" t="n">
        <v>45778</v>
      </c>
      <c r="J39" s="318" t="n">
        <v>46508</v>
      </c>
      <c r="K39" s="318" t="n">
        <v>47150</v>
      </c>
      <c r="L39" s="318" t="n"/>
      <c r="M39" s="318" t="n"/>
      <c r="N39" s="318" t="n">
        <v>47150</v>
      </c>
      <c r="O39" s="318" t="n"/>
      <c r="P39" s="318" t="n"/>
      <c r="Q39" s="318" t="n"/>
      <c r="R39" s="318" t="n">
        <v>11049</v>
      </c>
      <c r="S39" s="318" t="n"/>
      <c r="T39" s="318" t="n"/>
      <c r="U39" s="318" t="n"/>
      <c r="V39" s="318" t="n"/>
      <c r="W39" s="318" t="n"/>
      <c r="X39" s="318" t="inlineStr">
        <is>
          <t>X</t>
        </is>
      </c>
      <c r="Y39" s="318" t="n"/>
      <c r="Z39" s="318" t="n"/>
      <c r="AA39" s="318" t="n"/>
      <c r="AB39" s="318" t="n"/>
      <c r="AC39" s="318" t="n">
        <v>11110</v>
      </c>
      <c r="AD39" s="318" t="n"/>
    </row>
    <row r="40">
      <c r="E40" s="47" t="inlineStr">
        <is>
          <t>C004609</t>
        </is>
      </c>
      <c r="F40" s="83" t="inlineStr">
        <is>
          <t>SOLA</t>
        </is>
      </c>
      <c r="G40" s="52" t="inlineStr">
        <is>
          <t>Xavier</t>
        </is>
      </c>
      <c r="H40" s="341" t="n"/>
      <c r="I40" s="318" t="n">
        <v>45383</v>
      </c>
      <c r="J40" s="318" t="n">
        <v>46113</v>
      </c>
      <c r="K40" s="318" t="n">
        <v>47119</v>
      </c>
      <c r="L40" s="318" t="n"/>
      <c r="M40" s="318" t="n"/>
      <c r="N40" s="318" t="n"/>
      <c r="O40" s="318" t="n"/>
      <c r="P40" s="318" t="n"/>
      <c r="Q40" s="318" t="n"/>
      <c r="R40" s="318" t="n">
        <v>11018</v>
      </c>
      <c r="S40" s="318" t="n"/>
      <c r="T40" s="318" t="n"/>
      <c r="U40" s="318" t="n"/>
      <c r="V40" s="318" t="n"/>
      <c r="W40" s="318" t="n"/>
      <c r="X40" s="318" t="inlineStr">
        <is>
          <t>X</t>
        </is>
      </c>
      <c r="Y40" s="318" t="n"/>
      <c r="Z40" s="318" t="n"/>
      <c r="AA40" s="318" t="n"/>
      <c r="AB40" s="318" t="n"/>
      <c r="AC40" s="318" t="n"/>
      <c r="AD40" s="318" t="n"/>
    </row>
    <row r="41">
      <c r="E41" s="18" t="inlineStr">
        <is>
          <t>T029734</t>
        </is>
      </c>
      <c r="F41" s="19" t="inlineStr">
        <is>
          <t>WEISS</t>
        </is>
      </c>
      <c r="G41" s="52" t="inlineStr">
        <is>
          <t>Miguel</t>
        </is>
      </c>
      <c r="H41" s="341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  <c r="AC41" s="318" t="n"/>
      <c r="AD41" s="318" t="n"/>
    </row>
    <row r="42">
      <c r="E42" s="80" t="n"/>
      <c r="F42" s="81" t="n"/>
      <c r="G42" s="82" t="n"/>
      <c r="H42" s="341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  <c r="AC42" s="318" t="n"/>
      <c r="AD42" s="318" t="n"/>
    </row>
    <row r="43">
      <c r="E43" s="18" t="inlineStr">
        <is>
          <t>AGENTS ESPACES VERTS</t>
        </is>
      </c>
      <c r="F43" s="17" t="n"/>
      <c r="G43" s="52" t="n"/>
      <c r="H43" s="341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  <c r="AC43" s="318" t="n"/>
      <c r="AD43" s="318" t="n"/>
    </row>
    <row r="44">
      <c r="E44" s="18" t="inlineStr">
        <is>
          <t>N018514</t>
        </is>
      </c>
      <c r="F44" s="19" t="inlineStr">
        <is>
          <t>DELANDE</t>
        </is>
      </c>
      <c r="G44" s="52" t="inlineStr">
        <is>
          <t>Romain</t>
        </is>
      </c>
      <c r="H44" s="341" t="n"/>
      <c r="I44" s="318" t="n">
        <v>45383</v>
      </c>
      <c r="J44" s="318" t="n">
        <v>46113</v>
      </c>
      <c r="K44" s="318" t="n">
        <v>11597</v>
      </c>
      <c r="L44" s="318" t="n"/>
      <c r="M44" s="318" t="n"/>
      <c r="N44" s="318" t="n">
        <v>11597</v>
      </c>
      <c r="O44" s="318" t="n"/>
      <c r="P44" s="318" t="n"/>
      <c r="Q44" s="318" t="n"/>
      <c r="R44" s="318" t="n">
        <v>11597</v>
      </c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  <c r="AC44" s="318" t="n"/>
      <c r="AD44" s="318" t="n"/>
    </row>
    <row r="45">
      <c r="E45" s="18" t="inlineStr">
        <is>
          <t>T029231</t>
        </is>
      </c>
      <c r="F45" s="17" t="inlineStr">
        <is>
          <t>DA SILVA REIS</t>
        </is>
      </c>
      <c r="G45" s="52" t="inlineStr">
        <is>
          <t>Alexandra</t>
        </is>
      </c>
      <c r="H45" s="341" t="n"/>
      <c r="I45" s="318" t="n">
        <v>45413</v>
      </c>
      <c r="J45" s="318" t="n">
        <v>46143</v>
      </c>
      <c r="K45" s="318" t="n">
        <v>12086</v>
      </c>
      <c r="L45" s="318" t="n"/>
      <c r="M45" s="318" t="n"/>
      <c r="N45" s="318" t="n">
        <v>12571</v>
      </c>
      <c r="O45" s="318" t="n"/>
      <c r="P45" s="318" t="n"/>
      <c r="Q45" s="318" t="n"/>
      <c r="R45" s="318" t="n">
        <v>12571</v>
      </c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  <c r="AC45" s="318" t="n">
        <v>47270</v>
      </c>
      <c r="AD45" s="318" t="n"/>
    </row>
    <row r="46">
      <c r="E46" s="53" t="inlineStr">
        <is>
          <t>N011181</t>
        </is>
      </c>
      <c r="F46" s="21" t="inlineStr">
        <is>
          <t>ELMAGROUD</t>
        </is>
      </c>
      <c r="G46" s="55" t="inlineStr">
        <is>
          <t>Sofiane</t>
        </is>
      </c>
      <c r="H46" s="341" t="n"/>
      <c r="I46" s="318" t="n">
        <v>45778</v>
      </c>
      <c r="J46" s="318" t="n">
        <v>46508</v>
      </c>
      <c r="K46" s="318" t="n">
        <v>47150</v>
      </c>
      <c r="L46" s="318" t="n"/>
      <c r="M46" s="318" t="n"/>
      <c r="N46" s="318" t="n">
        <v>47150</v>
      </c>
      <c r="O46" s="318" t="n"/>
      <c r="P46" s="318" t="n"/>
      <c r="Q46" s="318" t="n"/>
      <c r="R46" s="318" t="n">
        <v>46905</v>
      </c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  <c r="AC46" s="318" t="n"/>
      <c r="AD46" s="318" t="n"/>
    </row>
    <row r="47">
      <c r="E47" s="18" t="inlineStr">
        <is>
          <t>C004163</t>
        </is>
      </c>
      <c r="F47" s="19" t="inlineStr">
        <is>
          <t>ESTEVE</t>
        </is>
      </c>
      <c r="G47" s="46" t="inlineStr">
        <is>
          <t>Thierry</t>
        </is>
      </c>
      <c r="H47" s="341" t="n"/>
      <c r="I47" s="318" t="n">
        <v>45383</v>
      </c>
      <c r="J47" s="318" t="n">
        <v>46113</v>
      </c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  <c r="AC47" s="318" t="n"/>
      <c r="AD47" s="318" t="n"/>
    </row>
    <row r="48">
      <c r="E48" s="18" t="inlineStr">
        <is>
          <t>C006428</t>
        </is>
      </c>
      <c r="F48" s="19" t="inlineStr">
        <is>
          <t>KADRI</t>
        </is>
      </c>
      <c r="G48" s="52" t="inlineStr">
        <is>
          <t>Houssine</t>
        </is>
      </c>
      <c r="H48" s="341" t="n"/>
      <c r="I48" s="318" t="n">
        <v>45383</v>
      </c>
      <c r="J48" s="318" t="n">
        <v>46113</v>
      </c>
      <c r="K48" s="318" t="n">
        <v>46813</v>
      </c>
      <c r="L48" s="318" t="n"/>
      <c r="M48" s="318" t="n"/>
      <c r="N48" s="318" t="n">
        <v>11383</v>
      </c>
      <c r="O48" s="318" t="n"/>
      <c r="P48" s="318" t="n">
        <v>46174</v>
      </c>
      <c r="Q48" s="318" t="n"/>
      <c r="R48" s="318" t="n">
        <v>12540</v>
      </c>
      <c r="S48" s="318" t="n"/>
      <c r="T48" s="318" t="n"/>
      <c r="U48" s="318" t="n"/>
      <c r="V48" s="318" t="n"/>
      <c r="W48" s="318" t="n">
        <v>11049</v>
      </c>
      <c r="X48" s="318" t="inlineStr">
        <is>
          <t>X</t>
        </is>
      </c>
      <c r="Y48" s="318" t="n"/>
      <c r="Z48" s="318" t="n"/>
      <c r="AA48" s="318" t="n"/>
      <c r="AB48" s="318" t="n"/>
      <c r="AC48" s="318" t="n">
        <v>47239</v>
      </c>
      <c r="AD48" s="318" t="n"/>
    </row>
    <row r="49">
      <c r="E49" s="16" t="inlineStr">
        <is>
          <t>N023455</t>
        </is>
      </c>
      <c r="F49" s="17" t="inlineStr">
        <is>
          <t>MALLET</t>
        </is>
      </c>
      <c r="G49" s="54" t="inlineStr">
        <is>
          <t>Ludovic</t>
        </is>
      </c>
      <c r="H49" s="341" t="n"/>
      <c r="I49" s="318" t="n">
        <v>45383</v>
      </c>
      <c r="J49" s="318" t="n">
        <v>46113</v>
      </c>
      <c r="K49" s="318" t="n">
        <v>12571</v>
      </c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>
        <v>46905</v>
      </c>
      <c r="AA49" s="318" t="n"/>
      <c r="AB49" s="318" t="n"/>
      <c r="AC49" s="318" t="n">
        <v>11110</v>
      </c>
      <c r="AD49" s="318" t="n"/>
    </row>
    <row r="50">
      <c r="E50" s="16" t="inlineStr">
        <is>
          <t>C007461</t>
        </is>
      </c>
      <c r="F50" s="17" t="inlineStr">
        <is>
          <t>MAURY</t>
        </is>
      </c>
      <c r="G50" s="54" t="inlineStr">
        <is>
          <t>Xavier</t>
        </is>
      </c>
      <c r="H50" s="341" t="n"/>
      <c r="I50" s="318" t="n">
        <v>45383</v>
      </c>
      <c r="J50" s="318" t="n">
        <v>46113</v>
      </c>
      <c r="K50" s="318" t="n">
        <v>11689</v>
      </c>
      <c r="L50" s="318" t="n"/>
      <c r="M50" s="318" t="n"/>
      <c r="N50" s="318" t="n">
        <v>11689</v>
      </c>
      <c r="O50" s="318" t="n"/>
      <c r="P50" s="318" t="n"/>
      <c r="Q50" s="318" t="n">
        <v>46631</v>
      </c>
      <c r="R50" s="318" t="n">
        <v>45444</v>
      </c>
      <c r="S50" s="318" t="n"/>
      <c r="T50" s="318" t="n"/>
      <c r="U50" s="318" t="n"/>
      <c r="V50" s="318" t="n"/>
      <c r="W50" s="318" t="n"/>
      <c r="X50" s="318" t="inlineStr">
        <is>
          <t>X</t>
        </is>
      </c>
      <c r="Y50" s="318" t="inlineStr">
        <is>
          <t>X</t>
        </is>
      </c>
      <c r="Z50" s="318" t="n">
        <v>11018</v>
      </c>
      <c r="AA50" s="318" t="n"/>
      <c r="AB50" s="318" t="n"/>
      <c r="AC50" s="318" t="n">
        <v>46388</v>
      </c>
      <c r="AD50" s="318" t="n"/>
    </row>
    <row r="51">
      <c r="E51" s="20" t="inlineStr">
        <is>
          <t>T030790</t>
        </is>
      </c>
      <c r="F51" s="19" t="inlineStr">
        <is>
          <t>MOINGT</t>
        </is>
      </c>
      <c r="G51" s="52" t="inlineStr">
        <is>
          <t>Joffrey</t>
        </is>
      </c>
      <c r="H51" s="341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  <c r="AC51" s="318" t="n"/>
      <c r="AD51" s="318" t="n"/>
    </row>
    <row r="52">
      <c r="E52" s="47" t="inlineStr">
        <is>
          <t>T030619</t>
        </is>
      </c>
      <c r="F52" s="17" t="inlineStr">
        <is>
          <t>REY</t>
        </is>
      </c>
      <c r="G52" s="54" t="inlineStr">
        <is>
          <t>Adrien</t>
        </is>
      </c>
      <c r="H52" s="341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  <c r="AC52" s="318" t="n"/>
      <c r="AD52" s="318" t="n"/>
    </row>
    <row r="53">
      <c r="E53" s="18" t="inlineStr">
        <is>
          <t>N019681</t>
        </is>
      </c>
      <c r="F53" s="19" t="inlineStr">
        <is>
          <t>TADJROUNA</t>
        </is>
      </c>
      <c r="G53" s="52" t="inlineStr">
        <is>
          <t>Mohamed</t>
        </is>
      </c>
      <c r="H53" s="341" t="n"/>
      <c r="I53" s="318" t="n">
        <v>45474</v>
      </c>
      <c r="J53" s="318" t="n">
        <v>46204</v>
      </c>
      <c r="K53" s="318" t="n">
        <v>12663</v>
      </c>
      <c r="L53" s="318" t="n"/>
      <c r="M53" s="318" t="n"/>
      <c r="N53" s="318" t="n">
        <v>11567</v>
      </c>
      <c r="O53" s="318" t="n"/>
      <c r="P53" s="318" t="n"/>
      <c r="Q53" s="318" t="n">
        <v>12663</v>
      </c>
      <c r="R53" s="318" t="n"/>
      <c r="S53" s="318" t="n"/>
      <c r="T53" s="318" t="n"/>
      <c r="U53" s="318" t="n"/>
      <c r="V53" s="318" t="n"/>
      <c r="W53" s="318" t="n">
        <v>11049</v>
      </c>
      <c r="X53" s="318" t="n"/>
      <c r="Y53" s="318" t="n"/>
      <c r="Z53" s="318" t="n">
        <v>46692</v>
      </c>
      <c r="AA53" s="318" t="n"/>
      <c r="AB53" s="318" t="n"/>
      <c r="AC53" s="318" t="n">
        <v>47362</v>
      </c>
      <c r="AD53" s="318" t="n"/>
    </row>
    <row r="54">
      <c r="E54" s="18" t="inlineStr">
        <is>
          <t>N019975</t>
        </is>
      </c>
      <c r="F54" s="19" t="inlineStr">
        <is>
          <t>VILLENEUVE</t>
        </is>
      </c>
      <c r="G54" s="52" t="inlineStr">
        <is>
          <t>Fabrice</t>
        </is>
      </c>
      <c r="H54" s="341" t="n"/>
      <c r="I54" s="318" t="n">
        <v>45383</v>
      </c>
      <c r="J54" s="318" t="n">
        <v>46113</v>
      </c>
      <c r="K54" s="318" t="n"/>
      <c r="L54" s="318" t="n"/>
      <c r="M54" s="318" t="n"/>
      <c r="N54" s="318" t="n">
        <v>11475</v>
      </c>
      <c r="O54" s="318" t="n"/>
      <c r="P54" s="318" t="n"/>
      <c r="Q54" s="318" t="n"/>
      <c r="R54" s="318" t="n">
        <v>11475</v>
      </c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  <c r="AC54" s="318" t="n">
        <v>47270</v>
      </c>
      <c r="AD54" s="318" t="n"/>
    </row>
    <row r="55">
      <c r="E55" s="84" t="n"/>
      <c r="F55" s="85" t="n"/>
      <c r="G55" s="86" t="n"/>
      <c r="H55" s="341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</row>
    <row r="56">
      <c r="E56" s="18" t="inlineStr">
        <is>
          <t>COMMUN - MAGASINIER ET AGENTS ENTRETIEN</t>
        </is>
      </c>
      <c r="F56" s="19" t="n"/>
      <c r="G56" s="52" t="n"/>
      <c r="H56" s="341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  <c r="AC56" s="318" t="n"/>
      <c r="AD56" s="318" t="n"/>
    </row>
    <row r="57">
      <c r="E57" s="16" t="inlineStr">
        <is>
          <t>N010342</t>
        </is>
      </c>
      <c r="F57" s="17" t="inlineStr">
        <is>
          <t>VOL</t>
        </is>
      </c>
      <c r="G57" s="54" t="inlineStr">
        <is>
          <t>Christophe</t>
        </is>
      </c>
      <c r="H57" s="341" t="n"/>
      <c r="I57" s="318" t="n">
        <v>45383</v>
      </c>
      <c r="J57" s="318" t="n">
        <v>46113</v>
      </c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  <c r="AC57" s="318" t="n"/>
      <c r="AD57" s="318" t="n"/>
    </row>
    <row r="58">
      <c r="E58" s="18" t="inlineStr">
        <is>
          <t>C003865</t>
        </is>
      </c>
      <c r="F58" s="19" t="inlineStr">
        <is>
          <t xml:space="preserve">GENNA </t>
        </is>
      </c>
      <c r="G58" s="52" t="inlineStr">
        <is>
          <t>Grégory</t>
        </is>
      </c>
      <c r="H58" s="341" t="n"/>
      <c r="I58" s="318" t="n">
        <v>44866</v>
      </c>
      <c r="J58" s="318" t="n">
        <v>45597</v>
      </c>
      <c r="K58" s="318" t="n">
        <v>11232</v>
      </c>
      <c r="L58" s="318" t="n"/>
      <c r="M58" s="318" t="n"/>
      <c r="N58" s="318" t="n">
        <v>11232</v>
      </c>
      <c r="O58" s="318" t="n"/>
      <c r="P58" s="318" t="n"/>
      <c r="Q58" s="318" t="n">
        <v>47088</v>
      </c>
      <c r="R58" s="318" t="n">
        <v>11232</v>
      </c>
      <c r="S58" s="318" t="n"/>
      <c r="T58" s="318" t="n"/>
      <c r="U58" s="318" t="n">
        <v>11049</v>
      </c>
      <c r="V58" s="318" t="n"/>
      <c r="W58" s="318" t="n">
        <v>46997</v>
      </c>
      <c r="X58" s="318" t="inlineStr">
        <is>
          <t>X</t>
        </is>
      </c>
      <c r="Y58" s="318" t="inlineStr">
        <is>
          <t>X</t>
        </is>
      </c>
      <c r="Z58" s="318" t="inlineStr">
        <is>
          <t>Dec-28</t>
        </is>
      </c>
      <c r="AA58" s="318" t="n"/>
      <c r="AB58" s="318" t="n"/>
      <c r="AC58" s="318" t="n">
        <v>47392</v>
      </c>
      <c r="AD58" s="318" t="n"/>
    </row>
    <row r="59">
      <c r="E59" s="16" t="inlineStr">
        <is>
          <t>N010032</t>
        </is>
      </c>
      <c r="F59" s="17" t="inlineStr">
        <is>
          <t>BERNARD</t>
        </is>
      </c>
      <c r="G59" s="54" t="inlineStr">
        <is>
          <t xml:space="preserve"> Jean-Louis</t>
        </is>
      </c>
      <c r="H59" s="341" t="n"/>
      <c r="I59" s="318" t="n">
        <v>45383</v>
      </c>
      <c r="J59" s="318" t="n">
        <v>46113</v>
      </c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  <c r="AC59" s="318" t="n"/>
      <c r="AD59" s="318" t="n"/>
    </row>
    <row r="60">
      <c r="E60" s="18" t="inlineStr">
        <is>
          <t>N010563</t>
        </is>
      </c>
      <c r="F60" s="19" t="inlineStr">
        <is>
          <t>HAUBRAICHE</t>
        </is>
      </c>
      <c r="G60" s="46" t="inlineStr">
        <is>
          <t>Philippe</t>
        </is>
      </c>
      <c r="H60" s="341" t="n"/>
      <c r="I60" s="318" t="n">
        <v>45383</v>
      </c>
      <c r="J60" s="318" t="n">
        <v>46113</v>
      </c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  <c r="AC60" s="318" t="n"/>
      <c r="AD60" s="318" t="n"/>
    </row>
    <row r="61">
      <c r="E61" s="18" t="n"/>
      <c r="F61" s="19" t="n"/>
      <c r="G61" s="46" t="n"/>
      <c r="H61" s="46" t="n"/>
      <c r="I61" s="317" t="n"/>
      <c r="J61" s="317" t="n"/>
      <c r="K61" s="317" t="n"/>
      <c r="L61" s="317" t="n"/>
      <c r="M61" s="317" t="n"/>
      <c r="N61" s="317" t="n"/>
      <c r="O61" s="317" t="n"/>
      <c r="P61" s="317" t="n"/>
      <c r="Q61" s="317" t="n"/>
      <c r="R61" s="317" t="n"/>
      <c r="S61" s="317" t="n"/>
      <c r="T61" s="317" t="n"/>
      <c r="U61" s="317" t="n"/>
      <c r="V61" s="317" t="n"/>
      <c r="W61" s="317" t="n"/>
      <c r="X61" s="317" t="n"/>
      <c r="Y61" s="317" t="n"/>
      <c r="Z61" s="317" t="n"/>
      <c r="AA61" s="317" t="n"/>
      <c r="AB61" s="317" t="n"/>
      <c r="AC61" s="317" t="n"/>
      <c r="AD61" s="317" t="n"/>
    </row>
    <row r="62">
      <c r="E62" s="18" t="n"/>
      <c r="F62" s="19" t="n"/>
      <c r="G62" s="46" t="n"/>
      <c r="H62" s="46" t="n"/>
      <c r="I62" s="317" t="n"/>
      <c r="J62" s="317" t="n"/>
      <c r="K62" s="317" t="n"/>
      <c r="L62" s="317" t="n"/>
      <c r="M62" s="317" t="n"/>
      <c r="N62" s="317" t="n"/>
      <c r="O62" s="317" t="n"/>
      <c r="P62" s="317" t="n"/>
      <c r="Q62" s="317" t="n"/>
      <c r="R62" s="317" t="n"/>
      <c r="S62" s="317" t="n"/>
      <c r="T62" s="317" t="n"/>
      <c r="U62" s="317" t="n"/>
      <c r="V62" s="317" t="n"/>
      <c r="W62" s="317" t="n"/>
      <c r="X62" s="317" t="n"/>
      <c r="Y62" s="317" t="n"/>
      <c r="Z62" s="317" t="n"/>
      <c r="AA62" s="317" t="n"/>
      <c r="AB62" s="317" t="n"/>
      <c r="AC62" s="317" t="n"/>
      <c r="AD62" s="317" t="n"/>
    </row>
    <row r="63">
      <c r="E63" s="18" t="n"/>
      <c r="F63" s="19" t="n"/>
      <c r="G63" s="46" t="n"/>
      <c r="H63" s="46" t="n"/>
      <c r="I63" s="317" t="n"/>
      <c r="J63" s="317" t="n"/>
      <c r="K63" s="317" t="n"/>
      <c r="L63" s="317" t="n"/>
      <c r="M63" s="317" t="n"/>
      <c r="N63" s="317" t="n"/>
      <c r="O63" s="317" t="n"/>
      <c r="P63" s="317" t="n"/>
      <c r="Q63" s="317" t="n"/>
      <c r="R63" s="317" t="n"/>
      <c r="S63" s="317" t="n"/>
      <c r="T63" s="317" t="n"/>
      <c r="U63" s="317" t="n"/>
      <c r="V63" s="317" t="n"/>
      <c r="W63" s="317" t="n"/>
      <c r="X63" s="317" t="n"/>
      <c r="Y63" s="317" t="n"/>
      <c r="Z63" s="317" t="n"/>
      <c r="AA63" s="317" t="n"/>
      <c r="AB63" s="317" t="n"/>
      <c r="AC63" s="317" t="n"/>
      <c r="AD63" s="317" t="n"/>
    </row>
    <row r="64">
      <c r="E64" s="18" t="n"/>
      <c r="F64" s="19" t="n"/>
      <c r="G64" s="46" t="n"/>
      <c r="H64" s="46" t="n"/>
      <c r="I64" s="317" t="n"/>
      <c r="J64" s="317" t="n"/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  <c r="T64" s="317" t="n"/>
      <c r="U64" s="317" t="n"/>
      <c r="V64" s="317" t="n"/>
      <c r="W64" s="317" t="n"/>
      <c r="X64" s="317" t="n"/>
      <c r="Y64" s="317" t="n"/>
      <c r="Z64" s="317" t="n"/>
      <c r="AA64" s="317" t="n"/>
      <c r="AB64" s="317" t="n"/>
      <c r="AC64" s="317" t="n"/>
      <c r="AD64" s="317" t="n"/>
    </row>
    <row r="65">
      <c r="E65" s="18" t="n"/>
      <c r="F65" s="19" t="n"/>
      <c r="G65" s="46" t="n"/>
      <c r="H65" s="46" t="n"/>
      <c r="I65" s="317" t="n"/>
      <c r="J65" s="317" t="n"/>
      <c r="K65" s="317" t="n"/>
      <c r="L65" s="317" t="n"/>
      <c r="M65" s="317" t="n"/>
      <c r="N65" s="317" t="n"/>
      <c r="O65" s="317" t="n"/>
      <c r="P65" s="317" t="n"/>
      <c r="Q65" s="317" t="n"/>
      <c r="R65" s="317" t="n"/>
      <c r="S65" s="317" t="n"/>
      <c r="T65" s="317" t="n"/>
      <c r="U65" s="317" t="n"/>
      <c r="V65" s="317" t="n"/>
      <c r="W65" s="317" t="n"/>
      <c r="X65" s="317" t="n"/>
      <c r="Y65" s="317" t="n"/>
      <c r="Z65" s="317" t="n"/>
      <c r="AA65" s="317" t="n"/>
      <c r="AB65" s="317" t="n"/>
      <c r="AC65" s="317" t="n"/>
      <c r="AD65" s="317" t="n"/>
    </row>
    <row r="66">
      <c r="E66" s="18" t="n"/>
      <c r="F66" s="19" t="n"/>
      <c r="G66" s="46" t="n"/>
      <c r="H66" s="46" t="n"/>
      <c r="I66" s="317" t="n"/>
      <c r="J66" s="317" t="n"/>
      <c r="K66" s="317" t="n"/>
      <c r="L66" s="317" t="n"/>
      <c r="M66" s="317" t="n"/>
      <c r="N66" s="317" t="n"/>
      <c r="O66" s="317" t="n"/>
      <c r="P66" s="317" t="n"/>
      <c r="Q66" s="317" t="n"/>
      <c r="R66" s="317" t="n"/>
      <c r="S66" s="317" t="n"/>
      <c r="T66" s="317" t="n"/>
      <c r="U66" s="317" t="n"/>
      <c r="V66" s="317" t="n"/>
      <c r="W66" s="317" t="n"/>
      <c r="X66" s="317" t="n"/>
      <c r="Y66" s="317" t="n"/>
      <c r="Z66" s="317" t="n"/>
      <c r="AA66" s="317" t="n"/>
      <c r="AB66" s="317" t="n"/>
      <c r="AC66" s="317" t="n"/>
      <c r="AD66" s="317" t="n"/>
    </row>
    <row r="67">
      <c r="E67" s="18" t="n"/>
      <c r="F67" s="19" t="n"/>
      <c r="G67" s="46" t="n"/>
      <c r="H67" s="46" t="n"/>
      <c r="I67" s="317" t="n"/>
      <c r="J67" s="317" t="n"/>
      <c r="K67" s="317" t="n"/>
      <c r="L67" s="317" t="n"/>
      <c r="M67" s="317" t="n"/>
      <c r="N67" s="317" t="n"/>
      <c r="O67" s="317" t="n"/>
      <c r="P67" s="317" t="n"/>
      <c r="Q67" s="317" t="n"/>
      <c r="R67" s="317" t="n"/>
      <c r="S67" s="317" t="n"/>
      <c r="T67" s="317" t="n"/>
      <c r="U67" s="317" t="n"/>
      <c r="V67" s="317" t="n"/>
      <c r="W67" s="317" t="n"/>
      <c r="X67" s="317" t="n"/>
      <c r="Y67" s="317" t="n"/>
      <c r="Z67" s="317" t="n"/>
      <c r="AA67" s="317" t="n"/>
      <c r="AB67" s="317" t="n"/>
      <c r="AC67" s="317" t="n"/>
      <c r="AD67" s="317" t="n"/>
    </row>
    <row r="68">
      <c r="E68" s="18" t="n"/>
      <c r="F68" s="19" t="n"/>
      <c r="G68" s="46" t="n"/>
      <c r="H68" s="46" t="n"/>
      <c r="I68" s="317" t="n"/>
      <c r="J68" s="317" t="n"/>
      <c r="K68" s="317" t="n"/>
      <c r="L68" s="317" t="n"/>
      <c r="M68" s="317" t="n"/>
      <c r="N68" s="317" t="n"/>
      <c r="O68" s="317" t="n"/>
      <c r="P68" s="317" t="n"/>
      <c r="Q68" s="317" t="n"/>
      <c r="R68" s="317" t="n"/>
      <c r="S68" s="317" t="n"/>
      <c r="T68" s="317" t="n"/>
      <c r="U68" s="317" t="n"/>
      <c r="V68" s="317" t="n"/>
      <c r="W68" s="317" t="n"/>
      <c r="X68" s="317" t="n"/>
      <c r="Y68" s="317" t="n"/>
      <c r="Z68" s="317" t="n"/>
      <c r="AA68" s="317" t="n"/>
      <c r="AB68" s="317" t="n"/>
      <c r="AC68" s="317" t="n"/>
      <c r="AD68" s="317" t="n"/>
    </row>
    <row r="69">
      <c r="E69" s="16" t="n"/>
      <c r="F69" s="17" t="n"/>
      <c r="G69" s="46" t="n"/>
      <c r="H69" s="46" t="n"/>
      <c r="I69" s="317" t="n"/>
      <c r="J69" s="317" t="n"/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  <c r="T69" s="317" t="n"/>
      <c r="U69" s="317" t="n"/>
      <c r="V69" s="317" t="n"/>
      <c r="W69" s="317" t="n"/>
      <c r="X69" s="317" t="n"/>
      <c r="Y69" s="317" t="n"/>
      <c r="Z69" s="317" t="n"/>
      <c r="AA69" s="317" t="n"/>
      <c r="AB69" s="317" t="n"/>
      <c r="AC69" s="317" t="n"/>
      <c r="AD69" s="317" t="n"/>
    </row>
    <row r="70">
      <c r="E70" s="22" t="n"/>
      <c r="F70" s="23" t="n"/>
      <c r="G70" s="46" t="n"/>
      <c r="H70" s="46" t="n"/>
      <c r="I70" s="317" t="n"/>
      <c r="J70" s="317" t="n"/>
      <c r="K70" s="317" t="n"/>
      <c r="L70" s="317" t="n"/>
      <c r="M70" s="317" t="n"/>
      <c r="N70" s="317" t="n"/>
      <c r="O70" s="317" t="n"/>
      <c r="P70" s="317" t="n"/>
      <c r="Q70" s="317" t="n"/>
      <c r="R70" s="317" t="n"/>
      <c r="S70" s="317" t="n"/>
      <c r="T70" s="317" t="n"/>
      <c r="U70" s="317" t="n"/>
      <c r="V70" s="317" t="n"/>
      <c r="W70" s="317" t="n"/>
      <c r="X70" s="317" t="n"/>
      <c r="Y70" s="317" t="n"/>
      <c r="Z70" s="317" t="n"/>
      <c r="AA70" s="317" t="n"/>
      <c r="AB70" s="317" t="n"/>
      <c r="AC70" s="317" t="n"/>
      <c r="AD70" s="317" t="n"/>
    </row>
  </sheetData>
  <conditionalFormatting sqref="A20:D20 H20:XFD20">
    <cfRule type="containsText" priority="1" operator="containsText" dxfId="10" text="TP">
      <formula>NOT(ISERROR(SEARCH("TP",A20)))</formula>
    </cfRule>
    <cfRule type="containsText" priority="2" operator="containsText" text="TAD">
      <formula>NOT(ISERROR(SEARCH("TAD",A20)))</formula>
    </cfRule>
    <cfRule type="containsText" priority="3" operator="containsText" dxfId="9" text="AT">
      <formula>NOT(ISERROR(SEARCH("AT",A20)))</formula>
    </cfRule>
    <cfRule type="containsText" priority="4" operator="containsText" dxfId="8" text="MA">
      <formula>NOT(ISERROR(SEARCH("MA",A20)))</formula>
    </cfRule>
    <cfRule type="containsText" priority="5" operator="containsText" dxfId="7" text="RES">
      <formula>NOT(ISERROR(SEARCH("RES",A20)))</formula>
    </cfRule>
    <cfRule type="containsText" priority="6" operator="containsText" dxfId="6" text="CEX">
      <formula>NOT(ISERROR(SEARCH("CEX",A20)))</formula>
    </cfRule>
    <cfRule type="containsText" priority="7" operator="containsText" dxfId="5" text="RTT">
      <formula>NOT(ISERROR(SEARCH("RTT",A20)))</formula>
    </cfRule>
    <cfRule type="beginsWith" priority="8" operator="beginsWith" dxfId="4" text="CA">
      <formula>LEFT(A20,LEN("CA"))="CA"</formula>
    </cfRule>
    <cfRule type="containsText" priority="9" operator="containsText" dxfId="3" text="AST">
      <formula>NOT(ISERROR(SEARCH("AST",A20)))</formula>
    </cfRule>
    <cfRule type="containsText" priority="10" operator="containsText" dxfId="2" text="F">
      <formula>NOT(ISERROR(SEARCH("F",A20)))</formula>
    </cfRule>
    <cfRule type="containsText" priority="11" operator="containsText" dxfId="1" text="PC">
      <formula>NOT(ISERROR(SEARCH("PC",A20)))</formula>
    </cfRule>
    <cfRule type="containsText" priority="12" operator="containsText" dxfId="0" text="P">
      <formula>NOT(ISERROR(SEARCH("P",A20)))</formula>
    </cfRule>
  </conditionalFormatting>
  <dataValidations count="1">
    <dataValidation sqref="A20:D20 H20:XFD20" showDropDown="0" showInputMessage="1" showErrorMessage="1" allowBlank="1" type="list">
      <formula1>"P, PC, F, AST, CA, RTT, CEX, RES, MA, AT, TAD, TP"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xSplit="2" ySplit="10" topLeftCell="C38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config!B5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config!C5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35" t="inlineStr">
        <is>
          <t>FERIE</t>
        </is>
      </c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10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86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11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7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47" t="n"/>
      <c r="Q11" s="30" t="inlineStr">
        <is>
          <t>PC</t>
        </is>
      </c>
      <c r="R11" s="131" t="n"/>
      <c r="S11" s="131" t="n"/>
      <c r="T11" s="30" t="n"/>
      <c r="U11" s="30" t="n"/>
      <c r="V11" s="30" t="n"/>
      <c r="W11" s="30" t="n"/>
      <c r="X11" s="30" t="inlineStr">
        <is>
          <t>PC</t>
        </is>
      </c>
      <c r="Y11" s="131" t="n"/>
      <c r="Z11" s="131" t="n"/>
      <c r="AA11" s="30" t="inlineStr">
        <is>
          <t>PC</t>
        </is>
      </c>
      <c r="AB11" s="30" t="inlineStr">
        <is>
          <t>PC</t>
        </is>
      </c>
      <c r="AC11" s="30" t="inlineStr">
        <is>
          <t>PC</t>
        </is>
      </c>
      <c r="AD11" s="30" t="inlineStr">
        <is>
          <t>PC</t>
        </is>
      </c>
      <c r="AE11" s="30" t="inlineStr">
        <is>
          <t>PC</t>
        </is>
      </c>
      <c r="AF11" s="131" t="n"/>
      <c r="AG11" s="131" t="n"/>
      <c r="AH11" s="30" t="inlineStr">
        <is>
          <t>PC</t>
        </is>
      </c>
      <c r="AI11" s="30" t="inlineStr">
        <is>
          <t>PC</t>
        </is>
      </c>
      <c r="AJ11" s="30" t="inlineStr">
        <is>
          <t>PC</t>
        </is>
      </c>
      <c r="AK11" s="30" t="inlineStr">
        <is>
          <t>PC</t>
        </is>
      </c>
      <c r="AL11" s="30" t="inlineStr">
        <is>
          <t>PC</t>
        </is>
      </c>
      <c r="AM11" s="131" t="n"/>
      <c r="AN11" s="131" t="n"/>
      <c r="AO11" s="30" t="n"/>
      <c r="AP11" s="30" t="n"/>
      <c r="AQ11" s="30" t="n"/>
      <c r="AR11" s="30" t="n"/>
      <c r="AS11" s="30" t="n"/>
      <c r="AT11" s="131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45" t="n"/>
      <c r="Q12" s="8" t="inlineStr">
        <is>
          <t>PC</t>
        </is>
      </c>
      <c r="R12" s="121" t="n"/>
      <c r="S12" s="121" t="n"/>
      <c r="T12" s="8" t="n"/>
      <c r="U12" s="8" t="n"/>
      <c r="V12" s="8" t="n"/>
      <c r="W12" s="8" t="n"/>
      <c r="X12" s="8" t="n"/>
      <c r="Y12" s="121" t="n"/>
      <c r="Z12" s="121" t="n"/>
      <c r="AA12" s="8" t="n"/>
      <c r="AB12" s="8" t="n"/>
      <c r="AC12" s="8" t="n"/>
      <c r="AD12" s="8" t="n"/>
      <c r="AE12" s="8" t="n"/>
      <c r="AF12" s="121" t="n"/>
      <c r="AG12" s="121" t="n"/>
      <c r="AH12" s="8" t="n"/>
      <c r="AI12" s="8" t="n"/>
      <c r="AJ12" s="8" t="n"/>
      <c r="AK12" s="8" t="n"/>
      <c r="AL12" s="8" t="n"/>
      <c r="AM12" s="121" t="n"/>
      <c r="AN12" s="121" t="n"/>
      <c r="AO12" s="8" t="n"/>
      <c r="AP12" s="8" t="n"/>
      <c r="AQ12" s="8" t="n"/>
      <c r="AR12" s="8" t="n"/>
      <c r="AS12" s="8" t="n"/>
      <c r="AT12" s="121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45" t="n"/>
      <c r="Q13" s="8" t="n"/>
      <c r="R13" s="121" t="n"/>
      <c r="S13" s="121" t="n"/>
      <c r="T13" s="8" t="n"/>
      <c r="U13" s="8" t="n"/>
      <c r="V13" s="8" t="n"/>
      <c r="W13" s="8" t="n"/>
      <c r="X13" s="8" t="n"/>
      <c r="Y13" s="121" t="n"/>
      <c r="Z13" s="121" t="n"/>
      <c r="AA13" s="8" t="n"/>
      <c r="AB13" s="8" t="n"/>
      <c r="AC13" s="8" t="n"/>
      <c r="AD13" s="8" t="n"/>
      <c r="AE13" s="8" t="n"/>
      <c r="AF13" s="121" t="n"/>
      <c r="AG13" s="121" t="n"/>
      <c r="AH13" s="8" t="n"/>
      <c r="AI13" s="8" t="n"/>
      <c r="AJ13" s="8" t="n"/>
      <c r="AK13" s="8" t="n"/>
      <c r="AL13" s="8" t="n"/>
      <c r="AM13" s="121" t="n"/>
      <c r="AN13" s="121" t="n"/>
      <c r="AO13" s="8" t="n"/>
      <c r="AP13" s="8" t="n"/>
      <c r="AQ13" s="8" t="n"/>
      <c r="AR13" s="8" t="n"/>
      <c r="AS13" s="8" t="n"/>
      <c r="AT13" s="121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172">
        <f>IFERROR(IF(config!E6="","",config!E6),"")</f>
        <v/>
      </c>
      <c r="B14" s="173">
        <f>IFERROR(IF(config!F6="","",config!F6),"")</f>
        <v/>
      </c>
      <c r="C14" s="174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45" t="n"/>
      <c r="Q14" s="121" t="inlineStr">
        <is>
          <t>PC</t>
        </is>
      </c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  <c r="AK14" s="121" t="n"/>
      <c r="AL14" s="121" t="n"/>
      <c r="AM14" s="121" t="n"/>
      <c r="AN14" s="121" t="n"/>
      <c r="AO14" s="121" t="inlineStr">
        <is>
          <t>PC</t>
        </is>
      </c>
      <c r="AP14" s="121" t="inlineStr">
        <is>
          <t>PC</t>
        </is>
      </c>
      <c r="AQ14" s="121" t="inlineStr">
        <is>
          <t>PC</t>
        </is>
      </c>
      <c r="AR14" s="121" t="inlineStr">
        <is>
          <t>PC</t>
        </is>
      </c>
      <c r="AS14" s="121" t="inlineStr">
        <is>
          <t>PC</t>
        </is>
      </c>
      <c r="AT14" s="121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45" t="n"/>
      <c r="Q15" s="8" t="n"/>
      <c r="R15" s="121" t="n"/>
      <c r="S15" s="121" t="n"/>
      <c r="T15" s="8" t="n"/>
      <c r="U15" s="8" t="n"/>
      <c r="V15" s="8" t="n"/>
      <c r="W15" s="8" t="n"/>
      <c r="X15" s="8" t="n"/>
      <c r="Y15" s="121" t="n"/>
      <c r="Z15" s="121" t="n"/>
      <c r="AA15" s="8" t="n"/>
      <c r="AB15" s="8" t="n"/>
      <c r="AC15" s="8" t="n"/>
      <c r="AD15" s="8" t="n"/>
      <c r="AE15" s="8" t="n"/>
      <c r="AF15" s="121" t="n"/>
      <c r="AG15" s="121" t="n"/>
      <c r="AH15" s="8" t="n"/>
      <c r="AI15" s="8" t="n"/>
      <c r="AJ15" s="8" t="n"/>
      <c r="AK15" s="8" t="n"/>
      <c r="AL15" s="8" t="n"/>
      <c r="AM15" s="121" t="n"/>
      <c r="AN15" s="121" t="n"/>
      <c r="AO15" s="8" t="n"/>
      <c r="AP15" s="8" t="n"/>
      <c r="AQ15" s="8" t="n"/>
      <c r="AR15" s="8" t="n"/>
      <c r="AS15" s="8" t="n"/>
      <c r="AT15" s="121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45" t="n"/>
      <c r="Q16" s="8" t="n"/>
      <c r="R16" s="121" t="n"/>
      <c r="S16" s="121" t="n"/>
      <c r="T16" s="8" t="n"/>
      <c r="U16" s="8" t="n"/>
      <c r="V16" s="8" t="n"/>
      <c r="W16" s="8" t="n"/>
      <c r="X16" s="8" t="n"/>
      <c r="Y16" s="121" t="n"/>
      <c r="Z16" s="121" t="n"/>
      <c r="AA16" s="8" t="n"/>
      <c r="AB16" s="8" t="n"/>
      <c r="AC16" s="8" t="n"/>
      <c r="AD16" s="8" t="n"/>
      <c r="AE16" s="8" t="n"/>
      <c r="AF16" s="121" t="n"/>
      <c r="AG16" s="121" t="n"/>
      <c r="AH16" s="8" t="n"/>
      <c r="AI16" s="8" t="n"/>
      <c r="AJ16" s="8" t="n"/>
      <c r="AK16" s="8" t="n"/>
      <c r="AL16" s="8" t="n"/>
      <c r="AM16" s="121" t="n"/>
      <c r="AN16" s="121" t="n"/>
      <c r="AO16" s="8" t="n"/>
      <c r="AP16" s="8" t="n"/>
      <c r="AQ16" s="8" t="n"/>
      <c r="AR16" s="8" t="n"/>
      <c r="AS16" s="8" t="n"/>
      <c r="AT16" s="121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45" t="n"/>
      <c r="Q17" s="8" t="n"/>
      <c r="R17" s="121" t="n"/>
      <c r="S17" s="121" t="n"/>
      <c r="T17" s="8" t="n"/>
      <c r="U17" s="8" t="n"/>
      <c r="V17" s="8" t="n"/>
      <c r="W17" s="8" t="n"/>
      <c r="X17" s="8" t="n"/>
      <c r="Y17" s="121" t="n"/>
      <c r="Z17" s="121" t="n"/>
      <c r="AA17" s="8" t="n"/>
      <c r="AB17" s="8" t="n"/>
      <c r="AC17" s="8" t="n"/>
      <c r="AD17" s="8" t="n"/>
      <c r="AE17" s="8" t="n"/>
      <c r="AF17" s="121" t="n"/>
      <c r="AG17" s="121" t="n"/>
      <c r="AH17" s="8" t="n"/>
      <c r="AI17" s="8" t="n"/>
      <c r="AJ17" s="8" t="n"/>
      <c r="AK17" s="8" t="n"/>
      <c r="AL17" s="8" t="n"/>
      <c r="AM17" s="121" t="n"/>
      <c r="AN17" s="121" t="n"/>
      <c r="AO17" s="8" t="n"/>
      <c r="AP17" s="8" t="n"/>
      <c r="AQ17" s="8" t="n"/>
      <c r="AR17" s="8" t="n"/>
      <c r="AS17" s="8" t="n"/>
      <c r="AT17" s="121" t="n"/>
      <c r="AU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45" t="n"/>
      <c r="Q18" s="8" t="inlineStr">
        <is>
          <t>CEX</t>
        </is>
      </c>
      <c r="R18" s="121" t="n"/>
      <c r="S18" s="121" t="n"/>
      <c r="T18" s="8" t="inlineStr">
        <is>
          <t>CEX</t>
        </is>
      </c>
      <c r="U18" s="8" t="inlineStr">
        <is>
          <t>CEX</t>
        </is>
      </c>
      <c r="V18" s="8" t="inlineStr">
        <is>
          <t>CEX</t>
        </is>
      </c>
      <c r="W18" s="8" t="inlineStr">
        <is>
          <t>CEX</t>
        </is>
      </c>
      <c r="X18" s="8" t="inlineStr">
        <is>
          <t>CEX</t>
        </is>
      </c>
      <c r="Y18" s="121" t="n"/>
      <c r="Z18" s="121" t="n"/>
      <c r="AA18" s="8" t="inlineStr">
        <is>
          <t>CEX</t>
        </is>
      </c>
      <c r="AB18" s="8" t="inlineStr">
        <is>
          <t>CEX</t>
        </is>
      </c>
      <c r="AC18" s="8" t="inlineStr">
        <is>
          <t>CEX</t>
        </is>
      </c>
      <c r="AD18" s="8" t="inlineStr">
        <is>
          <t>CEX</t>
        </is>
      </c>
      <c r="AE18" s="8" t="inlineStr">
        <is>
          <t>CEX</t>
        </is>
      </c>
      <c r="AF18" s="121" t="n"/>
      <c r="AG18" s="121" t="n"/>
      <c r="AH18" s="8" t="inlineStr">
        <is>
          <t>CEX</t>
        </is>
      </c>
      <c r="AI18" s="8" t="inlineStr">
        <is>
          <t>CEX</t>
        </is>
      </c>
      <c r="AJ18" s="8" t="inlineStr">
        <is>
          <t>CEX</t>
        </is>
      </c>
      <c r="AK18" s="8" t="inlineStr">
        <is>
          <t>CEX</t>
        </is>
      </c>
      <c r="AL18" s="8" t="inlineStr">
        <is>
          <t>CEX</t>
        </is>
      </c>
      <c r="AM18" s="121" t="n"/>
      <c r="AN18" s="121" t="n"/>
      <c r="AO18" s="8" t="inlineStr">
        <is>
          <t>CEX</t>
        </is>
      </c>
      <c r="AP18" s="8" t="inlineStr">
        <is>
          <t>CEX</t>
        </is>
      </c>
      <c r="AQ18" s="8" t="inlineStr">
        <is>
          <t>CEX</t>
        </is>
      </c>
      <c r="AR18" s="8" t="inlineStr">
        <is>
          <t>CEX</t>
        </is>
      </c>
      <c r="AS18" s="8" t="inlineStr">
        <is>
          <t>CEX</t>
        </is>
      </c>
      <c r="AT18" s="121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45" t="n"/>
      <c r="Q19" s="29" t="inlineStr">
        <is>
          <t>PC</t>
        </is>
      </c>
      <c r="R19" s="121" t="n"/>
      <c r="S19" s="121" t="n"/>
      <c r="T19" s="8" t="inlineStr">
        <is>
          <t>PC</t>
        </is>
      </c>
      <c r="U19" s="8" t="inlineStr">
        <is>
          <t>PC</t>
        </is>
      </c>
      <c r="V19" s="8" t="inlineStr">
        <is>
          <t>PC</t>
        </is>
      </c>
      <c r="W19" s="8" t="inlineStr">
        <is>
          <t>PC</t>
        </is>
      </c>
      <c r="X19" s="8" t="inlineStr">
        <is>
          <t>PC</t>
        </is>
      </c>
      <c r="Y19" s="121" t="n"/>
      <c r="Z19" s="121" t="n"/>
      <c r="AA19" s="8" t="n"/>
      <c r="AB19" s="8" t="n"/>
      <c r="AC19" s="8" t="n"/>
      <c r="AD19" s="8" t="n"/>
      <c r="AE19" s="8" t="n"/>
      <c r="AF19" s="121" t="n"/>
      <c r="AG19" s="121" t="n"/>
      <c r="AH19" s="8" t="n"/>
      <c r="AI19" s="8" t="n"/>
      <c r="AJ19" s="8" t="n"/>
      <c r="AK19" s="8" t="n"/>
      <c r="AL19" s="8" t="n"/>
      <c r="AM19" s="121" t="n"/>
      <c r="AN19" s="121" t="n"/>
      <c r="AO19" s="8" t="n"/>
      <c r="AP19" s="8" t="n"/>
      <c r="AQ19" s="8" t="n"/>
      <c r="AR19" s="8" t="n"/>
      <c r="AS19" s="8" t="n"/>
      <c r="AT19" s="121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46" t="n"/>
      <c r="Q20" s="29" t="inlineStr">
        <is>
          <t>PC</t>
        </is>
      </c>
      <c r="R20" s="122" t="n"/>
      <c r="S20" s="122" t="n"/>
      <c r="T20" s="29" t="n"/>
      <c r="U20" s="29" t="n"/>
      <c r="V20" s="29" t="n"/>
      <c r="W20" s="29" t="n"/>
      <c r="X20" s="29" t="n"/>
      <c r="Y20" s="122" t="n"/>
      <c r="Z20" s="122" t="n"/>
      <c r="AA20" s="29" t="n"/>
      <c r="AB20" s="29" t="n"/>
      <c r="AC20" s="29" t="n"/>
      <c r="AD20" s="29" t="n"/>
      <c r="AE20" s="29" t="n"/>
      <c r="AF20" s="122" t="n"/>
      <c r="AG20" s="122" t="n"/>
      <c r="AH20" s="29" t="n"/>
      <c r="AI20" s="29" t="inlineStr">
        <is>
          <t>F</t>
        </is>
      </c>
      <c r="AJ20" s="29" t="inlineStr">
        <is>
          <t>F</t>
        </is>
      </c>
      <c r="AK20" s="29" t="inlineStr">
        <is>
          <t>F</t>
        </is>
      </c>
      <c r="AL20" s="29" t="n"/>
      <c r="AM20" s="122" t="n"/>
      <c r="AN20" s="122" t="n"/>
      <c r="AO20" s="29" t="n"/>
      <c r="AP20" s="29" t="n"/>
      <c r="AQ20" s="29" t="inlineStr">
        <is>
          <t>F</t>
        </is>
      </c>
      <c r="AR20" s="29" t="inlineStr">
        <is>
          <t>F</t>
        </is>
      </c>
      <c r="AS20" s="29" t="inlineStr">
        <is>
          <t>F</t>
        </is>
      </c>
      <c r="AT20" s="122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  <c r="AT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147" t="n"/>
      <c r="Q23" s="30" t="inlineStr">
        <is>
          <t>PC</t>
        </is>
      </c>
      <c r="R23" s="131" t="n"/>
      <c r="S23" s="131" t="n"/>
      <c r="T23" s="30" t="n"/>
      <c r="U23" s="30" t="n"/>
      <c r="V23" s="30" t="n"/>
      <c r="W23" s="30" t="n"/>
      <c r="X23" s="30" t="n"/>
      <c r="Y23" s="131" t="n"/>
      <c r="Z23" s="131" t="n"/>
      <c r="AA23" s="30" t="n"/>
      <c r="AB23" s="30" t="n"/>
      <c r="AC23" s="30" t="n"/>
      <c r="AD23" s="30" t="n"/>
      <c r="AE23" s="30" t="n"/>
      <c r="AF23" s="131" t="n"/>
      <c r="AG23" s="131" t="n"/>
      <c r="AH23" s="30" t="n"/>
      <c r="AI23" s="30" t="n"/>
      <c r="AJ23" s="30" t="n"/>
      <c r="AK23" s="30" t="n"/>
      <c r="AL23" s="30" t="n"/>
      <c r="AM23" s="131" t="n"/>
      <c r="AN23" s="131" t="n"/>
      <c r="AO23" s="30" t="n"/>
      <c r="AP23" s="30" t="n"/>
      <c r="AQ23" s="30" t="n"/>
      <c r="AR23" s="30" t="n"/>
      <c r="AS23" s="30" t="n"/>
      <c r="AT23" s="131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147" t="n"/>
      <c r="Q24" s="30" t="inlineStr">
        <is>
          <t>PC</t>
        </is>
      </c>
      <c r="R24" s="131" t="n"/>
      <c r="S24" s="131" t="n"/>
      <c r="T24" s="30" t="n"/>
      <c r="U24" s="30" t="n"/>
      <c r="V24" s="30" t="n"/>
      <c r="W24" s="30" t="n"/>
      <c r="X24" s="30" t="n"/>
      <c r="Y24" s="131" t="n"/>
      <c r="Z24" s="131" t="n"/>
      <c r="AA24" s="30" t="n"/>
      <c r="AB24" s="30" t="n"/>
      <c r="AC24" s="30" t="n"/>
      <c r="AD24" s="30" t="n"/>
      <c r="AE24" s="30" t="n"/>
      <c r="AF24" s="131" t="n"/>
      <c r="AG24" s="131" t="n"/>
      <c r="AH24" s="30" t="n"/>
      <c r="AI24" s="30" t="n"/>
      <c r="AJ24" s="30" t="n"/>
      <c r="AK24" s="30" t="n"/>
      <c r="AL24" s="30" t="n"/>
      <c r="AM24" s="131" t="n"/>
      <c r="AN24" s="131" t="n"/>
      <c r="AO24" s="30" t="n"/>
      <c r="AP24" s="30" t="n"/>
      <c r="AQ24" s="30" t="n"/>
      <c r="AR24" s="30" t="n"/>
      <c r="AS24" s="30" t="n"/>
      <c r="AT24" s="13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  <c r="AT25" s="207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147" t="n"/>
      <c r="Q26" s="30" t="n"/>
      <c r="R26" s="131" t="n"/>
      <c r="S26" s="131" t="n"/>
      <c r="T26" s="30" t="n"/>
      <c r="U26" s="30" t="n"/>
      <c r="V26" s="30" t="n"/>
      <c r="W26" s="30" t="n"/>
      <c r="X26" s="30" t="n"/>
      <c r="Y26" s="131" t="n"/>
      <c r="Z26" s="131" t="n"/>
      <c r="AA26" s="30" t="n"/>
      <c r="AB26" s="30" t="n"/>
      <c r="AC26" s="30" t="n"/>
      <c r="AD26" s="30" t="n"/>
      <c r="AE26" s="30" t="n"/>
      <c r="AF26" s="131" t="n"/>
      <c r="AG26" s="131" t="n"/>
      <c r="AH26" s="30" t="n"/>
      <c r="AI26" s="30" t="n"/>
      <c r="AJ26" s="30" t="n"/>
      <c r="AK26" s="30" t="n"/>
      <c r="AL26" s="30" t="n"/>
      <c r="AM26" s="131" t="n"/>
      <c r="AN26" s="131" t="n"/>
      <c r="AO26" s="30" t="n"/>
      <c r="AP26" s="30" t="n"/>
      <c r="AQ26" s="30" t="n"/>
      <c r="AR26" s="30" t="n"/>
      <c r="AS26" s="30" t="n"/>
      <c r="AT26" s="13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7" t="n"/>
      <c r="Q27" s="30" t="inlineStr">
        <is>
          <t>PC</t>
        </is>
      </c>
      <c r="R27" s="131" t="n"/>
      <c r="S27" s="131" t="n"/>
      <c r="T27" s="30" t="inlineStr">
        <is>
          <t>PC</t>
        </is>
      </c>
      <c r="U27" s="30" t="inlineStr">
        <is>
          <t>PC</t>
        </is>
      </c>
      <c r="V27" s="30" t="inlineStr">
        <is>
          <t>PC</t>
        </is>
      </c>
      <c r="W27" s="30" t="inlineStr">
        <is>
          <t>PC</t>
        </is>
      </c>
      <c r="X27" s="30" t="inlineStr">
        <is>
          <t>PC</t>
        </is>
      </c>
      <c r="Y27" s="131" t="n"/>
      <c r="Z27" s="131" t="n"/>
      <c r="AA27" s="30" t="n"/>
      <c r="AB27" s="30" t="n"/>
      <c r="AC27" s="30" t="n"/>
      <c r="AD27" s="30" t="n"/>
      <c r="AE27" s="30" t="n"/>
      <c r="AF27" s="131" t="n"/>
      <c r="AG27" s="131" t="n"/>
      <c r="AH27" s="30" t="n"/>
      <c r="AI27" s="30" t="n"/>
      <c r="AJ27" s="30" t="n"/>
      <c r="AK27" s="30" t="n"/>
      <c r="AL27" s="30" t="n"/>
      <c r="AM27" s="131" t="n"/>
      <c r="AN27" s="131" t="n"/>
      <c r="AO27" s="30" t="n"/>
      <c r="AP27" s="30" t="n"/>
      <c r="AQ27" s="30" t="n"/>
      <c r="AR27" s="30" t="n"/>
      <c r="AS27" s="30" t="n"/>
      <c r="AT27" s="131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7" t="n"/>
      <c r="Q28" s="30" t="inlineStr">
        <is>
          <t>PC</t>
        </is>
      </c>
      <c r="R28" s="131" t="n"/>
      <c r="S28" s="131" t="n"/>
      <c r="T28" s="30" t="n"/>
      <c r="U28" s="30" t="n"/>
      <c r="V28" s="30" t="n"/>
      <c r="W28" s="30" t="n"/>
      <c r="X28" s="30" t="n"/>
      <c r="Y28" s="131" t="n"/>
      <c r="Z28" s="131" t="n"/>
      <c r="AA28" s="30" t="n"/>
      <c r="AB28" s="30" t="n"/>
      <c r="AC28" s="30" t="n"/>
      <c r="AD28" s="30" t="n"/>
      <c r="AE28" s="30" t="n"/>
      <c r="AF28" s="131" t="n"/>
      <c r="AG28" s="131" t="n"/>
      <c r="AH28" s="30" t="n"/>
      <c r="AI28" s="30" t="n"/>
      <c r="AJ28" s="30" t="n"/>
      <c r="AK28" s="30" t="n"/>
      <c r="AL28" s="30" t="n"/>
      <c r="AM28" s="131" t="n"/>
      <c r="AN28" s="131" t="n"/>
      <c r="AO28" s="30" t="n"/>
      <c r="AP28" s="30" t="n"/>
      <c r="AQ28" s="30" t="n"/>
      <c r="AR28" s="30" t="n"/>
      <c r="AS28" s="30" t="n"/>
      <c r="AT28" s="131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147" t="n"/>
      <c r="Q29" s="30" t="n"/>
      <c r="R29" s="131" t="n"/>
      <c r="S29" s="131" t="n"/>
      <c r="T29" s="30" t="n"/>
      <c r="U29" s="30" t="n"/>
      <c r="V29" s="30" t="n"/>
      <c r="W29" s="30" t="n"/>
      <c r="X29" s="30" t="n"/>
      <c r="Y29" s="131" t="n"/>
      <c r="Z29" s="131" t="n"/>
      <c r="AA29" s="30" t="n"/>
      <c r="AB29" s="30" t="n"/>
      <c r="AC29" s="30" t="n"/>
      <c r="AD29" s="30" t="n"/>
      <c r="AE29" s="30" t="n"/>
      <c r="AF29" s="131" t="n"/>
      <c r="AG29" s="131" t="n"/>
      <c r="AH29" s="30" t="n"/>
      <c r="AI29" s="30" t="n"/>
      <c r="AJ29" s="30" t="n"/>
      <c r="AK29" s="30" t="n"/>
      <c r="AL29" s="30" t="n"/>
      <c r="AM29" s="131" t="n"/>
      <c r="AN29" s="131" t="n"/>
      <c r="AO29" s="30" t="n"/>
      <c r="AP29" s="30" t="n"/>
      <c r="AQ29" s="30" t="n"/>
      <c r="AR29" s="30" t="n"/>
      <c r="AS29" s="30" t="n"/>
      <c r="AT29" s="13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147" t="n"/>
      <c r="Q31" s="30" t="n"/>
      <c r="R31" s="131" t="n"/>
      <c r="S31" s="131" t="n"/>
      <c r="T31" s="30" t="n"/>
      <c r="U31" s="30" t="n"/>
      <c r="V31" s="30" t="n"/>
      <c r="W31" s="30" t="n"/>
      <c r="X31" s="30" t="n"/>
      <c r="Y31" s="131" t="n"/>
      <c r="Z31" s="131" t="n"/>
      <c r="AA31" s="30" t="n"/>
      <c r="AB31" s="30" t="n"/>
      <c r="AC31" s="30" t="n"/>
      <c r="AD31" s="30" t="n"/>
      <c r="AE31" s="30" t="n"/>
      <c r="AF31" s="131" t="n"/>
      <c r="AG31" s="131" t="n"/>
      <c r="AH31" s="30" t="n"/>
      <c r="AI31" s="30" t="n"/>
      <c r="AJ31" s="30" t="n"/>
      <c r="AK31" s="30" t="n"/>
      <c r="AL31" s="30" t="n"/>
      <c r="AM31" s="131" t="n"/>
      <c r="AN31" s="131" t="n"/>
      <c r="AO31" s="30" t="n"/>
      <c r="AP31" s="30" t="n"/>
      <c r="AQ31" s="30" t="n"/>
      <c r="AR31" s="30" t="n"/>
      <c r="AS31" s="30" t="n"/>
      <c r="AT31" s="131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147" t="n"/>
      <c r="Q32" s="30" t="n"/>
      <c r="R32" s="131" t="n"/>
      <c r="S32" s="131" t="n"/>
      <c r="T32" s="30" t="n"/>
      <c r="U32" s="30" t="n"/>
      <c r="V32" s="30" t="n"/>
      <c r="W32" s="30" t="n"/>
      <c r="X32" s="30" t="n"/>
      <c r="Y32" s="131" t="n"/>
      <c r="Z32" s="131" t="n"/>
      <c r="AA32" s="30" t="n"/>
      <c r="AB32" s="30" t="n"/>
      <c r="AC32" s="30" t="n"/>
      <c r="AD32" s="30" t="n"/>
      <c r="AE32" s="30" t="n"/>
      <c r="AF32" s="131" t="n"/>
      <c r="AG32" s="131" t="n"/>
      <c r="AH32" s="30" t="n"/>
      <c r="AI32" s="30" t="n"/>
      <c r="AJ32" s="30" t="n"/>
      <c r="AK32" s="30" t="n"/>
      <c r="AL32" s="30" t="n"/>
      <c r="AM32" s="131" t="n"/>
      <c r="AN32" s="131" t="n"/>
      <c r="AO32" s="30" t="n"/>
      <c r="AP32" s="30" t="n"/>
      <c r="AQ32" s="30" t="n"/>
      <c r="AR32" s="30" t="n"/>
      <c r="AS32" s="30" t="n"/>
      <c r="AT32" s="131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147" t="n"/>
      <c r="Q33" s="30" t="n"/>
      <c r="R33" s="131" t="n"/>
      <c r="S33" s="131" t="n"/>
      <c r="T33" s="30" t="n"/>
      <c r="U33" s="30" t="n"/>
      <c r="V33" s="30" t="n"/>
      <c r="W33" s="30" t="n"/>
      <c r="X33" s="30" t="n"/>
      <c r="Y33" s="131" t="n"/>
      <c r="Z33" s="131" t="n"/>
      <c r="AA33" s="30" t="n"/>
      <c r="AB33" s="30" t="n"/>
      <c r="AC33" s="30" t="n"/>
      <c r="AD33" s="30" t="n"/>
      <c r="AE33" s="30" t="n"/>
      <c r="AF33" s="131" t="n"/>
      <c r="AG33" s="131" t="n"/>
      <c r="AH33" s="30" t="n"/>
      <c r="AI33" s="30" t="n"/>
      <c r="AJ33" s="30" t="n"/>
      <c r="AK33" s="30" t="n"/>
      <c r="AL33" s="30" t="n"/>
      <c r="AM33" s="131" t="n"/>
      <c r="AN33" s="131" t="n"/>
      <c r="AO33" s="30" t="n"/>
      <c r="AP33" s="30" t="n"/>
      <c r="AQ33" s="30" t="n"/>
      <c r="AR33" s="30" t="n"/>
      <c r="AS33" s="30" t="n"/>
      <c r="AT33" s="131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147" t="n"/>
      <c r="Q34" s="30" t="n"/>
      <c r="R34" s="131" t="n"/>
      <c r="S34" s="131" t="n"/>
      <c r="T34" s="30" t="n"/>
      <c r="U34" s="30" t="n"/>
      <c r="V34" s="30" t="n"/>
      <c r="W34" s="30" t="n"/>
      <c r="X34" s="30" t="n"/>
      <c r="Y34" s="131" t="n"/>
      <c r="Z34" s="131" t="n"/>
      <c r="AA34" s="30" t="n"/>
      <c r="AB34" s="30" t="n"/>
      <c r="AC34" s="30" t="n"/>
      <c r="AD34" s="30" t="n"/>
      <c r="AE34" s="30" t="n"/>
      <c r="AF34" s="131" t="n"/>
      <c r="AG34" s="131" t="n"/>
      <c r="AH34" s="30" t="n"/>
      <c r="AI34" s="30" t="n"/>
      <c r="AJ34" s="30" t="n"/>
      <c r="AK34" s="30" t="n"/>
      <c r="AL34" s="30" t="n"/>
      <c r="AM34" s="131" t="n"/>
      <c r="AN34" s="131" t="n"/>
      <c r="AO34" s="30" t="n"/>
      <c r="AP34" s="30" t="n"/>
      <c r="AQ34" s="30" t="n"/>
      <c r="AR34" s="30" t="n"/>
      <c r="AS34" s="30" t="n"/>
      <c r="AT34" s="131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147" t="n"/>
      <c r="Q35" s="30" t="n"/>
      <c r="R35" s="131" t="n"/>
      <c r="S35" s="131" t="n"/>
      <c r="T35" s="30" t="n"/>
      <c r="U35" s="30" t="n"/>
      <c r="V35" s="30" t="n"/>
      <c r="W35" s="30" t="n"/>
      <c r="X35" s="30" t="n"/>
      <c r="Y35" s="131" t="n"/>
      <c r="Z35" s="131" t="n"/>
      <c r="AA35" s="30" t="n"/>
      <c r="AB35" s="30" t="n"/>
      <c r="AC35" s="30" t="n"/>
      <c r="AD35" s="30" t="n"/>
      <c r="AE35" s="30" t="n"/>
      <c r="AF35" s="131" t="n"/>
      <c r="AG35" s="131" t="n"/>
      <c r="AH35" s="30" t="n"/>
      <c r="AI35" s="30" t="n"/>
      <c r="AJ35" s="30" t="n"/>
      <c r="AK35" s="30" t="n"/>
      <c r="AL35" s="30" t="n"/>
      <c r="AM35" s="131" t="n"/>
      <c r="AN35" s="131" t="n"/>
      <c r="AO35" s="30" t="n"/>
      <c r="AP35" s="30" t="n"/>
      <c r="AQ35" s="30" t="n"/>
      <c r="AR35" s="30" t="n"/>
      <c r="AS35" s="30" t="n"/>
      <c r="AT35" s="131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147" t="n"/>
      <c r="Q36" s="30" t="n"/>
      <c r="R36" s="131" t="n"/>
      <c r="S36" s="131" t="n"/>
      <c r="T36" s="30" t="n"/>
      <c r="U36" s="30" t="n"/>
      <c r="V36" s="30" t="n"/>
      <c r="W36" s="30" t="n"/>
      <c r="X36" s="30" t="n"/>
      <c r="Y36" s="131" t="n"/>
      <c r="Z36" s="131" t="n"/>
      <c r="AA36" s="30" t="n"/>
      <c r="AB36" s="30" t="n"/>
      <c r="AC36" s="30" t="n"/>
      <c r="AD36" s="30" t="n"/>
      <c r="AE36" s="30" t="n"/>
      <c r="AF36" s="131" t="n"/>
      <c r="AG36" s="131" t="n"/>
      <c r="AH36" s="30" t="n"/>
      <c r="AI36" s="30" t="n"/>
      <c r="AJ36" s="30" t="n"/>
      <c r="AK36" s="30" t="n"/>
      <c r="AL36" s="30" t="n"/>
      <c r="AM36" s="131" t="n"/>
      <c r="AN36" s="131" t="n"/>
      <c r="AO36" s="30" t="n"/>
      <c r="AP36" s="30" t="n"/>
      <c r="AQ36" s="30" t="n"/>
      <c r="AR36" s="30" t="n"/>
      <c r="AS36" s="30" t="n"/>
      <c r="AT36" s="131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37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44" t="n"/>
      <c r="Q39" s="28" t="n"/>
      <c r="R39" s="113" t="n"/>
      <c r="S39" s="113" t="n"/>
      <c r="T39" s="28" t="n"/>
      <c r="U39" s="28" t="n"/>
      <c r="V39" s="28" t="n"/>
      <c r="W39" s="28" t="n"/>
      <c r="X39" s="28" t="n"/>
      <c r="Y39" s="113" t="n"/>
      <c r="Z39" s="113" t="n"/>
      <c r="AA39" s="28" t="n"/>
      <c r="AB39" s="28" t="n"/>
      <c r="AC39" s="28" t="n"/>
      <c r="AD39" s="28" t="n"/>
      <c r="AE39" s="28" t="n"/>
      <c r="AF39" s="113" t="n"/>
      <c r="AG39" s="113" t="n"/>
      <c r="AH39" s="28" t="n"/>
      <c r="AI39" s="28" t="n"/>
      <c r="AJ39" s="28" t="n"/>
      <c r="AK39" s="28" t="n"/>
      <c r="AL39" s="28" t="n"/>
      <c r="AM39" s="113" t="n"/>
      <c r="AN39" s="113" t="n"/>
      <c r="AO39" s="28" t="n"/>
      <c r="AP39" s="28" t="n"/>
      <c r="AQ39" s="28" t="n"/>
      <c r="AR39" s="28" t="n"/>
      <c r="AS39" s="28" t="n"/>
      <c r="AT39" s="151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7" t="n"/>
      <c r="Q40" s="30" t="inlineStr">
        <is>
          <t>PC</t>
        </is>
      </c>
      <c r="R40" s="131" t="n"/>
      <c r="S40" s="131" t="n"/>
      <c r="T40" s="30" t="n"/>
      <c r="U40" s="30" t="n"/>
      <c r="V40" s="30" t="n"/>
      <c r="W40" s="30" t="n"/>
      <c r="X40" s="30" t="n"/>
      <c r="Y40" s="131" t="n"/>
      <c r="Z40" s="131" t="n"/>
      <c r="AA40" s="30" t="n"/>
      <c r="AB40" s="30" t="n"/>
      <c r="AC40" s="30" t="n"/>
      <c r="AD40" s="30" t="n"/>
      <c r="AE40" s="30" t="n"/>
      <c r="AF40" s="131" t="n"/>
      <c r="AG40" s="131" t="n"/>
      <c r="AH40" s="30" t="n"/>
      <c r="AI40" s="30" t="n"/>
      <c r="AJ40" s="30" t="n"/>
      <c r="AK40" s="30" t="n"/>
      <c r="AL40" s="30" t="n"/>
      <c r="AM40" s="131" t="n"/>
      <c r="AN40" s="131" t="n"/>
      <c r="AO40" s="30" t="n"/>
      <c r="AP40" s="30" t="n"/>
      <c r="AQ40" s="30" t="n"/>
      <c r="AR40" s="30" t="n"/>
      <c r="AS40" s="30" t="n"/>
      <c r="AT40" s="226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7" t="n"/>
      <c r="Q41" s="30" t="inlineStr">
        <is>
          <t>PC</t>
        </is>
      </c>
      <c r="R41" s="131" t="n"/>
      <c r="S41" s="131" t="n"/>
      <c r="T41" s="30" t="n"/>
      <c r="U41" s="30" t="n"/>
      <c r="V41" s="30" t="n"/>
      <c r="W41" s="30" t="n"/>
      <c r="X41" s="30" t="n"/>
      <c r="Y41" s="131" t="n"/>
      <c r="Z41" s="131" t="n"/>
      <c r="AA41" s="30" t="n"/>
      <c r="AB41" s="30" t="n"/>
      <c r="AC41" s="30" t="n"/>
      <c r="AD41" s="30" t="n"/>
      <c r="AE41" s="30" t="n"/>
      <c r="AF41" s="131" t="n"/>
      <c r="AG41" s="131" t="n"/>
      <c r="AH41" s="30" t="n"/>
      <c r="AI41" s="30" t="n"/>
      <c r="AJ41" s="30" t="n"/>
      <c r="AK41" s="30" t="n"/>
      <c r="AL41" s="30" t="n"/>
      <c r="AM41" s="131" t="n"/>
      <c r="AN41" s="131" t="n"/>
      <c r="AO41" s="30" t="n"/>
      <c r="AP41" s="30" t="n"/>
      <c r="AQ41" s="30" t="n"/>
      <c r="AR41" s="30" t="n"/>
      <c r="AS41" s="30" t="n"/>
      <c r="AT41" s="226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7" t="n"/>
      <c r="Q42" s="30" t="n"/>
      <c r="R42" s="131" t="n"/>
      <c r="S42" s="131" t="n"/>
      <c r="T42" s="30" t="n"/>
      <c r="U42" s="30" t="n"/>
      <c r="V42" s="30" t="n"/>
      <c r="W42" s="30" t="n"/>
      <c r="X42" s="30" t="n"/>
      <c r="Y42" s="131" t="n"/>
      <c r="Z42" s="131" t="n"/>
      <c r="AA42" s="30" t="n"/>
      <c r="AB42" s="30" t="n"/>
      <c r="AC42" s="30" t="n"/>
      <c r="AD42" s="30" t="n"/>
      <c r="AE42" s="30" t="n"/>
      <c r="AF42" s="131" t="n"/>
      <c r="AG42" s="131" t="n"/>
      <c r="AH42" s="30" t="n"/>
      <c r="AI42" s="30" t="n"/>
      <c r="AJ42" s="30" t="n"/>
      <c r="AK42" s="30" t="n"/>
      <c r="AL42" s="30" t="n"/>
      <c r="AM42" s="131" t="n"/>
      <c r="AN42" s="131" t="n"/>
      <c r="AO42" s="30" t="n"/>
      <c r="AP42" s="30" t="n"/>
      <c r="AQ42" s="30" t="n"/>
      <c r="AR42" s="30" t="n"/>
      <c r="AS42" s="30" t="n"/>
      <c r="AT42" s="226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7" t="n"/>
      <c r="Q43" s="30" t="n"/>
      <c r="R43" s="131" t="n"/>
      <c r="S43" s="131" t="n"/>
      <c r="T43" s="30" t="n"/>
      <c r="U43" s="30" t="n"/>
      <c r="V43" s="30" t="n"/>
      <c r="W43" s="30" t="n"/>
      <c r="X43" s="30" t="n"/>
      <c r="Y43" s="131" t="n"/>
      <c r="Z43" s="131" t="n"/>
      <c r="AA43" s="30" t="n"/>
      <c r="AB43" s="30" t="n"/>
      <c r="AC43" s="30" t="n"/>
      <c r="AD43" s="30" t="n"/>
      <c r="AE43" s="30" t="n"/>
      <c r="AF43" s="131" t="n"/>
      <c r="AG43" s="131" t="n"/>
      <c r="AH43" s="30" t="n"/>
      <c r="AI43" s="30" t="n"/>
      <c r="AJ43" s="30" t="n"/>
      <c r="AK43" s="30" t="n"/>
      <c r="AL43" s="30" t="n"/>
      <c r="AM43" s="131" t="n"/>
      <c r="AN43" s="131" t="n"/>
      <c r="AO43" s="30" t="n"/>
      <c r="AP43" s="30" t="n"/>
      <c r="AQ43" s="30" t="n"/>
      <c r="AR43" s="30" t="n"/>
      <c r="AS43" s="30" t="n"/>
      <c r="AT43" s="226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7" t="n"/>
      <c r="Q44" s="30" t="n"/>
      <c r="R44" s="131" t="n"/>
      <c r="S44" s="131" t="n"/>
      <c r="T44" s="30" t="n"/>
      <c r="U44" s="30" t="n"/>
      <c r="V44" s="30" t="n"/>
      <c r="W44" s="30" t="n"/>
      <c r="X44" s="30" t="n"/>
      <c r="Y44" s="131" t="n"/>
      <c r="Z44" s="131" t="n"/>
      <c r="AA44" s="30" t="n"/>
      <c r="AB44" s="30" t="n"/>
      <c r="AC44" s="30" t="n"/>
      <c r="AD44" s="30" t="n"/>
      <c r="AE44" s="30" t="n"/>
      <c r="AF44" s="131" t="n"/>
      <c r="AG44" s="131" t="n"/>
      <c r="AH44" s="30" t="n"/>
      <c r="AI44" s="30" t="n"/>
      <c r="AJ44" s="30" t="n"/>
      <c r="AK44" s="30" t="n"/>
      <c r="AL44" s="30" t="n"/>
      <c r="AM44" s="131" t="n"/>
      <c r="AN44" s="131" t="n"/>
      <c r="AO44" s="30" t="n"/>
      <c r="AP44" s="30" t="n"/>
      <c r="AQ44" s="30" t="n"/>
      <c r="AR44" s="30" t="n"/>
      <c r="AS44" s="30" t="n"/>
      <c r="AT44" s="226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5" t="inlineStr">
        <is>
          <t>AT</t>
        </is>
      </c>
      <c r="Q45" s="139" t="inlineStr">
        <is>
          <t>AT</t>
        </is>
      </c>
      <c r="R45" s="139" t="inlineStr">
        <is>
          <t>AT</t>
        </is>
      </c>
      <c r="S45" s="139" t="inlineStr">
        <is>
          <t>AT</t>
        </is>
      </c>
      <c r="T45" s="139" t="inlineStr">
        <is>
          <t>AT</t>
        </is>
      </c>
      <c r="U45" s="139" t="inlineStr">
        <is>
          <t>AT</t>
        </is>
      </c>
      <c r="V45" s="139" t="inlineStr">
        <is>
          <t>AT</t>
        </is>
      </c>
      <c r="W45" s="139" t="inlineStr">
        <is>
          <t>AT</t>
        </is>
      </c>
      <c r="X45" s="139" t="inlineStr">
        <is>
          <t>AT</t>
        </is>
      </c>
      <c r="Y45" s="139" t="inlineStr">
        <is>
          <t>AT</t>
        </is>
      </c>
      <c r="Z45" s="139" t="inlineStr">
        <is>
          <t>AT</t>
        </is>
      </c>
      <c r="AA45" s="139" t="inlineStr">
        <is>
          <t>AT</t>
        </is>
      </c>
      <c r="AB45" s="139" t="inlineStr">
        <is>
          <t>AT</t>
        </is>
      </c>
      <c r="AC45" s="139" t="inlineStr">
        <is>
          <t>AT</t>
        </is>
      </c>
      <c r="AD45" s="139" t="inlineStr">
        <is>
          <t>AT</t>
        </is>
      </c>
      <c r="AE45" s="139" t="inlineStr">
        <is>
          <t>AT</t>
        </is>
      </c>
      <c r="AF45" s="139" t="inlineStr">
        <is>
          <t>AT</t>
        </is>
      </c>
      <c r="AG45" s="139" t="inlineStr">
        <is>
          <t>AT</t>
        </is>
      </c>
      <c r="AH45" s="139" t="inlineStr">
        <is>
          <t>AT</t>
        </is>
      </c>
      <c r="AI45" s="139" t="inlineStr">
        <is>
          <t>AT</t>
        </is>
      </c>
      <c r="AJ45" s="139" t="inlineStr">
        <is>
          <t>AT</t>
        </is>
      </c>
      <c r="AK45" s="139" t="inlineStr">
        <is>
          <t>AT</t>
        </is>
      </c>
      <c r="AL45" s="139" t="inlineStr">
        <is>
          <t>AT</t>
        </is>
      </c>
      <c r="AM45" s="139" t="inlineStr">
        <is>
          <t>AT</t>
        </is>
      </c>
      <c r="AN45" s="139" t="inlineStr">
        <is>
          <t>AT</t>
        </is>
      </c>
      <c r="AO45" s="139" t="inlineStr">
        <is>
          <t>AT</t>
        </is>
      </c>
      <c r="AP45" s="139" t="inlineStr">
        <is>
          <t>AT</t>
        </is>
      </c>
      <c r="AQ45" s="139" t="inlineStr">
        <is>
          <t>AT</t>
        </is>
      </c>
      <c r="AR45" s="139" t="inlineStr">
        <is>
          <t>AT</t>
        </is>
      </c>
      <c r="AS45" s="139" t="inlineStr">
        <is>
          <t>AT</t>
        </is>
      </c>
      <c r="AT45" s="311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7" t="n"/>
      <c r="Q46" s="30" t="n"/>
      <c r="R46" s="131" t="n"/>
      <c r="S46" s="131" t="n"/>
      <c r="T46" s="30" t="n"/>
      <c r="U46" s="30" t="n"/>
      <c r="V46" s="30" t="n"/>
      <c r="W46" s="30" t="n"/>
      <c r="X46" s="30" t="n"/>
      <c r="Y46" s="131" t="n"/>
      <c r="Z46" s="131" t="n"/>
      <c r="AA46" s="30" t="n"/>
      <c r="AB46" s="30" t="n"/>
      <c r="AC46" s="30" t="n"/>
      <c r="AD46" s="30" t="n"/>
      <c r="AE46" s="30" t="n"/>
      <c r="AF46" s="131" t="n"/>
      <c r="AG46" s="131" t="n"/>
      <c r="AH46" s="30" t="n"/>
      <c r="AI46" s="30" t="n"/>
      <c r="AJ46" s="30" t="n"/>
      <c r="AK46" s="30" t="n"/>
      <c r="AL46" s="30" t="n"/>
      <c r="AM46" s="131" t="n"/>
      <c r="AN46" s="131" t="n"/>
      <c r="AO46" s="30" t="n"/>
      <c r="AP46" s="30" t="n"/>
      <c r="AQ46" s="30" t="n"/>
      <c r="AR46" s="30" t="n"/>
      <c r="AS46" s="30" t="n"/>
      <c r="AT46" s="226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7" t="n"/>
      <c r="Q47" s="30" t="n"/>
      <c r="R47" s="131" t="n"/>
      <c r="S47" s="131" t="n"/>
      <c r="T47" s="30" t="n"/>
      <c r="U47" s="30" t="n"/>
      <c r="V47" s="30" t="n"/>
      <c r="W47" s="30" t="n"/>
      <c r="X47" s="30" t="n"/>
      <c r="Y47" s="131" t="n"/>
      <c r="Z47" s="131" t="n"/>
      <c r="AA47" s="30" t="n"/>
      <c r="AB47" s="30" t="n"/>
      <c r="AC47" s="30" t="n"/>
      <c r="AD47" s="30" t="n"/>
      <c r="AE47" s="30" t="n"/>
      <c r="AF47" s="131" t="n"/>
      <c r="AG47" s="131" t="n"/>
      <c r="AH47" s="30" t="n"/>
      <c r="AI47" s="30" t="n"/>
      <c r="AJ47" s="30" t="n"/>
      <c r="AK47" s="30" t="n"/>
      <c r="AL47" s="30" t="n"/>
      <c r="AM47" s="131" t="n"/>
      <c r="AN47" s="131" t="n"/>
      <c r="AO47" s="30" t="n"/>
      <c r="AP47" s="30" t="n"/>
      <c r="AQ47" s="30" t="n"/>
      <c r="AR47" s="30" t="n"/>
      <c r="AS47" s="30" t="n"/>
      <c r="AT47" s="226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7" t="n"/>
      <c r="Q48" s="30" t="n"/>
      <c r="R48" s="131" t="n"/>
      <c r="S48" s="131" t="n"/>
      <c r="T48" s="30" t="n"/>
      <c r="U48" s="30" t="n"/>
      <c r="V48" s="30" t="n"/>
      <c r="W48" s="30" t="n"/>
      <c r="X48" s="30" t="n"/>
      <c r="Y48" s="131" t="n"/>
      <c r="Z48" s="131" t="n"/>
      <c r="AA48" s="30" t="n"/>
      <c r="AB48" s="30" t="n"/>
      <c r="AC48" s="30" t="n"/>
      <c r="AD48" s="30" t="n"/>
      <c r="AE48" s="30" t="n"/>
      <c r="AF48" s="131" t="n"/>
      <c r="AG48" s="131" t="n"/>
      <c r="AH48" s="30" t="n"/>
      <c r="AI48" s="30" t="n"/>
      <c r="AJ48" s="30" t="n"/>
      <c r="AK48" s="30" t="n"/>
      <c r="AL48" s="30" t="n"/>
      <c r="AM48" s="131" t="n"/>
      <c r="AN48" s="131" t="n"/>
      <c r="AO48" s="30" t="n"/>
      <c r="AP48" s="30" t="n"/>
      <c r="AQ48" s="30" t="n"/>
      <c r="AR48" s="30" t="n"/>
      <c r="AS48" s="30" t="n"/>
      <c r="AT48" s="226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312" t="n"/>
      <c r="Q49" s="213" t="n"/>
      <c r="R49" s="264" t="n"/>
      <c r="S49" s="264" t="n"/>
      <c r="T49" s="213" t="n"/>
      <c r="U49" s="213" t="n"/>
      <c r="V49" s="213" t="n"/>
      <c r="W49" s="213" t="n"/>
      <c r="X49" s="213" t="n"/>
      <c r="Y49" s="264" t="n"/>
      <c r="Z49" s="264" t="n"/>
      <c r="AA49" s="213" t="n"/>
      <c r="AB49" s="213" t="n"/>
      <c r="AC49" s="213" t="n"/>
      <c r="AD49" s="213" t="n"/>
      <c r="AE49" s="213" t="n"/>
      <c r="AF49" s="264" t="n"/>
      <c r="AG49" s="264" t="n"/>
      <c r="AH49" s="213" t="n"/>
      <c r="AI49" s="213" t="n"/>
      <c r="AJ49" s="213" t="n"/>
      <c r="AK49" s="213" t="n"/>
      <c r="AL49" s="213" t="n"/>
      <c r="AM49" s="264" t="n"/>
      <c r="AN49" s="264" t="n"/>
      <c r="AO49" s="213" t="n"/>
      <c r="AP49" s="213" t="n"/>
      <c r="AQ49" s="213" t="n"/>
      <c r="AR49" s="213" t="n"/>
      <c r="AS49" s="213" t="n"/>
      <c r="AT49" s="265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206" t="n"/>
      <c r="AT50" s="206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147" t="n"/>
      <c r="Q51" s="30" t="n"/>
      <c r="R51" s="131" t="n"/>
      <c r="S51" s="131" t="n"/>
      <c r="T51" s="30" t="n"/>
      <c r="U51" s="30" t="n"/>
      <c r="V51" s="30" t="n"/>
      <c r="W51" s="30" t="n"/>
      <c r="X51" s="30" t="n"/>
      <c r="Y51" s="131" t="n"/>
      <c r="Z51" s="131" t="n"/>
      <c r="AA51" s="30" t="n"/>
      <c r="AB51" s="30" t="n"/>
      <c r="AC51" s="30" t="n"/>
      <c r="AD51" s="30" t="n"/>
      <c r="AE51" s="30" t="n"/>
      <c r="AF51" s="131" t="n"/>
      <c r="AG51" s="131" t="n"/>
      <c r="AH51" s="30" t="n"/>
      <c r="AI51" s="30" t="n"/>
      <c r="AJ51" s="30" t="n"/>
      <c r="AK51" s="30" t="n"/>
      <c r="AL51" s="30" t="n"/>
      <c r="AM51" s="131" t="n"/>
      <c r="AN51" s="131" t="n"/>
      <c r="AO51" s="30" t="n"/>
      <c r="AP51" s="30" t="n"/>
      <c r="AQ51" s="30" t="n"/>
      <c r="AR51" s="30" t="n"/>
      <c r="AS51" s="30" t="n"/>
      <c r="AT51" s="131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7" t="n"/>
      <c r="Q52" s="30" t="inlineStr">
        <is>
          <t>MA</t>
        </is>
      </c>
      <c r="R52" s="131" t="n"/>
      <c r="S52" s="131" t="n"/>
      <c r="T52" s="30" t="inlineStr">
        <is>
          <t>MA</t>
        </is>
      </c>
      <c r="U52" s="30" t="n"/>
      <c r="V52" s="30" t="n"/>
      <c r="W52" s="30" t="n"/>
      <c r="X52" s="30" t="n"/>
      <c r="Y52" s="131" t="n"/>
      <c r="Z52" s="131" t="n"/>
      <c r="AA52" s="30" t="n"/>
      <c r="AB52" s="30" t="n"/>
      <c r="AC52" s="30" t="n"/>
      <c r="AD52" s="30" t="n"/>
      <c r="AE52" s="30" t="n"/>
      <c r="AF52" s="131" t="n"/>
      <c r="AG52" s="131" t="n"/>
      <c r="AH52" s="30" t="n"/>
      <c r="AI52" s="30" t="n"/>
      <c r="AJ52" s="30" t="n"/>
      <c r="AK52" s="30" t="n"/>
      <c r="AL52" s="30" t="n"/>
      <c r="AM52" s="131" t="n"/>
      <c r="AN52" s="131" t="n"/>
      <c r="AO52" s="30" t="n"/>
      <c r="AP52" s="30" t="n"/>
      <c r="AQ52" s="30" t="n"/>
      <c r="AR52" s="30" t="n"/>
      <c r="AS52" s="30" t="n"/>
      <c r="AT52" s="131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7" t="n"/>
      <c r="Q53" s="30" t="n"/>
      <c r="R53" s="131" t="n"/>
      <c r="S53" s="131" t="n"/>
      <c r="T53" s="30" t="n"/>
      <c r="U53" s="30" t="n"/>
      <c r="V53" s="30" t="n"/>
      <c r="W53" s="30" t="n"/>
      <c r="X53" s="30" t="n"/>
      <c r="Y53" s="131" t="n"/>
      <c r="Z53" s="131" t="n"/>
      <c r="AA53" s="30" t="n"/>
      <c r="AB53" s="30" t="n"/>
      <c r="AC53" s="30" t="n"/>
      <c r="AD53" s="30" t="n"/>
      <c r="AE53" s="30" t="n"/>
      <c r="AF53" s="131" t="n"/>
      <c r="AG53" s="131" t="n"/>
      <c r="AH53" s="30" t="n"/>
      <c r="AI53" s="30" t="n"/>
      <c r="AJ53" s="30" t="n"/>
      <c r="AK53" s="30" t="n"/>
      <c r="AL53" s="30" t="n"/>
      <c r="AM53" s="131" t="n"/>
      <c r="AN53" s="131" t="n"/>
      <c r="AO53" s="30" t="n"/>
      <c r="AP53" s="30" t="n"/>
      <c r="AQ53" s="30" t="n"/>
      <c r="AR53" s="30" t="n"/>
      <c r="AS53" s="30" t="n"/>
      <c r="AT53" s="13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7" t="n"/>
      <c r="Q54" s="30" t="n"/>
      <c r="R54" s="131" t="n"/>
      <c r="S54" s="131" t="n"/>
      <c r="T54" s="30" t="n"/>
      <c r="U54" s="30" t="n"/>
      <c r="V54" s="30" t="n"/>
      <c r="W54" s="30" t="n"/>
      <c r="X54" s="30" t="n"/>
      <c r="Y54" s="131" t="n"/>
      <c r="Z54" s="131" t="n"/>
      <c r="AA54" s="30" t="n"/>
      <c r="AB54" s="30" t="n"/>
      <c r="AC54" s="30" t="n"/>
      <c r="AD54" s="30" t="n"/>
      <c r="AE54" s="30" t="n"/>
      <c r="AF54" s="131" t="n"/>
      <c r="AG54" s="131" t="n"/>
      <c r="AH54" s="30" t="n"/>
      <c r="AI54" s="30" t="n"/>
      <c r="AJ54" s="30" t="n"/>
      <c r="AK54" s="30" t="n"/>
      <c r="AL54" s="30" t="n"/>
      <c r="AM54" s="131" t="n"/>
      <c r="AN54" s="131" t="n"/>
      <c r="AO54" s="30" t="n"/>
      <c r="AP54" s="30" t="n"/>
      <c r="AQ54" s="30" t="n"/>
      <c r="AR54" s="30" t="n"/>
      <c r="AS54" s="30" t="n"/>
      <c r="AT54" s="13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7" t="n"/>
      <c r="Q55" s="30" t="n"/>
      <c r="R55" s="131" t="n"/>
      <c r="S55" s="131" t="n"/>
      <c r="T55" s="30" t="n"/>
      <c r="U55" s="30" t="n"/>
      <c r="V55" s="30" t="n"/>
      <c r="W55" s="30" t="n"/>
      <c r="X55" s="30" t="n"/>
      <c r="Y55" s="131" t="n"/>
      <c r="Z55" s="131" t="n"/>
      <c r="AA55" s="30" t="n"/>
      <c r="AB55" s="30" t="n"/>
      <c r="AC55" s="30" t="n"/>
      <c r="AD55" s="30" t="n"/>
      <c r="AE55" s="30" t="n"/>
      <c r="AF55" s="131" t="n"/>
      <c r="AG55" s="131" t="n"/>
      <c r="AH55" s="30" t="n"/>
      <c r="AI55" s="30" t="n"/>
      <c r="AJ55" s="30" t="n"/>
      <c r="AK55" s="30" t="n"/>
      <c r="AL55" s="30" t="n"/>
      <c r="AM55" s="131" t="n"/>
      <c r="AN55" s="131" t="n"/>
      <c r="AO55" s="30" t="n"/>
      <c r="AP55" s="30" t="n"/>
      <c r="AQ55" s="30" t="n"/>
      <c r="AR55" s="30" t="n"/>
      <c r="AS55" s="30" t="n"/>
      <c r="AT55" s="13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7" t="n"/>
      <c r="Q56" s="30" t="n"/>
      <c r="R56" s="131" t="n"/>
      <c r="S56" s="131" t="n"/>
      <c r="T56" s="30" t="n"/>
      <c r="U56" s="30" t="n"/>
      <c r="V56" s="30" t="n"/>
      <c r="W56" s="30" t="n"/>
      <c r="X56" s="30" t="n"/>
      <c r="Y56" s="131" t="n"/>
      <c r="Z56" s="131" t="n"/>
      <c r="AA56" s="30" t="n"/>
      <c r="AB56" s="30" t="n"/>
      <c r="AC56" s="30" t="n"/>
      <c r="AD56" s="30" t="n"/>
      <c r="AE56" s="30" t="n"/>
      <c r="AF56" s="131" t="n"/>
      <c r="AG56" s="131" t="n"/>
      <c r="AH56" s="30" t="n"/>
      <c r="AI56" s="30" t="n"/>
      <c r="AJ56" s="30" t="n"/>
      <c r="AK56" s="30" t="n"/>
      <c r="AL56" s="30" t="n"/>
      <c r="AM56" s="131" t="n"/>
      <c r="AN56" s="131" t="n"/>
      <c r="AO56" s="30" t="n"/>
      <c r="AP56" s="30" t="n"/>
      <c r="AQ56" s="30" t="n"/>
      <c r="AR56" s="30" t="n"/>
      <c r="AS56" s="30" t="n"/>
      <c r="AT56" s="13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7" t="n"/>
      <c r="Q57" s="30" t="n"/>
      <c r="R57" s="131" t="n"/>
      <c r="S57" s="131" t="n"/>
      <c r="T57" s="30" t="n"/>
      <c r="U57" s="30" t="n"/>
      <c r="V57" s="30" t="n"/>
      <c r="W57" s="30" t="n"/>
      <c r="X57" s="30" t="n"/>
      <c r="Y57" s="131" t="n"/>
      <c r="Z57" s="131" t="n"/>
      <c r="AA57" s="30" t="n"/>
      <c r="AB57" s="30" t="n"/>
      <c r="AC57" s="30" t="n"/>
      <c r="AD57" s="30" t="n"/>
      <c r="AE57" s="30" t="n"/>
      <c r="AF57" s="131" t="n"/>
      <c r="AG57" s="131" t="n"/>
      <c r="AH57" s="30" t="n"/>
      <c r="AI57" s="30" t="n"/>
      <c r="AJ57" s="30" t="n"/>
      <c r="AK57" s="30" t="n"/>
      <c r="AL57" s="30" t="n"/>
      <c r="AM57" s="131" t="n"/>
      <c r="AN57" s="131" t="n"/>
      <c r="AO57" s="30" t="n"/>
      <c r="AP57" s="30" t="n"/>
      <c r="AQ57" s="30" t="n"/>
      <c r="AR57" s="30" t="n"/>
      <c r="AS57" s="30" t="n"/>
      <c r="AT57" s="131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7" t="n"/>
      <c r="Q58" s="30" t="n"/>
      <c r="R58" s="131" t="n"/>
      <c r="S58" s="131" t="n"/>
      <c r="T58" s="30" t="n"/>
      <c r="U58" s="30" t="n"/>
      <c r="V58" s="30" t="n"/>
      <c r="W58" s="30" t="n"/>
      <c r="X58" s="30" t="n"/>
      <c r="Y58" s="131" t="n"/>
      <c r="Z58" s="131" t="n"/>
      <c r="AA58" s="30" t="n"/>
      <c r="AB58" s="30" t="n"/>
      <c r="AC58" s="30" t="n"/>
      <c r="AD58" s="30" t="n"/>
      <c r="AE58" s="30" t="n"/>
      <c r="AF58" s="131" t="n"/>
      <c r="AG58" s="131" t="n"/>
      <c r="AH58" s="30" t="n"/>
      <c r="AI58" s="30" t="n"/>
      <c r="AJ58" s="30" t="n"/>
      <c r="AK58" s="30" t="n"/>
      <c r="AL58" s="30" t="n"/>
      <c r="AM58" s="131" t="n"/>
      <c r="AN58" s="131" t="n"/>
      <c r="AO58" s="30" t="n"/>
      <c r="AP58" s="30" t="n"/>
      <c r="AQ58" s="30" t="n"/>
      <c r="AR58" s="30" t="n"/>
      <c r="AS58" s="30" t="n"/>
      <c r="AT58" s="13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7" t="n"/>
      <c r="Q59" s="30" t="n"/>
      <c r="R59" s="131" t="n"/>
      <c r="S59" s="131" t="n"/>
      <c r="T59" s="30" t="n"/>
      <c r="U59" s="30" t="n"/>
      <c r="V59" s="30" t="n"/>
      <c r="W59" s="30" t="n"/>
      <c r="X59" s="30" t="n"/>
      <c r="Y59" s="131" t="n"/>
      <c r="Z59" s="131" t="n"/>
      <c r="AA59" s="30" t="n"/>
      <c r="AB59" s="30" t="n"/>
      <c r="AC59" s="30" t="n"/>
      <c r="AD59" s="30" t="n"/>
      <c r="AE59" s="30" t="n"/>
      <c r="AF59" s="131" t="n"/>
      <c r="AG59" s="131" t="n"/>
      <c r="AH59" s="30" t="n"/>
      <c r="AI59" s="30" t="n"/>
      <c r="AJ59" s="30" t="n"/>
      <c r="AK59" s="30" t="n"/>
      <c r="AL59" s="30" t="n"/>
      <c r="AM59" s="131" t="n"/>
      <c r="AN59" s="131" t="n"/>
      <c r="AO59" s="30" t="n"/>
      <c r="AP59" s="30" t="n"/>
      <c r="AQ59" s="30" t="n"/>
      <c r="AR59" s="30" t="n"/>
      <c r="AS59" s="30" t="n"/>
      <c r="AT59" s="13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7" t="n"/>
      <c r="Q60" s="30" t="n"/>
      <c r="R60" s="131" t="n"/>
      <c r="S60" s="131" t="n"/>
      <c r="T60" s="30" t="n"/>
      <c r="U60" s="30" t="n"/>
      <c r="V60" s="30" t="n"/>
      <c r="W60" s="30" t="n"/>
      <c r="X60" s="30" t="n"/>
      <c r="Y60" s="131" t="n"/>
      <c r="Z60" s="131" t="n"/>
      <c r="AA60" s="30" t="n"/>
      <c r="AB60" s="30" t="n"/>
      <c r="AC60" s="30" t="n"/>
      <c r="AD60" s="30" t="n"/>
      <c r="AE60" s="30" t="n"/>
      <c r="AF60" s="131" t="n"/>
      <c r="AG60" s="131" t="n"/>
      <c r="AH60" s="30" t="n"/>
      <c r="AI60" s="30" t="n"/>
      <c r="AJ60" s="30" t="n"/>
      <c r="AK60" s="30" t="n"/>
      <c r="AL60" s="30" t="n"/>
      <c r="AM60" s="131" t="n"/>
      <c r="AN60" s="131" t="n"/>
      <c r="AO60" s="30" t="n"/>
      <c r="AP60" s="30" t="n"/>
      <c r="AQ60" s="30" t="n"/>
      <c r="AR60" s="30" t="n"/>
      <c r="AS60" s="30" t="n"/>
      <c r="AT60" s="13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7" t="n"/>
      <c r="Q61" s="30" t="n"/>
      <c r="R61" s="131" t="n"/>
      <c r="S61" s="131" t="n"/>
      <c r="T61" s="30" t="n"/>
      <c r="U61" s="30" t="n"/>
      <c r="V61" s="30" t="n"/>
      <c r="W61" s="30" t="n"/>
      <c r="X61" s="30" t="n"/>
      <c r="Y61" s="131" t="n"/>
      <c r="Z61" s="131" t="n"/>
      <c r="AA61" s="30" t="n"/>
      <c r="AB61" s="30" t="n"/>
      <c r="AC61" s="30" t="n"/>
      <c r="AD61" s="30" t="n"/>
      <c r="AE61" s="30" t="n"/>
      <c r="AF61" s="131" t="n"/>
      <c r="AG61" s="131" t="n"/>
      <c r="AH61" s="30" t="n"/>
      <c r="AI61" s="30" t="n"/>
      <c r="AJ61" s="30" t="n"/>
      <c r="AK61" s="30" t="n"/>
      <c r="AL61" s="30" t="n"/>
      <c r="AM61" s="131" t="n"/>
      <c r="AN61" s="131" t="n"/>
      <c r="AO61" s="30" t="n"/>
      <c r="AP61" s="30" t="n"/>
      <c r="AQ61" s="30" t="n"/>
      <c r="AR61" s="30" t="n"/>
      <c r="AS61" s="30" t="n"/>
      <c r="AT61" s="131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147" t="n"/>
      <c r="Q62" s="30" t="n"/>
      <c r="R62" s="131" t="n"/>
      <c r="S62" s="131" t="n"/>
      <c r="T62" s="30" t="n"/>
      <c r="U62" s="30" t="n"/>
      <c r="V62" s="30" t="n"/>
      <c r="W62" s="30" t="n"/>
      <c r="X62" s="30" t="n"/>
      <c r="Y62" s="131" t="n"/>
      <c r="Z62" s="131" t="n"/>
      <c r="AA62" s="30" t="n"/>
      <c r="AB62" s="30" t="n"/>
      <c r="AC62" s="30" t="n"/>
      <c r="AD62" s="30" t="n"/>
      <c r="AE62" s="30" t="n"/>
      <c r="AF62" s="131" t="n"/>
      <c r="AG62" s="131" t="n"/>
      <c r="AH62" s="30" t="n"/>
      <c r="AI62" s="30" t="n"/>
      <c r="AJ62" s="30" t="n"/>
      <c r="AK62" s="30" t="n"/>
      <c r="AL62" s="30" t="n"/>
      <c r="AM62" s="131" t="n"/>
      <c r="AN62" s="131" t="n"/>
      <c r="AO62" s="30" t="n"/>
      <c r="AP62" s="30" t="n"/>
      <c r="AQ62" s="30" t="n"/>
      <c r="AR62" s="30" t="n"/>
      <c r="AS62" s="30" t="n"/>
      <c r="AT62" s="13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47" t="n"/>
      <c r="Q64" s="30" t="n"/>
      <c r="R64" s="131" t="n"/>
      <c r="S64" s="131" t="n"/>
      <c r="T64" s="30" t="n"/>
      <c r="U64" s="30" t="n"/>
      <c r="V64" s="30" t="n"/>
      <c r="W64" s="30" t="n"/>
      <c r="X64" s="30" t="n"/>
      <c r="Y64" s="131" t="n"/>
      <c r="Z64" s="131" t="n"/>
      <c r="AA64" s="30" t="n"/>
      <c r="AB64" s="30" t="n"/>
      <c r="AC64" s="30" t="n"/>
      <c r="AD64" s="30" t="n"/>
      <c r="AE64" s="30" t="n"/>
      <c r="AF64" s="131" t="n"/>
      <c r="AG64" s="131" t="n"/>
      <c r="AH64" s="30" t="n"/>
      <c r="AI64" s="30" t="n"/>
      <c r="AJ64" s="30" t="n"/>
      <c r="AK64" s="30" t="n"/>
      <c r="AL64" s="30" t="n"/>
      <c r="AM64" s="131" t="n"/>
      <c r="AN64" s="131" t="n"/>
      <c r="AO64" s="30" t="n"/>
      <c r="AP64" s="30" t="n"/>
      <c r="AQ64" s="30" t="n"/>
      <c r="AR64" s="30" t="n"/>
      <c r="AS64" s="30" t="n"/>
      <c r="AT64" s="131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47" t="n"/>
      <c r="Q65" s="30" t="n"/>
      <c r="R65" s="131" t="n"/>
      <c r="S65" s="131" t="n"/>
      <c r="T65" s="30" t="n"/>
      <c r="U65" s="30" t="n"/>
      <c r="V65" s="30" t="n"/>
      <c r="W65" s="30" t="n"/>
      <c r="X65" s="30" t="n"/>
      <c r="Y65" s="131" t="n"/>
      <c r="Z65" s="131" t="n"/>
      <c r="AA65" s="30" t="n"/>
      <c r="AB65" s="30" t="n"/>
      <c r="AC65" s="30" t="n"/>
      <c r="AD65" s="30" t="n"/>
      <c r="AE65" s="30" t="n"/>
      <c r="AF65" s="131" t="n"/>
      <c r="AG65" s="131" t="n"/>
      <c r="AH65" s="30" t="n"/>
      <c r="AI65" s="30" t="n"/>
      <c r="AJ65" s="30" t="n"/>
      <c r="AK65" s="30" t="n"/>
      <c r="AL65" s="30" t="n"/>
      <c r="AM65" s="131" t="n"/>
      <c r="AN65" s="131" t="n"/>
      <c r="AO65" s="30" t="n"/>
      <c r="AP65" s="30" t="n"/>
      <c r="AQ65" s="30" t="n"/>
      <c r="AR65" s="30" t="n"/>
      <c r="AS65" s="30" t="n"/>
      <c r="AT65" s="131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47" t="n"/>
      <c r="Q66" s="30" t="inlineStr">
        <is>
          <t>TP</t>
        </is>
      </c>
      <c r="R66" s="131" t="n"/>
      <c r="S66" s="131" t="n"/>
      <c r="T66" s="8" t="n"/>
      <c r="U66" s="8" t="inlineStr">
        <is>
          <t>TP</t>
        </is>
      </c>
      <c r="V66" s="8" t="n"/>
      <c r="W66" s="8" t="inlineStr">
        <is>
          <t>TP</t>
        </is>
      </c>
      <c r="X66" s="8" t="n"/>
      <c r="Y66" s="121" t="n"/>
      <c r="Z66" s="121" t="n"/>
      <c r="AA66" s="8" t="inlineStr">
        <is>
          <t>TP</t>
        </is>
      </c>
      <c r="AB66" s="8" t="n"/>
      <c r="AC66" s="8" t="inlineStr">
        <is>
          <t>TP</t>
        </is>
      </c>
      <c r="AD66" s="8" t="n"/>
      <c r="AE66" s="8" t="inlineStr">
        <is>
          <t>TP</t>
        </is>
      </c>
      <c r="AF66" s="131" t="n"/>
      <c r="AG66" s="131" t="n"/>
      <c r="AH66" s="8" t="n"/>
      <c r="AI66" s="8" t="inlineStr">
        <is>
          <t>TP</t>
        </is>
      </c>
      <c r="AJ66" s="8" t="n"/>
      <c r="AK66" s="8" t="inlineStr">
        <is>
          <t>TP</t>
        </is>
      </c>
      <c r="AL66" s="8" t="n"/>
      <c r="AM66" s="121" t="n"/>
      <c r="AN66" s="121" t="n"/>
      <c r="AO66" s="8" t="inlineStr">
        <is>
          <t>TP</t>
        </is>
      </c>
      <c r="AP66" s="8" t="n"/>
      <c r="AQ66" s="8" t="inlineStr">
        <is>
          <t>TP</t>
        </is>
      </c>
      <c r="AR66" s="8" t="n"/>
      <c r="AS66" s="8" t="inlineStr">
        <is>
          <t>TP</t>
        </is>
      </c>
      <c r="AT66" s="131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7" t="n"/>
      <c r="Q67" s="30" t="n"/>
      <c r="R67" s="131" t="n"/>
      <c r="S67" s="131" t="n"/>
      <c r="T67" s="30" t="n"/>
      <c r="U67" s="30" t="n"/>
      <c r="V67" s="30" t="n"/>
      <c r="W67" s="30" t="n"/>
      <c r="X67" s="30" t="n"/>
      <c r="Y67" s="131" t="n"/>
      <c r="Z67" s="131" t="n"/>
      <c r="AA67" s="30" t="n"/>
      <c r="AB67" s="30" t="n"/>
      <c r="AC67" s="30" t="n"/>
      <c r="AD67" s="30" t="n"/>
      <c r="AE67" s="30" t="n"/>
      <c r="AF67" s="131" t="n"/>
      <c r="AG67" s="131" t="n"/>
      <c r="AH67" s="30" t="n"/>
      <c r="AI67" s="30" t="n"/>
      <c r="AJ67" s="30" t="n"/>
      <c r="AK67" s="30" t="n"/>
      <c r="AL67" s="30" t="n"/>
      <c r="AM67" s="131" t="n"/>
      <c r="AN67" s="131" t="n"/>
      <c r="AO67" s="30" t="n"/>
      <c r="AP67" s="30" t="n"/>
      <c r="AQ67" s="30" t="n"/>
      <c r="AR67" s="30" t="n"/>
      <c r="AS67" s="30" t="n"/>
      <c r="AT67" s="131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47" t="n"/>
      <c r="Q68" s="30" t="n"/>
      <c r="R68" s="131" t="n"/>
      <c r="S68" s="131" t="n"/>
      <c r="T68" s="30" t="n"/>
      <c r="U68" s="30" t="n"/>
      <c r="V68" s="30" t="n"/>
      <c r="W68" s="30" t="n"/>
      <c r="X68" s="30" t="n"/>
      <c r="Y68" s="131" t="n"/>
      <c r="Z68" s="131" t="n"/>
      <c r="AA68" s="30" t="n"/>
      <c r="AB68" s="30" t="n"/>
      <c r="AC68" s="30" t="n"/>
      <c r="AD68" s="30" t="n"/>
      <c r="AE68" s="30" t="n"/>
      <c r="AF68" s="131" t="n"/>
      <c r="AG68" s="131" t="n"/>
      <c r="AH68" s="30" t="n"/>
      <c r="AI68" s="30" t="n"/>
      <c r="AJ68" s="30" t="n"/>
      <c r="AK68" s="30" t="n"/>
      <c r="AL68" s="30" t="n"/>
      <c r="AM68" s="131" t="n"/>
      <c r="AN68" s="131" t="n"/>
      <c r="AO68" s="30" t="n"/>
      <c r="AP68" s="30" t="n"/>
      <c r="AQ68" s="30" t="n"/>
      <c r="AR68" s="30" t="n"/>
      <c r="AS68" s="30" t="n"/>
      <c r="AT68" s="131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147" t="n"/>
      <c r="Q69" s="30" t="n"/>
      <c r="R69" s="131" t="n"/>
      <c r="S69" s="131" t="n"/>
      <c r="T69" s="30" t="n"/>
      <c r="U69" s="30" t="n"/>
      <c r="V69" s="30" t="n"/>
      <c r="W69" s="30" t="n"/>
      <c r="X69" s="30" t="n"/>
      <c r="Y69" s="131" t="n"/>
      <c r="Z69" s="131" t="n"/>
      <c r="AA69" s="30" t="n"/>
      <c r="AB69" s="30" t="n"/>
      <c r="AC69" s="30" t="n"/>
      <c r="AD69" s="30" t="n"/>
      <c r="AE69" s="30" t="n"/>
      <c r="AF69" s="131" t="n"/>
      <c r="AG69" s="131" t="n"/>
      <c r="AH69" s="30" t="n"/>
      <c r="AI69" s="30" t="n"/>
      <c r="AJ69" s="30" t="n"/>
      <c r="AK69" s="30" t="n"/>
      <c r="AL69" s="30" t="n"/>
      <c r="AM69" s="131" t="n"/>
      <c r="AN69" s="131" t="n"/>
      <c r="AO69" s="30" t="n"/>
      <c r="AP69" s="30" t="n"/>
      <c r="AQ69" s="30" t="n"/>
      <c r="AR69" s="30" t="n"/>
      <c r="AS69" s="30" t="n"/>
      <c r="AT69" s="131" t="n"/>
    </row>
    <row r="78">
      <c r="T78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181" operator="equal" dxfId="55">
      <formula>"repos"</formula>
    </cfRule>
    <cfRule type="cellIs" priority="182" operator="equal" dxfId="53">
      <formula>"permanence"</formula>
    </cfRule>
    <cfRule type="cellIs" priority="183" operator="equal" dxfId="53">
      <formula>"dimanche"</formula>
    </cfRule>
    <cfRule type="cellIs" priority="184" operator="equal" dxfId="52">
      <formula>"formation"</formula>
    </cfRule>
    <cfRule type="cellIs" priority="185" operator="equal" dxfId="6">
      <formula>"conges exc"</formula>
    </cfRule>
    <cfRule type="cellIs" priority="186" operator="equal" dxfId="4">
      <formula>"conges"</formula>
    </cfRule>
    <cfRule type="cellIs" priority="187" operator="equal" dxfId="5">
      <formula>"asa"</formula>
    </cfRule>
    <cfRule type="cellIs" priority="188" operator="equal" dxfId="8">
      <formula>"maladie / at"</formula>
    </cfRule>
    <cfRule type="cellIs" priority="189" operator="equal" dxfId="0">
      <formula>"presence"</formula>
    </cfRule>
  </conditionalFormatting>
  <conditionalFormatting sqref="D11:O20 D23:O24 D26:O29 D31:O36 D39:O49 D51:O62 D64:O69">
    <cfRule type="cellIs" priority="190" operator="equal" dxfId="46">
      <formula>0</formula>
    </cfRule>
  </conditionalFormatting>
  <conditionalFormatting sqref="P9:AT9">
    <cfRule type="expression" priority="192" dxfId="44">
      <formula>OR(P$9=1, P$9=7)</formula>
    </cfRule>
  </conditionalFormatting>
  <conditionalFormatting sqref="P9:AT10">
    <cfRule type="expression" priority="191" dxfId="44">
      <formula>OR(P$9=1,P$9=7)</formula>
    </cfRule>
  </conditionalFormatting>
  <conditionalFormatting sqref="P23:AT24">
    <cfRule type="containsText" priority="37" operator="containsText" dxfId="10" text="TP">
      <formula>NOT(ISERROR(SEARCH("TP",P23)))</formula>
    </cfRule>
    <cfRule type="containsText" priority="38" operator="containsText" text="TAD">
      <formula>NOT(ISERROR(SEARCH("TAD",P23)))</formula>
    </cfRule>
    <cfRule type="containsText" priority="39" operator="containsText" dxfId="9" text="AT">
      <formula>NOT(ISERROR(SEARCH("AT",P23)))</formula>
    </cfRule>
    <cfRule type="containsText" priority="40" operator="containsText" dxfId="8" text="MA">
      <formula>NOT(ISERROR(SEARCH("MA",P23)))</formula>
    </cfRule>
    <cfRule type="containsText" priority="41" operator="containsText" dxfId="7" text="RES">
      <formula>NOT(ISERROR(SEARCH("RES",P23)))</formula>
    </cfRule>
    <cfRule type="containsText" priority="42" operator="containsText" dxfId="6" text="CEX">
      <formula>NOT(ISERROR(SEARCH("CEX",P23)))</formula>
    </cfRule>
    <cfRule type="containsText" priority="43" operator="containsText" dxfId="5" text="RTT">
      <formula>NOT(ISERROR(SEARCH("RTT",P23)))</formula>
    </cfRule>
    <cfRule type="beginsWith" priority="44" operator="beginsWith" dxfId="4" text="CA">
      <formula>LEFT(P23,LEN("CA"))="CA"</formula>
    </cfRule>
    <cfRule type="containsText" priority="45" operator="containsText" dxfId="3" text="AST">
      <formula>NOT(ISERROR(SEARCH("AST",P23)))</formula>
    </cfRule>
    <cfRule type="containsText" priority="46" operator="containsText" dxfId="2" text="F">
      <formula>NOT(ISERROR(SEARCH("F",P23)))</formula>
    </cfRule>
    <cfRule type="containsText" priority="47" operator="containsText" dxfId="1" text="PC">
      <formula>NOT(ISERROR(SEARCH("PC",P23)))</formula>
    </cfRule>
    <cfRule type="containsText" priority="48" operator="containsText" dxfId="0" text="P">
      <formula>NOT(ISERROR(SEARCH("P",P23)))</formula>
    </cfRule>
  </conditionalFormatting>
  <conditionalFormatting sqref="P26:AT29 P31:AT36">
    <cfRule type="containsText" priority="85" operator="containsText" dxfId="10" text="TP">
      <formula>NOT(ISERROR(SEARCH("TP",P26)))</formula>
    </cfRule>
    <cfRule type="containsText" priority="86" operator="containsText" text="TAD">
      <formula>NOT(ISERROR(SEARCH("TAD",P26)))</formula>
    </cfRule>
    <cfRule type="containsText" priority="87" operator="containsText" dxfId="9" text="AT">
      <formula>NOT(ISERROR(SEARCH("AT",P26)))</formula>
    </cfRule>
    <cfRule type="containsText" priority="88" operator="containsText" dxfId="8" text="MA">
      <formula>NOT(ISERROR(SEARCH("MA",P26)))</formula>
    </cfRule>
    <cfRule type="containsText" priority="89" operator="containsText" dxfId="7" text="RES">
      <formula>NOT(ISERROR(SEARCH("RES",P26)))</formula>
    </cfRule>
    <cfRule type="containsText" priority="90" operator="containsText" dxfId="6" text="CEX">
      <formula>NOT(ISERROR(SEARCH("CEX",P26)))</formula>
    </cfRule>
    <cfRule type="containsText" priority="91" operator="containsText" dxfId="5" text="RTT">
      <formula>NOT(ISERROR(SEARCH("RTT",P26)))</formula>
    </cfRule>
    <cfRule type="beginsWith" priority="92" operator="beginsWith" dxfId="4" text="CA">
      <formula>LEFT(P26,LEN("CA"))="CA"</formula>
    </cfRule>
    <cfRule type="containsText" priority="93" operator="containsText" dxfId="3" text="AST">
      <formula>NOT(ISERROR(SEARCH("AST",P26)))</formula>
    </cfRule>
    <cfRule type="containsText" priority="94" operator="containsText" dxfId="2" text="F">
      <formula>NOT(ISERROR(SEARCH("F",P26)))</formula>
    </cfRule>
    <cfRule type="containsText" priority="95" operator="containsText" dxfId="1" text="PC">
      <formula>NOT(ISERROR(SEARCH("PC",P26)))</formula>
    </cfRule>
    <cfRule type="containsText" priority="96" operator="containsText" dxfId="0" text="P">
      <formula>NOT(ISERROR(SEARCH("P",P26)))</formula>
    </cfRule>
  </conditionalFormatting>
  <conditionalFormatting sqref="P39:AT49">
    <cfRule type="containsText" priority="73" operator="containsText" dxfId="10" text="TP">
      <formula>NOT(ISERROR(SEARCH("TP",P39)))</formula>
    </cfRule>
    <cfRule type="containsText" priority="74" operator="containsText" text="TAD">
      <formula>NOT(ISERROR(SEARCH("TAD",P39)))</formula>
    </cfRule>
    <cfRule type="containsText" priority="75" operator="containsText" dxfId="9" text="AT">
      <formula>NOT(ISERROR(SEARCH("AT",P39)))</formula>
    </cfRule>
    <cfRule type="containsText" priority="76" operator="containsText" dxfId="8" text="MA">
      <formula>NOT(ISERROR(SEARCH("MA",P39)))</formula>
    </cfRule>
    <cfRule type="containsText" priority="77" operator="containsText" dxfId="7" text="RES">
      <formula>NOT(ISERROR(SEARCH("RES",P39)))</formula>
    </cfRule>
    <cfRule type="containsText" priority="78" operator="containsText" dxfId="6" text="CEX">
      <formula>NOT(ISERROR(SEARCH("CEX",P39)))</formula>
    </cfRule>
    <cfRule type="containsText" priority="79" operator="containsText" dxfId="5" text="RTT">
      <formula>NOT(ISERROR(SEARCH("RTT",P39)))</formula>
    </cfRule>
    <cfRule type="beginsWith" priority="80" operator="beginsWith" dxfId="4" text="CA">
      <formula>LEFT(P39,LEN("CA"))="CA"</formula>
    </cfRule>
    <cfRule type="containsText" priority="81" operator="containsText" dxfId="3" text="AST">
      <formula>NOT(ISERROR(SEARCH("AST",P39)))</formula>
    </cfRule>
    <cfRule type="containsText" priority="82" operator="containsText" dxfId="2" text="F">
      <formula>NOT(ISERROR(SEARCH("F",P39)))</formula>
    </cfRule>
    <cfRule type="containsText" priority="83" operator="containsText" dxfId="1" text="PC">
      <formula>NOT(ISERROR(SEARCH("PC",P39)))</formula>
    </cfRule>
    <cfRule type="containsText" priority="84" operator="containsText" dxfId="0" text="P">
      <formula>NOT(ISERROR(SEARCH("P",P39)))</formula>
    </cfRule>
  </conditionalFormatting>
  <conditionalFormatting sqref="P51:AT62">
    <cfRule type="containsText" priority="61" operator="containsText" dxfId="10" text="TP">
      <formula>NOT(ISERROR(SEARCH("TP",P51)))</formula>
    </cfRule>
    <cfRule type="containsText" priority="62" operator="containsText" text="TAD">
      <formula>NOT(ISERROR(SEARCH("TAD",P51)))</formula>
    </cfRule>
    <cfRule type="containsText" priority="63" operator="containsText" dxfId="9" text="AT">
      <formula>NOT(ISERROR(SEARCH("AT",P51)))</formula>
    </cfRule>
    <cfRule type="containsText" priority="64" operator="containsText" dxfId="8" text="MA">
      <formula>NOT(ISERROR(SEARCH("MA",P51)))</formula>
    </cfRule>
    <cfRule type="containsText" priority="65" operator="containsText" dxfId="7" text="RES">
      <formula>NOT(ISERROR(SEARCH("RES",P51)))</formula>
    </cfRule>
    <cfRule type="containsText" priority="66" operator="containsText" dxfId="6" text="CEX">
      <formula>NOT(ISERROR(SEARCH("CEX",P51)))</formula>
    </cfRule>
    <cfRule type="containsText" priority="67" operator="containsText" dxfId="5" text="RTT">
      <formula>NOT(ISERROR(SEARCH("RTT",P51)))</formula>
    </cfRule>
    <cfRule type="beginsWith" priority="68" operator="beginsWith" dxfId="4" text="CA">
      <formula>LEFT(P51,LEN("CA"))="CA"</formula>
    </cfRule>
    <cfRule type="containsText" priority="69" operator="containsText" dxfId="3" text="AST">
      <formula>NOT(ISERROR(SEARCH("AST",P51)))</formula>
    </cfRule>
    <cfRule type="containsText" priority="70" operator="containsText" dxfId="2" text="F">
      <formula>NOT(ISERROR(SEARCH("F",P51)))</formula>
    </cfRule>
    <cfRule type="containsText" priority="71" operator="containsText" dxfId="1" text="PC">
      <formula>NOT(ISERROR(SEARCH("PC",P51)))</formula>
    </cfRule>
    <cfRule type="containsText" priority="72" operator="containsText" dxfId="0" text="P">
      <formula>NOT(ISERROR(SEARCH("P",P51)))</formula>
    </cfRule>
  </conditionalFormatting>
  <conditionalFormatting sqref="P64:AT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U20">
    <cfRule type="containsText" priority="25" operator="containsText" dxfId="10" text="TP">
      <formula>NOT(ISERROR(SEARCH("TP",P11)))</formula>
    </cfRule>
    <cfRule type="containsText" priority="26" operator="containsText" text="TAD">
      <formula>NOT(ISERROR(SEARCH("TAD",P11)))</formula>
    </cfRule>
    <cfRule type="containsText" priority="27" operator="containsText" dxfId="9" text="AT">
      <formula>NOT(ISERROR(SEARCH("AT",P11)))</formula>
    </cfRule>
    <cfRule type="containsText" priority="28" operator="containsText" dxfId="8" text="MA">
      <formula>NOT(ISERROR(SEARCH("MA",P11)))</formula>
    </cfRule>
    <cfRule type="containsText" priority="29" operator="containsText" dxfId="7" text="RES">
      <formula>NOT(ISERROR(SEARCH("RES",P11)))</formula>
    </cfRule>
    <cfRule type="containsText" priority="30" operator="containsText" dxfId="6" text="CEX">
      <formula>NOT(ISERROR(SEARCH("CEX",P11)))</formula>
    </cfRule>
    <cfRule type="containsText" priority="31" operator="containsText" dxfId="5" text="RTT">
      <formula>NOT(ISERROR(SEARCH("RTT",P11)))</formula>
    </cfRule>
    <cfRule type="beginsWith" priority="32" operator="beginsWith" dxfId="4" text="CA">
      <formula>LEFT(P11,LEN("CA"))="CA"</formula>
    </cfRule>
    <cfRule type="containsText" priority="33" operator="containsText" dxfId="3" text="AST">
      <formula>NOT(ISERROR(SEARCH("AST",P11)))</formula>
    </cfRule>
    <cfRule type="containsText" priority="34" operator="containsText" dxfId="2" text="F">
      <formula>NOT(ISERROR(SEARCH("F",P11)))</formula>
    </cfRule>
    <cfRule type="containsText" priority="35" operator="containsText" dxfId="1" text="PC">
      <formula>NOT(ISERROR(SEARCH("PC",P11)))</formula>
    </cfRule>
    <cfRule type="containsText" priority="36" operator="containsText" dxfId="0" text="P">
      <formula>NOT(ISERROR(SEARCH("P",P11)))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76"/>
  <sheetViews>
    <sheetView zoomScale="90" zoomScaleNormal="90" workbookViewId="0">
      <pane xSplit="2" ySplit="10" topLeftCell="C57" activePane="bottomRight" state="frozen"/>
      <selection pane="topRight" activeCell="AQ41" sqref="AQ41"/>
      <selection pane="bottomLeft" activeCell="AQ41" sqref="AQ41"/>
      <selection pane="bottomRight" activeCell="Q66" sqref="Q66:AP66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3"/>
    <col width="11.42578125" customWidth="1" style="27" min="44" max="44"/>
    <col width="4.42578125" bestFit="1" customWidth="1" style="27" min="45" max="45"/>
    <col width="3.140625" bestFit="1" customWidth="1" style="27" min="46" max="53"/>
    <col width="3.5703125" customWidth="1" style="27" min="54" max="54"/>
    <col width="3.140625" customWidth="1" style="27" min="55" max="55"/>
    <col width="11.42578125" customWidth="1" style="27" min="56" max="16384"/>
  </cols>
  <sheetData>
    <row r="1" ht="15" customHeight="1">
      <c r="A1" s="35">
        <f>config!B6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config!C6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 t="n"/>
      <c r="AS4" s="35" t="n"/>
      <c r="AT4" s="35" t="n"/>
      <c r="AU4" s="35" t="n"/>
      <c r="AV4" s="35" t="n"/>
      <c r="AW4" s="35" t="n"/>
      <c r="AX4" s="35" t="n"/>
      <c r="AY4" s="35" t="n"/>
    </row>
    <row r="5">
      <c r="A5" s="325">
        <f>TEXT(A1,"mmmmmmmmmmmm")</f>
        <v/>
      </c>
    </row>
    <row r="6"/>
    <row r="7"/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59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60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COUNTIF(P11:AQ11,"p")</f>
        <v/>
      </c>
      <c r="E11" s="28">
        <f>COUNTIF(P11:AQ11,"PC")</f>
        <v/>
      </c>
      <c r="F11" s="28">
        <f>COUNTIF(P11:AQ11,"f")</f>
        <v/>
      </c>
      <c r="G11" s="28">
        <f>COUNTIF(P11:AQ11,"ast")</f>
        <v/>
      </c>
      <c r="H11" s="28">
        <f>COUNTIF(P11:AQ11,"cA")</f>
        <v/>
      </c>
      <c r="I11" s="28">
        <f>COUNTIF(P11:AQ11,"rtt")</f>
        <v/>
      </c>
      <c r="J11" s="28">
        <f>COUNTIF(P11:AQ11,"cex")</f>
        <v/>
      </c>
      <c r="K11" s="28">
        <f>COUNTIF(P11:AQ11,"res")</f>
        <v/>
      </c>
      <c r="L11" s="28">
        <f>COUNTIF(P11:AQ11,"mA")</f>
        <v/>
      </c>
      <c r="M11" s="28">
        <f>COUNTIF(P11:AQ11,"at")</f>
        <v/>
      </c>
      <c r="N11" s="28">
        <f>COUNTIF(P11:AQ11,"TAD")</f>
        <v/>
      </c>
      <c r="O11" s="119">
        <f>COUNTIF(P11:AQ11,"TP")</f>
        <v/>
      </c>
      <c r="P11" s="261" t="n"/>
      <c r="Q11" s="30" t="n"/>
      <c r="R11" s="30" t="n"/>
      <c r="S11" s="30" t="n"/>
      <c r="T11" s="30" t="n"/>
      <c r="U11" s="30" t="inlineStr">
        <is>
          <t>PC</t>
        </is>
      </c>
      <c r="V11" s="131" t="n"/>
      <c r="W11" s="131" t="n"/>
      <c r="X11" s="30" t="inlineStr">
        <is>
          <t>PC</t>
        </is>
      </c>
      <c r="Y11" s="30" t="inlineStr">
        <is>
          <t>PC</t>
        </is>
      </c>
      <c r="Z11" s="30" t="inlineStr">
        <is>
          <t>PC</t>
        </is>
      </c>
      <c r="AA11" s="30" t="inlineStr">
        <is>
          <t>PC</t>
        </is>
      </c>
      <c r="AB11" s="30" t="inlineStr">
        <is>
          <t>PC</t>
        </is>
      </c>
      <c r="AC11" s="131" t="n"/>
      <c r="AD11" s="131" t="n"/>
      <c r="AE11" s="30" t="n"/>
      <c r="AF11" s="30" t="n"/>
      <c r="AG11" s="30" t="n"/>
      <c r="AH11" s="30" t="n"/>
      <c r="AI11" s="30" t="n"/>
      <c r="AJ11" s="131" t="n"/>
      <c r="AK11" s="131" t="n"/>
      <c r="AL11" s="30" t="n"/>
      <c r="AM11" s="30" t="n"/>
      <c r="AN11" s="30" t="n"/>
      <c r="AO11" s="30" t="n"/>
      <c r="AP11" s="30" t="n"/>
      <c r="AQ11" s="131" t="n"/>
      <c r="AR11" s="1" t="n"/>
      <c r="AS11" s="345" t="inlineStr">
        <is>
          <t>BUREAU</t>
        </is>
      </c>
      <c r="AT11" s="343" t="n"/>
      <c r="AU11" s="343" t="n"/>
      <c r="AV11" s="343" t="n"/>
      <c r="AW11" s="343" t="n"/>
      <c r="AX11" s="343" t="n"/>
      <c r="AY11" s="343" t="n"/>
      <c r="AZ11" s="343" t="n"/>
      <c r="BA11" s="343" t="n"/>
      <c r="BB11" s="343" t="n"/>
      <c r="BC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COUNTIF(P12:AQ12,"p")</f>
        <v/>
      </c>
      <c r="E12" s="28">
        <f>COUNTIF(P12:AQ12,"PC")</f>
        <v/>
      </c>
      <c r="F12" s="28">
        <f>COUNTIF(P12:AQ12,"f")</f>
        <v/>
      </c>
      <c r="G12" s="28">
        <f>COUNTIF(P12:AQ12,"ast")</f>
        <v/>
      </c>
      <c r="H12" s="28">
        <f>COUNTIF(P12:AQ12,"cA")</f>
        <v/>
      </c>
      <c r="I12" s="28">
        <f>COUNTIF(P12:AQ12,"rtt")</f>
        <v/>
      </c>
      <c r="J12" s="28">
        <f>COUNTIF(P12:AQ12,"cex")</f>
        <v/>
      </c>
      <c r="K12" s="28">
        <f>COUNTIF(P12:AQ12,"res")</f>
        <v/>
      </c>
      <c r="L12" s="28">
        <f>COUNTIF(P12:AQ12,"mA")</f>
        <v/>
      </c>
      <c r="M12" s="28">
        <f>COUNTIF(P12:AQ12,"at")</f>
        <v/>
      </c>
      <c r="N12" s="28">
        <f>COUNTIF(P12:AQ12,"TAD")</f>
        <v/>
      </c>
      <c r="O12" s="119">
        <f>COUNTIF(P12:AQ12,"TP")</f>
        <v/>
      </c>
      <c r="P12" s="245" t="n"/>
      <c r="Q12" s="8" t="n"/>
      <c r="R12" s="8" t="inlineStr">
        <is>
          <t>PC</t>
        </is>
      </c>
      <c r="S12" s="8" t="n"/>
      <c r="T12" s="8" t="n"/>
      <c r="U12" s="8" t="n"/>
      <c r="V12" s="121" t="n"/>
      <c r="W12" s="121" t="n"/>
      <c r="X12" s="8" t="n"/>
      <c r="Y12" s="8" t="n"/>
      <c r="Z12" s="8" t="n"/>
      <c r="AA12" s="8" t="n"/>
      <c r="AB12" s="8" t="n"/>
      <c r="AC12" s="121" t="n"/>
      <c r="AD12" s="121" t="n"/>
      <c r="AE12" s="8" t="n"/>
      <c r="AF12" s="8" t="n"/>
      <c r="AG12" s="8" t="n"/>
      <c r="AH12" s="8" t="n"/>
      <c r="AI12" s="8" t="n"/>
      <c r="AJ12" s="121" t="n"/>
      <c r="AK12" s="121" t="n"/>
      <c r="AL12" s="8" t="n"/>
      <c r="AM12" s="8" t="n"/>
      <c r="AN12" s="8" t="n"/>
      <c r="AO12" s="8" t="n"/>
      <c r="AP12" s="8" t="n"/>
      <c r="AQ12" s="121" t="n"/>
      <c r="AR12" s="1" t="n"/>
      <c r="AS12" s="197" t="inlineStr">
        <is>
          <t>P</t>
        </is>
      </c>
      <c r="AT12" s="105" t="inlineStr">
        <is>
          <t>PC</t>
        </is>
      </c>
      <c r="AU12" s="12" t="inlineStr">
        <is>
          <t>F</t>
        </is>
      </c>
      <c r="AV12" s="106" t="inlineStr">
        <is>
          <t>AST</t>
        </is>
      </c>
      <c r="AW12" s="10" t="inlineStr">
        <is>
          <t>CA</t>
        </is>
      </c>
      <c r="AX12" s="107" t="inlineStr">
        <is>
          <t>RTT</t>
        </is>
      </c>
      <c r="AY12" s="11" t="inlineStr">
        <is>
          <t>CEX</t>
        </is>
      </c>
      <c r="AZ12" s="108" t="inlineStr">
        <is>
          <t>R</t>
        </is>
      </c>
      <c r="BA12" s="109" t="inlineStr">
        <is>
          <t>M</t>
        </is>
      </c>
      <c r="BB12" s="110" t="inlineStr">
        <is>
          <t>AT</t>
        </is>
      </c>
      <c r="BC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COUNTIF(P13:AQ13,"p")</f>
        <v/>
      </c>
      <c r="E13" s="28">
        <f>COUNTIF(P13:AQ13,"PC")</f>
        <v/>
      </c>
      <c r="F13" s="28">
        <f>COUNTIF(P13:AQ13,"f")</f>
        <v/>
      </c>
      <c r="G13" s="28">
        <f>COUNTIF(P13:AQ13,"ast")</f>
        <v/>
      </c>
      <c r="H13" s="28">
        <f>COUNTIF(P13:AQ13,"cA")</f>
        <v/>
      </c>
      <c r="I13" s="28">
        <f>COUNTIF(P13:AQ13,"rtt")</f>
        <v/>
      </c>
      <c r="J13" s="28">
        <f>COUNTIF(P13:AQ13,"cex")</f>
        <v/>
      </c>
      <c r="K13" s="28">
        <f>COUNTIF(P13:AQ13,"res")</f>
        <v/>
      </c>
      <c r="L13" s="28">
        <f>COUNTIF(P13:AQ13,"mA")</f>
        <v/>
      </c>
      <c r="M13" s="28">
        <f>COUNTIF(P13:AQ13,"at")</f>
        <v/>
      </c>
      <c r="N13" s="28">
        <f>COUNTIF(P13:AQ13,"TAD")</f>
        <v/>
      </c>
      <c r="O13" s="119">
        <f>COUNTIF(P13:AQ13,"TP")</f>
        <v/>
      </c>
      <c r="P13" s="245" t="n"/>
      <c r="Q13" s="8" t="n"/>
      <c r="R13" s="8" t="n"/>
      <c r="S13" s="8" t="n"/>
      <c r="T13" s="8" t="n"/>
      <c r="U13" s="8" t="n"/>
      <c r="V13" s="121" t="n"/>
      <c r="W13" s="121" t="n"/>
      <c r="X13" s="8" t="n"/>
      <c r="Y13" s="8" t="n"/>
      <c r="Z13" s="8" t="n"/>
      <c r="AA13" s="8" t="n"/>
      <c r="AB13" s="8" t="n"/>
      <c r="AC13" s="121" t="n"/>
      <c r="AD13" s="121" t="n"/>
      <c r="AE13" s="8" t="n"/>
      <c r="AF13" s="8" t="n"/>
      <c r="AG13" s="8" t="n"/>
      <c r="AH13" s="8" t="n"/>
      <c r="AI13" s="8" t="n"/>
      <c r="AJ13" s="121" t="n"/>
      <c r="AK13" s="121" t="n"/>
      <c r="AL13" s="8" t="n"/>
      <c r="AM13" s="8" t="n"/>
      <c r="AN13" s="8" t="n"/>
      <c r="AO13" s="8" t="n"/>
      <c r="AP13" s="8" t="n"/>
      <c r="AQ13" s="121" t="n"/>
      <c r="AR13" s="1" t="n"/>
      <c r="AS13" s="27">
        <f>COUNTIF(P11:AQ29,"p")</f>
        <v/>
      </c>
      <c r="AT13" s="27">
        <f>COUNTIF(P11:AQ29,"PC")</f>
        <v/>
      </c>
      <c r="AU13" s="27">
        <f>COUNTIF(P11:AQ29,"f")</f>
        <v/>
      </c>
      <c r="AV13" s="27">
        <f>COUNTIF(P11:AQ29,"ast")</f>
        <v/>
      </c>
      <c r="AW13" s="27">
        <f>COUNTIF(P11:AQ29,"ca")</f>
        <v/>
      </c>
      <c r="AX13" s="27">
        <f>COUNTIF(P11:AQ29,"rtt")</f>
        <v/>
      </c>
      <c r="AY13" s="27">
        <f>COUNTIF(P11:AQ29,"CEX")</f>
        <v/>
      </c>
      <c r="AZ13" s="27">
        <f>COUNTIF(P11:AQ29,"RES")</f>
        <v/>
      </c>
      <c r="BA13" s="27">
        <f>COUNTIF(P11:AQ29,"MA")</f>
        <v/>
      </c>
      <c r="BB13" s="27">
        <f>COUNTIF(P11:AQ29,"AT")</f>
        <v/>
      </c>
      <c r="BC13" s="27">
        <f>COUNTIF(P11:AQ29,"TP")</f>
        <v/>
      </c>
    </row>
    <row r="14" ht="20.1" customHeight="1" thickBot="1">
      <c r="A14" s="172">
        <f>IFERROR(IF(config!E6="","",config!E6),"")</f>
        <v/>
      </c>
      <c r="B14" s="173">
        <f>IFERROR(IF(config!F6="","",config!F6),"")</f>
        <v/>
      </c>
      <c r="C14" s="174">
        <f>IFERROR(IF(config!G6="","",config!G6),"")</f>
        <v/>
      </c>
      <c r="D14" s="114">
        <f>COUNTIF(P14:AQ14,"p")</f>
        <v/>
      </c>
      <c r="E14" s="28">
        <f>COUNTIF(P14:AQ14,"PC")</f>
        <v/>
      </c>
      <c r="F14" s="28">
        <f>COUNTIF(P14:AQ14,"f")</f>
        <v/>
      </c>
      <c r="G14" s="28">
        <f>COUNTIF(P14:AQ14,"ast")</f>
        <v/>
      </c>
      <c r="H14" s="28">
        <f>COUNTIF(P14:AQ14,"cA")</f>
        <v/>
      </c>
      <c r="I14" s="28">
        <f>COUNTIF(P14:AQ14,"rtt")</f>
        <v/>
      </c>
      <c r="J14" s="28">
        <f>COUNTIF(P14:AQ14,"cex")</f>
        <v/>
      </c>
      <c r="K14" s="28">
        <f>COUNTIF(P14:AQ14,"res")</f>
        <v/>
      </c>
      <c r="L14" s="28">
        <f>COUNTIF(P14:AQ14,"mA")</f>
        <v/>
      </c>
      <c r="M14" s="28">
        <f>COUNTIF(P14:AQ14,"at")</f>
        <v/>
      </c>
      <c r="N14" s="28">
        <f>COUNTIF(P14:AQ14,"TAD")</f>
        <v/>
      </c>
      <c r="O14" s="119">
        <f>COUNTIF(P14:AQ14,"TP")</f>
        <v/>
      </c>
      <c r="P14" s="245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  <c r="AK14" s="121" t="n"/>
      <c r="AL14" s="121" t="n"/>
      <c r="AM14" s="121" t="n"/>
      <c r="AN14" s="121" t="n"/>
      <c r="AO14" s="121" t="n"/>
      <c r="AP14" s="121" t="n"/>
      <c r="AQ14" s="121" t="n"/>
      <c r="AR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COUNTIF(P15:AQ15,"p")</f>
        <v/>
      </c>
      <c r="E15" s="28">
        <f>COUNTIF(P15:AQ15,"PC")</f>
        <v/>
      </c>
      <c r="F15" s="28">
        <f>COUNTIF(P15:AQ15,"f")</f>
        <v/>
      </c>
      <c r="G15" s="28">
        <f>COUNTIF(P15:AQ15,"ast")</f>
        <v/>
      </c>
      <c r="H15" s="28">
        <f>COUNTIF(P15:AQ15,"cA")</f>
        <v/>
      </c>
      <c r="I15" s="28">
        <f>COUNTIF(P15:AQ15,"rtt")</f>
        <v/>
      </c>
      <c r="J15" s="28">
        <f>COUNTIF(P15:AQ15,"cex")</f>
        <v/>
      </c>
      <c r="K15" s="28">
        <f>COUNTIF(P15:AQ15,"res")</f>
        <v/>
      </c>
      <c r="L15" s="28">
        <f>COUNTIF(P15:AQ15,"mA")</f>
        <v/>
      </c>
      <c r="M15" s="28">
        <f>COUNTIF(P15:AQ15,"at")</f>
        <v/>
      </c>
      <c r="N15" s="28">
        <f>COUNTIF(P15:AQ15,"TAD")</f>
        <v/>
      </c>
      <c r="O15" s="119">
        <f>COUNTIF(P15:AQ15,"TP")</f>
        <v/>
      </c>
      <c r="P15" s="245" t="n"/>
      <c r="Q15" s="8" t="n"/>
      <c r="R15" s="8" t="n"/>
      <c r="S15" s="8" t="n"/>
      <c r="T15" s="8" t="n"/>
      <c r="U15" s="8" t="n"/>
      <c r="V15" s="121" t="n"/>
      <c r="W15" s="121" t="n"/>
      <c r="X15" s="8" t="n"/>
      <c r="Y15" s="8" t="n"/>
      <c r="Z15" s="8" t="n"/>
      <c r="AA15" s="8" t="n"/>
      <c r="AB15" s="8" t="n"/>
      <c r="AC15" s="121" t="n"/>
      <c r="AD15" s="121" t="n"/>
      <c r="AE15" s="8" t="n"/>
      <c r="AF15" s="8" t="n"/>
      <c r="AG15" s="8" t="n"/>
      <c r="AH15" s="8" t="n"/>
      <c r="AI15" s="8" t="n"/>
      <c r="AJ15" s="121" t="n"/>
      <c r="AK15" s="121" t="n"/>
      <c r="AL15" s="8" t="n"/>
      <c r="AM15" s="8" t="n"/>
      <c r="AN15" s="8" t="n"/>
      <c r="AO15" s="8" t="n"/>
      <c r="AP15" s="8" t="n"/>
      <c r="AQ15" s="121" t="n"/>
      <c r="AR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COUNTIF(P16:AQ16,"p")</f>
        <v/>
      </c>
      <c r="E16" s="28">
        <f>COUNTIF(P16:AQ16,"PC")</f>
        <v/>
      </c>
      <c r="F16" s="28">
        <f>COUNTIF(P16:AQ16,"f")</f>
        <v/>
      </c>
      <c r="G16" s="28">
        <f>COUNTIF(P16:AQ16,"ast")</f>
        <v/>
      </c>
      <c r="H16" s="28">
        <f>COUNTIF(P16:AQ16,"cA")</f>
        <v/>
      </c>
      <c r="I16" s="28">
        <f>COUNTIF(P16:AQ16,"rtt")</f>
        <v/>
      </c>
      <c r="J16" s="28">
        <f>COUNTIF(P16:AQ16,"cex")</f>
        <v/>
      </c>
      <c r="K16" s="28">
        <f>COUNTIF(P16:AQ16,"res")</f>
        <v/>
      </c>
      <c r="L16" s="28">
        <f>COUNTIF(P16:AQ16,"mA")</f>
        <v/>
      </c>
      <c r="M16" s="28">
        <f>COUNTIF(P16:AQ16,"at")</f>
        <v/>
      </c>
      <c r="N16" s="28">
        <f>COUNTIF(P16:AQ16,"TAD")</f>
        <v/>
      </c>
      <c r="O16" s="119">
        <f>COUNTIF(P16:AQ16,"TP")</f>
        <v/>
      </c>
      <c r="P16" s="245" t="n"/>
      <c r="Q16" s="8" t="n"/>
      <c r="R16" s="8" t="n"/>
      <c r="S16" s="8" t="n"/>
      <c r="T16" s="8" t="n"/>
      <c r="U16" s="8" t="n"/>
      <c r="V16" s="121" t="n"/>
      <c r="W16" s="121" t="n"/>
      <c r="X16" s="8" t="n"/>
      <c r="Y16" s="8" t="n"/>
      <c r="Z16" s="8" t="n"/>
      <c r="AA16" s="8" t="n"/>
      <c r="AB16" s="8" t="n"/>
      <c r="AC16" s="121" t="n"/>
      <c r="AD16" s="121" t="n"/>
      <c r="AE16" s="8" t="n"/>
      <c r="AF16" s="8" t="n"/>
      <c r="AG16" s="8" t="n"/>
      <c r="AH16" s="8" t="n"/>
      <c r="AI16" s="8" t="n"/>
      <c r="AJ16" s="121" t="n"/>
      <c r="AK16" s="121" t="n"/>
      <c r="AL16" s="8" t="n"/>
      <c r="AM16" s="8" t="n"/>
      <c r="AN16" s="8" t="n"/>
      <c r="AO16" s="8" t="n"/>
      <c r="AP16" s="8" t="n"/>
      <c r="AQ16" s="121" t="n"/>
      <c r="AR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COUNTIF(P17:AQ17,"p")</f>
        <v/>
      </c>
      <c r="E17" s="28">
        <f>COUNTIF(P17:AQ17,"PC")</f>
        <v/>
      </c>
      <c r="F17" s="28">
        <f>COUNTIF(P17:AQ17,"f")</f>
        <v/>
      </c>
      <c r="G17" s="28">
        <f>COUNTIF(P17:AQ17,"ast")</f>
        <v/>
      </c>
      <c r="H17" s="28">
        <f>COUNTIF(P17:AQ17,"cA")</f>
        <v/>
      </c>
      <c r="I17" s="28">
        <f>COUNTIF(P17:AQ17,"rtt")</f>
        <v/>
      </c>
      <c r="J17" s="28">
        <f>COUNTIF(P17:AQ17,"cex")</f>
        <v/>
      </c>
      <c r="K17" s="28">
        <f>COUNTIF(P17:AQ17,"res")</f>
        <v/>
      </c>
      <c r="L17" s="28">
        <f>COUNTIF(P17:AQ17,"mA")</f>
        <v/>
      </c>
      <c r="M17" s="28">
        <f>COUNTIF(P17:AQ17,"at")</f>
        <v/>
      </c>
      <c r="N17" s="28">
        <f>COUNTIF(P17:AQ17,"TAD")</f>
        <v/>
      </c>
      <c r="O17" s="119">
        <f>COUNTIF(P17:AQ17,"TP")</f>
        <v/>
      </c>
      <c r="P17" s="245" t="n"/>
      <c r="Q17" s="8" t="n"/>
      <c r="R17" s="8" t="n"/>
      <c r="S17" s="8" t="n"/>
      <c r="T17" s="8" t="n"/>
      <c r="U17" s="8" t="n"/>
      <c r="V17" s="121" t="n"/>
      <c r="W17" s="121" t="n"/>
      <c r="X17" s="8" t="n"/>
      <c r="Y17" s="8" t="n"/>
      <c r="Z17" s="8" t="n"/>
      <c r="AA17" s="8" t="n"/>
      <c r="AB17" s="8" t="n"/>
      <c r="AC17" s="121" t="n"/>
      <c r="AD17" s="121" t="n"/>
      <c r="AE17" s="8" t="n"/>
      <c r="AF17" s="8" t="n"/>
      <c r="AG17" s="8" t="n"/>
      <c r="AH17" s="8" t="n"/>
      <c r="AI17" s="8" t="n"/>
      <c r="AJ17" s="121" t="n"/>
      <c r="AK17" s="121" t="n"/>
      <c r="AL17" s="8" t="n"/>
      <c r="AM17" s="8" t="n"/>
      <c r="AN17" s="8" t="n"/>
      <c r="AO17" s="8" t="n"/>
      <c r="AP17" s="8" t="n"/>
      <c r="AQ17" s="121" t="n"/>
      <c r="AR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COUNTIF(P18:AQ18,"p")</f>
        <v/>
      </c>
      <c r="E18" s="28">
        <f>COUNTIF(P18:AQ18,"PC")</f>
        <v/>
      </c>
      <c r="F18" s="28">
        <f>COUNTIF(P18:AQ18,"f")</f>
        <v/>
      </c>
      <c r="G18" s="28">
        <f>COUNTIF(P18:AQ18,"ast")</f>
        <v/>
      </c>
      <c r="H18" s="28">
        <f>COUNTIF(P18:AQ18,"cA")</f>
        <v/>
      </c>
      <c r="I18" s="28">
        <f>COUNTIF(P18:AQ18,"rtt")</f>
        <v/>
      </c>
      <c r="J18" s="28">
        <f>COUNTIF(P18:AQ18,"cex")</f>
        <v/>
      </c>
      <c r="K18" s="28">
        <f>COUNTIF(P18:AQ18,"res")</f>
        <v/>
      </c>
      <c r="L18" s="28">
        <f>COUNTIF(P18:AQ18,"mA")</f>
        <v/>
      </c>
      <c r="M18" s="28">
        <f>COUNTIF(P18:AQ18,"at")</f>
        <v/>
      </c>
      <c r="N18" s="28">
        <f>COUNTIF(P18:AQ18,"TAD")</f>
        <v/>
      </c>
      <c r="O18" s="119">
        <f>COUNTIF(P18:AQ18,"TP")</f>
        <v/>
      </c>
      <c r="P18" s="245" t="n"/>
      <c r="Q18" s="8" t="inlineStr">
        <is>
          <t>CEX</t>
        </is>
      </c>
      <c r="R18" s="8" t="inlineStr">
        <is>
          <t>CEX</t>
        </is>
      </c>
      <c r="S18" s="8" t="inlineStr">
        <is>
          <t>CEX</t>
        </is>
      </c>
      <c r="T18" s="8" t="inlineStr">
        <is>
          <t>CEX</t>
        </is>
      </c>
      <c r="U18" s="8" t="inlineStr">
        <is>
          <t>CEX</t>
        </is>
      </c>
      <c r="V18" s="121" t="n"/>
      <c r="W18" s="121" t="n"/>
      <c r="X18" s="8" t="inlineStr">
        <is>
          <t>CEX</t>
        </is>
      </c>
      <c r="Y18" s="8" t="inlineStr">
        <is>
          <t>CEX</t>
        </is>
      </c>
      <c r="Z18" s="8" t="inlineStr">
        <is>
          <t>CEX</t>
        </is>
      </c>
      <c r="AA18" s="8" t="inlineStr">
        <is>
          <t>CEX</t>
        </is>
      </c>
      <c r="AB18" s="8" t="inlineStr">
        <is>
          <t>CEX</t>
        </is>
      </c>
      <c r="AC18" s="121" t="n"/>
      <c r="AD18" s="121" t="n"/>
      <c r="AE18" s="8" t="inlineStr">
        <is>
          <t>CEX</t>
        </is>
      </c>
      <c r="AF18" s="8" t="inlineStr">
        <is>
          <t>CEX</t>
        </is>
      </c>
      <c r="AG18" s="8" t="inlineStr">
        <is>
          <t>CA</t>
        </is>
      </c>
      <c r="AH18" s="8" t="inlineStr">
        <is>
          <t>CA</t>
        </is>
      </c>
      <c r="AI18" s="8" t="inlineStr">
        <is>
          <t>CA</t>
        </is>
      </c>
      <c r="AJ18" s="121" t="n"/>
      <c r="AK18" s="121" t="n"/>
      <c r="AL18" s="8" t="inlineStr">
        <is>
          <t>CA</t>
        </is>
      </c>
      <c r="AM18" s="8" t="inlineStr">
        <is>
          <t>CA</t>
        </is>
      </c>
      <c r="AN18" s="8" t="inlineStr">
        <is>
          <t>RTT</t>
        </is>
      </c>
      <c r="AO18" s="8" t="inlineStr">
        <is>
          <t>RTT</t>
        </is>
      </c>
      <c r="AP18" s="8" t="inlineStr">
        <is>
          <t>CA</t>
        </is>
      </c>
      <c r="AQ18" s="121" t="n"/>
      <c r="AR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COUNTIF(P19:AQ19,"p")</f>
        <v/>
      </c>
      <c r="E19" s="28">
        <f>COUNTIF(P19:AQ19,"PC")</f>
        <v/>
      </c>
      <c r="F19" s="28">
        <f>COUNTIF(P19:AQ19,"f")</f>
        <v/>
      </c>
      <c r="G19" s="28">
        <f>COUNTIF(P19:AQ19,"ast")</f>
        <v/>
      </c>
      <c r="H19" s="28">
        <f>COUNTIF(P19:AQ19,"cA")</f>
        <v/>
      </c>
      <c r="I19" s="28">
        <f>COUNTIF(P19:AQ19,"rtt")</f>
        <v/>
      </c>
      <c r="J19" s="28">
        <f>COUNTIF(P19:AQ19,"cex")</f>
        <v/>
      </c>
      <c r="K19" s="28">
        <f>COUNTIF(P19:AQ19,"res")</f>
        <v/>
      </c>
      <c r="L19" s="28">
        <f>COUNTIF(P19:AQ19,"mA")</f>
        <v/>
      </c>
      <c r="M19" s="28">
        <f>COUNTIF(P19:AQ19,"at")</f>
        <v/>
      </c>
      <c r="N19" s="28">
        <f>COUNTIF(P19:AQ19,"TAD")</f>
        <v/>
      </c>
      <c r="O19" s="119">
        <f>COUNTIF(P19:AQ19,"TP")</f>
        <v/>
      </c>
      <c r="P19" s="245" t="n"/>
      <c r="Q19" s="8" t="n"/>
      <c r="R19" s="8" t="n"/>
      <c r="S19" s="8" t="n"/>
      <c r="T19" s="8" t="n"/>
      <c r="U19" s="8" t="n"/>
      <c r="V19" s="121" t="n"/>
      <c r="W19" s="121" t="n"/>
      <c r="X19" s="8" t="n"/>
      <c r="Y19" s="8" t="n"/>
      <c r="Z19" s="8" t="n"/>
      <c r="AA19" s="8" t="n"/>
      <c r="AB19" s="8" t="n"/>
      <c r="AC19" s="121" t="n"/>
      <c r="AD19" s="121" t="n"/>
      <c r="AE19" s="8" t="n"/>
      <c r="AF19" s="8" t="n"/>
      <c r="AG19" s="8" t="n"/>
      <c r="AH19" s="8" t="n"/>
      <c r="AI19" s="8" t="n"/>
      <c r="AJ19" s="121" t="n"/>
      <c r="AK19" s="121" t="n"/>
      <c r="AL19" s="8" t="n"/>
      <c r="AM19" s="8" t="n"/>
      <c r="AN19" s="8" t="n"/>
      <c r="AO19" s="8" t="n"/>
      <c r="AP19" s="8" t="n"/>
      <c r="AQ19" s="121" t="n"/>
      <c r="AR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COUNTIF(P20:AQ20,"p")</f>
        <v/>
      </c>
      <c r="E20" s="28">
        <f>COUNTIF(P20:AQ20,"PC")</f>
        <v/>
      </c>
      <c r="F20" s="28">
        <f>COUNTIF(P20:AQ20,"f")</f>
        <v/>
      </c>
      <c r="G20" s="28">
        <f>COUNTIF(P20:AQ20,"ast")</f>
        <v/>
      </c>
      <c r="H20" s="28">
        <f>COUNTIF(P20:AQ20,"cA")</f>
        <v/>
      </c>
      <c r="I20" s="28">
        <f>COUNTIF(P20:AQ20,"rtt")</f>
        <v/>
      </c>
      <c r="J20" s="28">
        <f>COUNTIF(P20:AQ20,"cex")</f>
        <v/>
      </c>
      <c r="K20" s="28">
        <f>COUNTIF(P20:AQ20,"res")</f>
        <v/>
      </c>
      <c r="L20" s="28">
        <f>COUNTIF(P20:AQ20,"mA")</f>
        <v/>
      </c>
      <c r="M20" s="28">
        <f>COUNTIF(P20:AQ20,"at")</f>
        <v/>
      </c>
      <c r="N20" s="28">
        <f>COUNTIF(P20:AQ20,"TAD")</f>
        <v/>
      </c>
      <c r="O20" s="119">
        <f>COUNTIF(P20:AQ20,"TP")</f>
        <v/>
      </c>
      <c r="P20" s="262" t="n"/>
      <c r="Q20" s="29" t="n"/>
      <c r="R20" s="29" t="n"/>
      <c r="S20" s="29" t="n"/>
      <c r="T20" s="29" t="n"/>
      <c r="U20" s="29" t="n"/>
      <c r="V20" s="122" t="n"/>
      <c r="W20" s="122" t="n"/>
      <c r="X20" s="29" t="n"/>
      <c r="Y20" s="29" t="n"/>
      <c r="Z20" s="29" t="n"/>
      <c r="AA20" s="29" t="n"/>
      <c r="AB20" s="29" t="n"/>
      <c r="AC20" s="122" t="n"/>
      <c r="AD20" s="122" t="n"/>
      <c r="AE20" s="29" t="inlineStr">
        <is>
          <t>PC</t>
        </is>
      </c>
      <c r="AF20" s="29" t="inlineStr">
        <is>
          <t>PC</t>
        </is>
      </c>
      <c r="AG20" s="29" t="inlineStr">
        <is>
          <t>PC</t>
        </is>
      </c>
      <c r="AH20" s="29" t="inlineStr">
        <is>
          <t>PC</t>
        </is>
      </c>
      <c r="AI20" s="29" t="inlineStr">
        <is>
          <t>PC</t>
        </is>
      </c>
      <c r="AJ20" s="122" t="n"/>
      <c r="AK20" s="122" t="n"/>
      <c r="AL20" s="29" t="n"/>
      <c r="AM20" s="29" t="n"/>
      <c r="AN20" s="29" t="inlineStr">
        <is>
          <t>PC</t>
        </is>
      </c>
      <c r="AO20" s="29" t="n"/>
      <c r="AP20" s="29" t="n"/>
      <c r="AQ20" s="122" t="n"/>
      <c r="AR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COUNTIF(P23:AQ23,"p")</f>
        <v/>
      </c>
      <c r="E23" s="30">
        <f>COUNTIF(P23:AQ23,"PC")</f>
        <v/>
      </c>
      <c r="F23" s="30">
        <f>COUNTIF(P23:AQ23,"f")</f>
        <v/>
      </c>
      <c r="G23" s="30">
        <f>COUNTIF(P23:AQ23,"ast")</f>
        <v/>
      </c>
      <c r="H23" s="30">
        <f>COUNTIF(P23:AQ23,"cA")</f>
        <v/>
      </c>
      <c r="I23" s="30">
        <f>COUNTIF(P23:AQ23,"rtt")</f>
        <v/>
      </c>
      <c r="J23" s="30">
        <f>COUNTIF(P23:AQ23,"cex")</f>
        <v/>
      </c>
      <c r="K23" s="30">
        <f>COUNTIF(P23:AQ23,"res")</f>
        <v/>
      </c>
      <c r="L23" s="30">
        <f>COUNTIF(P23:AQ23,"mA")</f>
        <v/>
      </c>
      <c r="M23" s="30">
        <f>COUNTIF(P23:AQ23,"at")</f>
        <v/>
      </c>
      <c r="N23" s="30">
        <f>COUNTIF(P23:AQ23,"TAD")</f>
        <v/>
      </c>
      <c r="O23" s="133">
        <f>COUNTIF(P23:AQ23,"TP")</f>
        <v/>
      </c>
      <c r="P23" s="261" t="n"/>
      <c r="Q23" s="30" t="n"/>
      <c r="R23" s="30" t="n"/>
      <c r="S23" s="30" t="n"/>
      <c r="T23" s="30" t="n"/>
      <c r="U23" s="30" t="n"/>
      <c r="V23" s="131" t="n"/>
      <c r="W23" s="131" t="n"/>
      <c r="X23" s="30" t="n"/>
      <c r="Y23" s="30" t="n"/>
      <c r="Z23" s="30" t="n"/>
      <c r="AA23" s="30" t="n"/>
      <c r="AB23" s="30" t="n"/>
      <c r="AC23" s="131" t="n"/>
      <c r="AD23" s="131" t="n"/>
      <c r="AE23" s="30" t="n"/>
      <c r="AF23" s="30" t="n"/>
      <c r="AG23" s="30" t="n"/>
      <c r="AH23" s="30" t="n"/>
      <c r="AI23" s="30" t="n"/>
      <c r="AJ23" s="131" t="n"/>
      <c r="AK23" s="131" t="n"/>
      <c r="AL23" s="30" t="n"/>
      <c r="AM23" s="30" t="n"/>
      <c r="AN23" s="30" t="n"/>
      <c r="AO23" s="30" t="n"/>
      <c r="AP23" s="30" t="n"/>
      <c r="AQ23" s="131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COUNTIF(P24:AQ24,"p")</f>
        <v/>
      </c>
      <c r="E24" s="150">
        <f>COUNTIF(P24:AQ24,"PC")</f>
        <v/>
      </c>
      <c r="F24" s="150">
        <f>COUNTIF(P24:AQ24,"f")</f>
        <v/>
      </c>
      <c r="G24" s="150">
        <f>COUNTIF(P24:AQ24,"ast")</f>
        <v/>
      </c>
      <c r="H24" s="150">
        <f>COUNTIF(P24:AQ24,"cA")</f>
        <v/>
      </c>
      <c r="I24" s="150">
        <f>COUNTIF(P24:AQ24,"rtt")</f>
        <v/>
      </c>
      <c r="J24" s="150">
        <f>COUNTIF(P24:AQ24,"cex")</f>
        <v/>
      </c>
      <c r="K24" s="150">
        <f>COUNTIF(P24:AQ24,"res")</f>
        <v/>
      </c>
      <c r="L24" s="150">
        <f>COUNTIF(P24:AQ24,"mA")</f>
        <v/>
      </c>
      <c r="M24" s="150">
        <f>COUNTIF(P24:AQ24,"at")</f>
        <v/>
      </c>
      <c r="N24" s="150">
        <f>COUNTIF(P24:AQ24,"TAD")</f>
        <v/>
      </c>
      <c r="O24" s="167">
        <f>COUNTIF(P24:AQ24,"TP")</f>
        <v/>
      </c>
      <c r="P24" s="261" t="n"/>
      <c r="Q24" s="30" t="n"/>
      <c r="R24" s="8" t="n"/>
      <c r="S24" s="8" t="n"/>
      <c r="T24" s="8" t="n"/>
      <c r="U24" s="8" t="n"/>
      <c r="V24" s="121" t="n"/>
      <c r="W24" s="121" t="n"/>
      <c r="X24" s="8" t="n"/>
      <c r="Y24" s="8" t="n"/>
      <c r="Z24" s="8" t="n"/>
      <c r="AA24" s="8" t="n"/>
      <c r="AB24" s="8" t="n"/>
      <c r="AC24" s="121" t="n"/>
      <c r="AD24" s="121" t="n"/>
      <c r="AE24" s="8" t="n"/>
      <c r="AF24" s="8" t="n"/>
      <c r="AG24" s="8" t="n"/>
      <c r="AH24" s="8" t="n"/>
      <c r="AI24" s="8" t="n"/>
      <c r="AJ24" s="121" t="n"/>
      <c r="AK24" s="121" t="n"/>
      <c r="AL24" s="8" t="n"/>
      <c r="AM24" s="8" t="n"/>
      <c r="AN24" s="8" t="n"/>
      <c r="AO24" s="8" t="n"/>
      <c r="AP24" s="8" t="n"/>
      <c r="AQ24" s="12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COUNTIF(P26:AQ26,"p")</f>
        <v/>
      </c>
      <c r="E26" s="30">
        <f>COUNTIF(P26:AQ26,"PC")</f>
        <v/>
      </c>
      <c r="F26" s="30">
        <f>COUNTIF(P26:AQ26,"f")</f>
        <v/>
      </c>
      <c r="G26" s="30">
        <f>COUNTIF(P26:AQ26,"ast")</f>
        <v/>
      </c>
      <c r="H26" s="30">
        <f>COUNTIF(P26:AQ26,"cA")</f>
        <v/>
      </c>
      <c r="I26" s="30">
        <f>COUNTIF(P26:AQ26,"rtt")</f>
        <v/>
      </c>
      <c r="J26" s="30">
        <f>COUNTIF(P26:AQ26,"cex")</f>
        <v/>
      </c>
      <c r="K26" s="30">
        <f>COUNTIF(P26:AQ26,"res")</f>
        <v/>
      </c>
      <c r="L26" s="30">
        <f>COUNTIF(P26:AQ26,"mA")</f>
        <v/>
      </c>
      <c r="M26" s="30">
        <f>COUNTIF(P26:AQ26,"at")</f>
        <v/>
      </c>
      <c r="N26" s="30">
        <f>COUNTIF(P26:AQ26,"TAD")</f>
        <v/>
      </c>
      <c r="O26" s="30">
        <f>COUNTIF(P26:AQ26,"TP")</f>
        <v/>
      </c>
      <c r="P26" s="261" t="n"/>
      <c r="Q26" s="30" t="n"/>
      <c r="R26" s="30" t="n"/>
      <c r="S26" s="30" t="n"/>
      <c r="T26" s="30" t="n"/>
      <c r="U26" s="30" t="n"/>
      <c r="V26" s="131" t="n"/>
      <c r="W26" s="131" t="n"/>
      <c r="X26" s="30" t="n"/>
      <c r="Y26" s="30" t="n"/>
      <c r="Z26" s="30" t="n"/>
      <c r="AA26" s="30" t="n"/>
      <c r="AB26" s="30" t="n"/>
      <c r="AC26" s="131" t="n"/>
      <c r="AD26" s="131" t="n"/>
      <c r="AE26" s="30" t="n"/>
      <c r="AF26" s="30" t="n"/>
      <c r="AG26" s="30" t="n"/>
      <c r="AH26" s="30" t="n"/>
      <c r="AI26" s="30" t="n"/>
      <c r="AJ26" s="131" t="n"/>
      <c r="AK26" s="131" t="n"/>
      <c r="AL26" s="30" t="n"/>
      <c r="AM26" s="30" t="n"/>
      <c r="AN26" s="30" t="n"/>
      <c r="AO26" s="30" t="n"/>
      <c r="AP26" s="30" t="n"/>
      <c r="AQ26" s="13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COUNTIF(P27:AQ27,"p")</f>
        <v/>
      </c>
      <c r="E27" s="28">
        <f>COUNTIF(P27:AQ27,"PC")</f>
        <v/>
      </c>
      <c r="F27" s="28">
        <f>COUNTIF(P27:AQ27,"f")</f>
        <v/>
      </c>
      <c r="G27" s="28">
        <f>COUNTIF(P27:AQ27,"ast")</f>
        <v/>
      </c>
      <c r="H27" s="28">
        <f>COUNTIF(P27:AQ27,"cA")</f>
        <v/>
      </c>
      <c r="I27" s="28">
        <f>COUNTIF(P27:AQ27,"rtt")</f>
        <v/>
      </c>
      <c r="J27" s="28">
        <f>COUNTIF(P27:AQ27,"cex")</f>
        <v/>
      </c>
      <c r="K27" s="28">
        <f>COUNTIF(P27:AQ27,"res")</f>
        <v/>
      </c>
      <c r="L27" s="28">
        <f>COUNTIF(P27:AQ27,"mA")</f>
        <v/>
      </c>
      <c r="M27" s="28">
        <f>COUNTIF(P27:AQ27,"at")</f>
        <v/>
      </c>
      <c r="N27" s="28">
        <f>COUNTIF(P27:AQ27,"TAD")</f>
        <v/>
      </c>
      <c r="O27" s="28">
        <f>COUNTIF(P27:AQ27,"TP")</f>
        <v/>
      </c>
      <c r="P27" s="261" t="n"/>
      <c r="Q27" s="30" t="inlineStr">
        <is>
          <t>PC</t>
        </is>
      </c>
      <c r="R27" s="30" t="inlineStr">
        <is>
          <t>PC</t>
        </is>
      </c>
      <c r="S27" s="30" t="inlineStr">
        <is>
          <t>PC</t>
        </is>
      </c>
      <c r="T27" s="30" t="inlineStr">
        <is>
          <t>PC</t>
        </is>
      </c>
      <c r="U27" s="30" t="inlineStr">
        <is>
          <t>PC</t>
        </is>
      </c>
      <c r="V27" s="121" t="n"/>
      <c r="W27" s="121" t="n"/>
      <c r="X27" s="8" t="n"/>
      <c r="Y27" s="8" t="n"/>
      <c r="Z27" s="8" t="n"/>
      <c r="AA27" s="8" t="n"/>
      <c r="AB27" s="8" t="n"/>
      <c r="AC27" s="121" t="n"/>
      <c r="AD27" s="121" t="n"/>
      <c r="AE27" s="8" t="n"/>
      <c r="AF27" s="8" t="n"/>
      <c r="AG27" s="8" t="n"/>
      <c r="AH27" s="8" t="n"/>
      <c r="AI27" s="8" t="n"/>
      <c r="AJ27" s="121" t="n"/>
      <c r="AK27" s="121" t="n"/>
      <c r="AL27" s="8" t="n"/>
      <c r="AM27" s="8" t="n"/>
      <c r="AN27" s="8" t="n"/>
      <c r="AO27" s="8" t="n"/>
      <c r="AP27" s="8" t="n"/>
      <c r="AQ27" s="121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COUNTIF(P28:AQ28,"p")</f>
        <v/>
      </c>
      <c r="E28" s="28">
        <f>COUNTIF(P28:AQ28,"PC")</f>
        <v/>
      </c>
      <c r="F28" s="28">
        <f>COUNTIF(P28:AQ28,"f")</f>
        <v/>
      </c>
      <c r="G28" s="28">
        <f>COUNTIF(P28:AQ28,"ast")</f>
        <v/>
      </c>
      <c r="H28" s="28">
        <f>COUNTIF(P28:AQ28,"cA")</f>
        <v/>
      </c>
      <c r="I28" s="28">
        <f>COUNTIF(P28:AQ28,"rtt")</f>
        <v/>
      </c>
      <c r="J28" s="28">
        <f>COUNTIF(P28:AQ28,"cex")</f>
        <v/>
      </c>
      <c r="K28" s="28">
        <f>COUNTIF(P28:AQ28,"res")</f>
        <v/>
      </c>
      <c r="L28" s="28">
        <f>COUNTIF(P28:AQ28,"mA")</f>
        <v/>
      </c>
      <c r="M28" s="28">
        <f>COUNTIF(P28:AQ28,"at")</f>
        <v/>
      </c>
      <c r="N28" s="28">
        <f>COUNTIF(P28:AQ28,"TAD")</f>
        <v/>
      </c>
      <c r="O28" s="28">
        <f>COUNTIF(P28:AQ28,"TP")</f>
        <v/>
      </c>
      <c r="P28" s="261" t="n"/>
      <c r="Q28" s="30" t="n"/>
      <c r="R28" s="30" t="n"/>
      <c r="S28" s="30" t="n"/>
      <c r="T28" s="30" t="n"/>
      <c r="U28" s="30" t="n"/>
      <c r="V28" s="131" t="n"/>
      <c r="W28" s="131" t="n"/>
      <c r="X28" s="30" t="n"/>
      <c r="Y28" s="30" t="n"/>
      <c r="Z28" s="30" t="n"/>
      <c r="AA28" s="30" t="n"/>
      <c r="AB28" s="30" t="n"/>
      <c r="AC28" s="131" t="n"/>
      <c r="AD28" s="131" t="n"/>
      <c r="AE28" s="30" t="n"/>
      <c r="AF28" s="30" t="n"/>
      <c r="AG28" s="30" t="n"/>
      <c r="AH28" s="30" t="n"/>
      <c r="AI28" s="30" t="n"/>
      <c r="AJ28" s="131" t="n"/>
      <c r="AK28" s="131" t="n"/>
      <c r="AL28" s="30" t="n"/>
      <c r="AM28" s="30" t="n"/>
      <c r="AN28" s="30" t="n"/>
      <c r="AO28" s="30" t="n"/>
      <c r="AP28" s="30" t="n"/>
      <c r="AQ28" s="131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COUNTIF(P29:AQ29,"p")</f>
        <v/>
      </c>
      <c r="E29" s="150">
        <f>COUNTIF(P29:AQ29,"PC")</f>
        <v/>
      </c>
      <c r="F29" s="150">
        <f>COUNTIF(P29:AQ29,"f")</f>
        <v/>
      </c>
      <c r="G29" s="150">
        <f>COUNTIF(P29:AQ29,"ast")</f>
        <v/>
      </c>
      <c r="H29" s="150">
        <f>COUNTIF(P29:AQ29,"cA")</f>
        <v/>
      </c>
      <c r="I29" s="150">
        <f>COUNTIF(P29:AQ29,"rtt")</f>
        <v/>
      </c>
      <c r="J29" s="150">
        <f>COUNTIF(P29:AQ29,"cex")</f>
        <v/>
      </c>
      <c r="K29" s="150">
        <f>COUNTIF(P29:AQ29,"res")</f>
        <v/>
      </c>
      <c r="L29" s="150">
        <f>COUNTIF(P29:AQ29,"mA")</f>
        <v/>
      </c>
      <c r="M29" s="150">
        <f>COUNTIF(P29:AQ29,"at")</f>
        <v/>
      </c>
      <c r="N29" s="150">
        <f>COUNTIF(P29:AQ29,"TAD")</f>
        <v/>
      </c>
      <c r="O29" s="150">
        <f>COUNTIF(P29:AQ29,"TP")</f>
        <v/>
      </c>
      <c r="P29" s="261" t="n"/>
      <c r="Q29" s="30" t="n"/>
      <c r="R29" s="8" t="n"/>
      <c r="S29" s="8" t="n"/>
      <c r="T29" s="8" t="n"/>
      <c r="U29" s="8" t="n"/>
      <c r="V29" s="121" t="n"/>
      <c r="W29" s="121" t="n"/>
      <c r="X29" s="8" t="n"/>
      <c r="Y29" s="8" t="n"/>
      <c r="Z29" s="8" t="n"/>
      <c r="AA29" s="8" t="n"/>
      <c r="AB29" s="8" t="n"/>
      <c r="AC29" s="121" t="n"/>
      <c r="AD29" s="121" t="n"/>
      <c r="AE29" s="8" t="n"/>
      <c r="AF29" s="8" t="n"/>
      <c r="AG29" s="8" t="n"/>
      <c r="AH29" s="8" t="n"/>
      <c r="AI29" s="8" t="n"/>
      <c r="AJ29" s="121" t="n"/>
      <c r="AK29" s="121" t="n"/>
      <c r="AL29" s="8" t="n"/>
      <c r="AM29" s="8" t="n"/>
      <c r="AN29" s="8" t="n"/>
      <c r="AO29" s="8" t="n"/>
      <c r="AP29" s="8" t="n"/>
      <c r="AQ29" s="12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COUNTIF(P31:AQ31,"p")</f>
        <v/>
      </c>
      <c r="E31" s="150">
        <f>COUNTIF(P31:AQ31,"PC")</f>
        <v/>
      </c>
      <c r="F31" s="150">
        <f>COUNTIF(P31:AQ31,"f")</f>
        <v/>
      </c>
      <c r="G31" s="150">
        <f>COUNTIF(P31:AQ31,"ast")</f>
        <v/>
      </c>
      <c r="H31" s="150">
        <f>COUNTIF(P31:AQ31,"cA")</f>
        <v/>
      </c>
      <c r="I31" s="150">
        <f>COUNTIF(P31:AQ31,"rtt")</f>
        <v/>
      </c>
      <c r="J31" s="150">
        <f>COUNTIF(P31:AQ31,"cex")</f>
        <v/>
      </c>
      <c r="K31" s="150">
        <f>COUNTIF(P31:AQ31,"res")</f>
        <v/>
      </c>
      <c r="L31" s="150">
        <f>COUNTIF(P31:AQ31,"mA")</f>
        <v/>
      </c>
      <c r="M31" s="150">
        <f>COUNTIF(P31:AQ31,"at")</f>
        <v/>
      </c>
      <c r="N31" s="150">
        <f>COUNTIF(P31:AQ31,"TAD")</f>
        <v/>
      </c>
      <c r="O31" s="150">
        <f>COUNTIF(P31:AQ31,"TP")</f>
        <v/>
      </c>
      <c r="P31" s="261" t="n"/>
      <c r="Q31" s="30" t="n"/>
      <c r="R31" s="8" t="n"/>
      <c r="S31" s="8" t="n"/>
      <c r="T31" s="8" t="n"/>
      <c r="U31" s="8" t="n"/>
      <c r="V31" s="121" t="n"/>
      <c r="W31" s="121" t="n"/>
      <c r="X31" s="8" t="n"/>
      <c r="Y31" s="8" t="n"/>
      <c r="Z31" s="8" t="n"/>
      <c r="AA31" s="8" t="n"/>
      <c r="AB31" s="8" t="n"/>
      <c r="AC31" s="121" t="n"/>
      <c r="AD31" s="121" t="n"/>
      <c r="AE31" s="8" t="n"/>
      <c r="AF31" s="8" t="n"/>
      <c r="AG31" s="8" t="n"/>
      <c r="AH31" s="8" t="n"/>
      <c r="AI31" s="8" t="n"/>
      <c r="AJ31" s="121" t="n"/>
      <c r="AK31" s="121" t="n"/>
      <c r="AL31" s="8" t="n"/>
      <c r="AM31" s="8" t="n"/>
      <c r="AN31" s="8" t="n"/>
      <c r="AO31" s="8" t="n"/>
      <c r="AP31" s="8" t="n"/>
      <c r="AQ31" s="121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COUNTIF(P32:AQ32,"p")</f>
        <v/>
      </c>
      <c r="E32" s="150">
        <f>COUNTIF(P32:AQ32,"PC")</f>
        <v/>
      </c>
      <c r="F32" s="150">
        <f>COUNTIF(P32:AQ32,"f")</f>
        <v/>
      </c>
      <c r="G32" s="150">
        <f>COUNTIF(P32:AQ32,"ast")</f>
        <v/>
      </c>
      <c r="H32" s="150">
        <f>COUNTIF(P32:AQ32,"cA")</f>
        <v/>
      </c>
      <c r="I32" s="150">
        <f>COUNTIF(P32:AQ32,"rtt")</f>
        <v/>
      </c>
      <c r="J32" s="150">
        <f>COUNTIF(P32:AQ32,"cex")</f>
        <v/>
      </c>
      <c r="K32" s="150">
        <f>COUNTIF(P32:AQ32,"res")</f>
        <v/>
      </c>
      <c r="L32" s="150">
        <f>COUNTIF(P32:AQ32,"mA")</f>
        <v/>
      </c>
      <c r="M32" s="150">
        <f>COUNTIF(P32:AQ32,"at")</f>
        <v/>
      </c>
      <c r="N32" s="150">
        <f>COUNTIF(P32:AQ32,"TAD")</f>
        <v/>
      </c>
      <c r="O32" s="150">
        <f>COUNTIF(P32:AQ32,"TP")</f>
        <v/>
      </c>
      <c r="P32" s="261" t="n"/>
      <c r="Q32" s="30" t="n"/>
      <c r="R32" s="8" t="n"/>
      <c r="S32" s="8" t="n"/>
      <c r="T32" s="8" t="n"/>
      <c r="U32" s="8" t="n"/>
      <c r="V32" s="121" t="n"/>
      <c r="W32" s="121" t="n"/>
      <c r="X32" s="8" t="n"/>
      <c r="Y32" s="8" t="n"/>
      <c r="Z32" s="8" t="n"/>
      <c r="AA32" s="8" t="n"/>
      <c r="AB32" s="8" t="n"/>
      <c r="AC32" s="121" t="n"/>
      <c r="AD32" s="121" t="n"/>
      <c r="AE32" s="8" t="n"/>
      <c r="AF32" s="8" t="n"/>
      <c r="AG32" s="8" t="n"/>
      <c r="AH32" s="8" t="n"/>
      <c r="AI32" s="8" t="n"/>
      <c r="AJ32" s="121" t="n"/>
      <c r="AK32" s="121" t="n"/>
      <c r="AL32" s="8" t="n"/>
      <c r="AM32" s="8" t="n"/>
      <c r="AN32" s="8" t="n"/>
      <c r="AO32" s="8" t="n"/>
      <c r="AP32" s="8" t="n"/>
      <c r="AQ32" s="121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COUNTIF(P33:AQ33,"p")</f>
        <v/>
      </c>
      <c r="E33" s="150">
        <f>COUNTIF(P33:AQ33,"PC")</f>
        <v/>
      </c>
      <c r="F33" s="150">
        <f>COUNTIF(P33:AQ33,"f")</f>
        <v/>
      </c>
      <c r="G33" s="150">
        <f>COUNTIF(P33:AQ33,"ast")</f>
        <v/>
      </c>
      <c r="H33" s="150">
        <f>COUNTIF(P33:AQ33,"cA")</f>
        <v/>
      </c>
      <c r="I33" s="150">
        <f>COUNTIF(P33:AQ33,"rtt")</f>
        <v/>
      </c>
      <c r="J33" s="150">
        <f>COUNTIF(P33:AQ33,"cex")</f>
        <v/>
      </c>
      <c r="K33" s="150">
        <f>COUNTIF(P33:AQ33,"res")</f>
        <v/>
      </c>
      <c r="L33" s="150">
        <f>COUNTIF(P33:AQ33,"mA")</f>
        <v/>
      </c>
      <c r="M33" s="150">
        <f>COUNTIF(P33:AQ33,"at")</f>
        <v/>
      </c>
      <c r="N33" s="150">
        <f>COUNTIF(P33:AQ33,"TAD")</f>
        <v/>
      </c>
      <c r="O33" s="150">
        <f>COUNTIF(P33:AQ33,"TP")</f>
        <v/>
      </c>
      <c r="P33" s="261" t="n"/>
      <c r="Q33" s="30" t="n"/>
      <c r="R33" s="8" t="n"/>
      <c r="S33" s="8" t="n"/>
      <c r="T33" s="8" t="n"/>
      <c r="U33" s="8" t="n"/>
      <c r="V33" s="121" t="n"/>
      <c r="W33" s="121" t="n"/>
      <c r="X33" s="8" t="n"/>
      <c r="Y33" s="8" t="n"/>
      <c r="Z33" s="8" t="n"/>
      <c r="AA33" s="8" t="n"/>
      <c r="AB33" s="8" t="n"/>
      <c r="AC33" s="121" t="n"/>
      <c r="AD33" s="121" t="n"/>
      <c r="AE33" s="8" t="n"/>
      <c r="AF33" s="8" t="n"/>
      <c r="AG33" s="8" t="n"/>
      <c r="AH33" s="8" t="n"/>
      <c r="AI33" s="8" t="n"/>
      <c r="AJ33" s="121" t="n"/>
      <c r="AK33" s="121" t="n"/>
      <c r="AL33" s="8" t="n"/>
      <c r="AM33" s="8" t="n"/>
      <c r="AN33" s="8" t="n"/>
      <c r="AO33" s="8" t="n"/>
      <c r="AP33" s="8" t="n"/>
      <c r="AQ33" s="121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COUNTIF(P34:AQ34,"p")</f>
        <v/>
      </c>
      <c r="E34" s="150">
        <f>COUNTIF(P34:AQ34,"PC")</f>
        <v/>
      </c>
      <c r="F34" s="150">
        <f>COUNTIF(P34:AQ34,"f")</f>
        <v/>
      </c>
      <c r="G34" s="150">
        <f>COUNTIF(P34:AQ34,"ast")</f>
        <v/>
      </c>
      <c r="H34" s="150">
        <f>COUNTIF(P34:AQ34,"cA")</f>
        <v/>
      </c>
      <c r="I34" s="150">
        <f>COUNTIF(P34:AQ34,"rtt")</f>
        <v/>
      </c>
      <c r="J34" s="150">
        <f>COUNTIF(P34:AQ34,"cex")</f>
        <v/>
      </c>
      <c r="K34" s="150">
        <f>COUNTIF(P34:AQ34,"res")</f>
        <v/>
      </c>
      <c r="L34" s="150">
        <f>COUNTIF(P34:AQ34,"mA")</f>
        <v/>
      </c>
      <c r="M34" s="150">
        <f>COUNTIF(P34:AQ34,"at")</f>
        <v/>
      </c>
      <c r="N34" s="150">
        <f>COUNTIF(P34:AQ34,"TAD")</f>
        <v/>
      </c>
      <c r="O34" s="150">
        <f>COUNTIF(P34:AQ34,"TP")</f>
        <v/>
      </c>
      <c r="P34" s="261" t="n"/>
      <c r="Q34" s="30" t="n"/>
      <c r="R34" s="8" t="n"/>
      <c r="S34" s="8" t="n"/>
      <c r="T34" s="8" t="n"/>
      <c r="U34" s="8" t="n"/>
      <c r="V34" s="121" t="n"/>
      <c r="W34" s="121" t="n"/>
      <c r="X34" s="8" t="n"/>
      <c r="Y34" s="8" t="n"/>
      <c r="Z34" s="8" t="n"/>
      <c r="AA34" s="8" t="n"/>
      <c r="AB34" s="8" t="n"/>
      <c r="AC34" s="121" t="n"/>
      <c r="AD34" s="121" t="n"/>
      <c r="AE34" s="8" t="n"/>
      <c r="AF34" s="8" t="n"/>
      <c r="AG34" s="8" t="n"/>
      <c r="AH34" s="8" t="n"/>
      <c r="AI34" s="8" t="n"/>
      <c r="AJ34" s="121" t="n"/>
      <c r="AK34" s="121" t="n"/>
      <c r="AL34" s="8" t="n"/>
      <c r="AM34" s="8" t="n"/>
      <c r="AN34" s="8" t="n"/>
      <c r="AO34" s="8" t="n"/>
      <c r="AP34" s="8" t="n"/>
      <c r="AQ34" s="121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COUNTIF(P35:AQ35,"p")</f>
        <v/>
      </c>
      <c r="E35" s="150">
        <f>COUNTIF(P35:AQ35,"PC")</f>
        <v/>
      </c>
      <c r="F35" s="150">
        <f>COUNTIF(P35:AQ35,"f")</f>
        <v/>
      </c>
      <c r="G35" s="150">
        <f>COUNTIF(P35:AQ35,"ast")</f>
        <v/>
      </c>
      <c r="H35" s="150">
        <f>COUNTIF(P35:AQ35,"cA")</f>
        <v/>
      </c>
      <c r="I35" s="150">
        <f>COUNTIF(P35:AQ35,"rtt")</f>
        <v/>
      </c>
      <c r="J35" s="150">
        <f>COUNTIF(P35:AQ35,"cex")</f>
        <v/>
      </c>
      <c r="K35" s="150">
        <f>COUNTIF(P35:AQ35,"res")</f>
        <v/>
      </c>
      <c r="L35" s="150">
        <f>COUNTIF(P35:AQ35,"mA")</f>
        <v/>
      </c>
      <c r="M35" s="150">
        <f>COUNTIF(P35:AQ35,"at")</f>
        <v/>
      </c>
      <c r="N35" s="150">
        <f>COUNTIF(P35:AQ35,"TAD")</f>
        <v/>
      </c>
      <c r="O35" s="150">
        <f>COUNTIF(P35:AQ35,"TP")</f>
        <v/>
      </c>
      <c r="P35" s="261" t="n"/>
      <c r="Q35" s="30" t="n"/>
      <c r="R35" s="8" t="n"/>
      <c r="S35" s="8" t="n"/>
      <c r="T35" s="8" t="n"/>
      <c r="U35" s="8" t="n"/>
      <c r="V35" s="121" t="n"/>
      <c r="W35" s="121" t="n"/>
      <c r="X35" s="8" t="n"/>
      <c r="Y35" s="8" t="n"/>
      <c r="Z35" s="8" t="n"/>
      <c r="AA35" s="8" t="n"/>
      <c r="AB35" s="8" t="n"/>
      <c r="AC35" s="121" t="n"/>
      <c r="AD35" s="121" t="n"/>
      <c r="AE35" s="8" t="n"/>
      <c r="AF35" s="8" t="n"/>
      <c r="AG35" s="8" t="n"/>
      <c r="AH35" s="8" t="n"/>
      <c r="AI35" s="8" t="n"/>
      <c r="AJ35" s="121" t="n"/>
      <c r="AK35" s="121" t="n"/>
      <c r="AL35" s="8" t="n"/>
      <c r="AM35" s="8" t="n"/>
      <c r="AN35" s="8" t="n"/>
      <c r="AO35" s="8" t="n"/>
      <c r="AP35" s="8" t="n"/>
      <c r="AQ35" s="121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COUNTIF(P36:AQ36,"p")</f>
        <v/>
      </c>
      <c r="E36" s="150">
        <f>COUNTIF(P36:AQ36,"PC")</f>
        <v/>
      </c>
      <c r="F36" s="150">
        <f>COUNTIF(P36:AQ36,"f")</f>
        <v/>
      </c>
      <c r="G36" s="150">
        <f>COUNTIF(P36:AQ36,"ast")</f>
        <v/>
      </c>
      <c r="H36" s="150">
        <f>COUNTIF(P36:AQ36,"cA")</f>
        <v/>
      </c>
      <c r="I36" s="150">
        <f>COUNTIF(P36:AQ36,"rtt")</f>
        <v/>
      </c>
      <c r="J36" s="150">
        <f>COUNTIF(P36:AQ36,"cex")</f>
        <v/>
      </c>
      <c r="K36" s="150">
        <f>COUNTIF(P36:AQ36,"res")</f>
        <v/>
      </c>
      <c r="L36" s="150">
        <f>COUNTIF(P36:AQ36,"mA")</f>
        <v/>
      </c>
      <c r="M36" s="150">
        <f>COUNTIF(P36:AQ36,"at")</f>
        <v/>
      </c>
      <c r="N36" s="150">
        <f>COUNTIF(P36:AQ36,"TAD")</f>
        <v/>
      </c>
      <c r="O36" s="150">
        <f>COUNTIF(P36:AQ36,"TP")</f>
        <v/>
      </c>
      <c r="P36" s="261" t="n"/>
      <c r="Q36" s="30" t="n"/>
      <c r="R36" s="8" t="n"/>
      <c r="S36" s="8" t="n"/>
      <c r="T36" s="8" t="n"/>
      <c r="U36" s="8" t="n"/>
      <c r="V36" s="121" t="n"/>
      <c r="W36" s="121" t="n"/>
      <c r="X36" s="8" t="n"/>
      <c r="Y36" s="8" t="n"/>
      <c r="Z36" s="8" t="n"/>
      <c r="AA36" s="8" t="n"/>
      <c r="AB36" s="8" t="n"/>
      <c r="AC36" s="121" t="n"/>
      <c r="AD36" s="121" t="n"/>
      <c r="AE36" s="8" t="n"/>
      <c r="AF36" s="8" t="n"/>
      <c r="AG36" s="8" t="n"/>
      <c r="AH36" s="8" t="n"/>
      <c r="AI36" s="8" t="n"/>
      <c r="AJ36" s="121" t="n"/>
      <c r="AK36" s="121" t="n"/>
      <c r="AL36" s="8" t="n"/>
      <c r="AM36" s="8" t="n"/>
      <c r="AN36" s="8" t="n"/>
      <c r="AO36" s="8" t="n"/>
      <c r="AP36" s="8" t="n"/>
      <c r="AQ36" s="121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S38" s="345" t="inlineStr">
        <is>
          <t>VOIRIE</t>
        </is>
      </c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COUNTIF(P39:AQ39,"p")</f>
        <v/>
      </c>
      <c r="E39" s="28">
        <f>COUNTIF(P39:AQ39,"PC")</f>
        <v/>
      </c>
      <c r="F39" s="28">
        <f>COUNTIF(P39:AQ39,"f")</f>
        <v/>
      </c>
      <c r="G39" s="28">
        <f>COUNTIF(P39:AQ39,"ast")</f>
        <v/>
      </c>
      <c r="H39" s="28">
        <f>COUNTIF(P39:AQ39,"cA")</f>
        <v/>
      </c>
      <c r="I39" s="28">
        <f>COUNTIF(P39:AQ39,"rtt")</f>
        <v/>
      </c>
      <c r="J39" s="28">
        <f>COUNTIF(P39:AQ39,"cex")</f>
        <v/>
      </c>
      <c r="K39" s="28">
        <f>COUNTIF(P39:AQ39,"res")</f>
        <v/>
      </c>
      <c r="L39" s="28">
        <f>COUNTIF(P39:AQ39,"mA")</f>
        <v/>
      </c>
      <c r="M39" s="28">
        <f>COUNTIF(P39:AQ39,"at")</f>
        <v/>
      </c>
      <c r="N39" s="28">
        <f>COUNTIF(P39:AQ39,"TAD")</f>
        <v/>
      </c>
      <c r="O39" s="119">
        <f>COUNTIF(P39:AQ39,"TP")</f>
        <v/>
      </c>
      <c r="P39" s="242" t="n"/>
      <c r="Q39" s="28" t="n"/>
      <c r="R39" s="28" t="n"/>
      <c r="S39" s="28" t="n"/>
      <c r="T39" s="28" t="n"/>
      <c r="U39" s="28" t="n"/>
      <c r="V39" s="113" t="n"/>
      <c r="W39" s="113" t="n"/>
      <c r="X39" s="28" t="n"/>
      <c r="Y39" s="28" t="n"/>
      <c r="Z39" s="28" t="n"/>
      <c r="AA39" s="28" t="n"/>
      <c r="AB39" s="28" t="n"/>
      <c r="AC39" s="113" t="n"/>
      <c r="AD39" s="113" t="n"/>
      <c r="AE39" s="28" t="n"/>
      <c r="AF39" s="28" t="n"/>
      <c r="AG39" s="28" t="n"/>
      <c r="AH39" s="28" t="n"/>
      <c r="AI39" s="28" t="n"/>
      <c r="AJ39" s="113" t="n"/>
      <c r="AK39" s="113" t="n"/>
      <c r="AL39" s="28" t="n"/>
      <c r="AM39" s="28" t="n"/>
      <c r="AN39" s="28" t="n"/>
      <c r="AO39" s="28" t="n"/>
      <c r="AP39" s="28" t="n"/>
      <c r="AQ39" s="151" t="n"/>
      <c r="AS39" s="197" t="inlineStr">
        <is>
          <t>P</t>
        </is>
      </c>
      <c r="AT39" s="105" t="inlineStr">
        <is>
          <t>PC</t>
        </is>
      </c>
      <c r="AU39" s="12" t="inlineStr">
        <is>
          <t>F</t>
        </is>
      </c>
      <c r="AV39" s="106" t="inlineStr">
        <is>
          <t>AST</t>
        </is>
      </c>
      <c r="AW39" s="10" t="inlineStr">
        <is>
          <t>CA</t>
        </is>
      </c>
      <c r="AX39" s="107" t="inlineStr">
        <is>
          <t>RTT</t>
        </is>
      </c>
      <c r="AY39" s="11" t="inlineStr">
        <is>
          <t>CEX</t>
        </is>
      </c>
      <c r="AZ39" s="108" t="inlineStr">
        <is>
          <t>R</t>
        </is>
      </c>
      <c r="BA39" s="109" t="inlineStr">
        <is>
          <t>M</t>
        </is>
      </c>
      <c r="BB39" s="110" t="inlineStr">
        <is>
          <t>AT</t>
        </is>
      </c>
      <c r="BC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COUNTIF(P40:AQ40,"p")</f>
        <v/>
      </c>
      <c r="E40" s="28">
        <f>COUNTIF(P40:AQ40,"PC")</f>
        <v/>
      </c>
      <c r="F40" s="28">
        <f>COUNTIF(P40:AQ40,"f")</f>
        <v/>
      </c>
      <c r="G40" s="28">
        <f>COUNTIF(P40:AQ40,"ast")</f>
        <v/>
      </c>
      <c r="H40" s="28">
        <f>COUNTIF(P40:AQ40,"cA")</f>
        <v/>
      </c>
      <c r="I40" s="28">
        <f>COUNTIF(P40:AQ40,"rtt")</f>
        <v/>
      </c>
      <c r="J40" s="28">
        <f>COUNTIF(P40:AQ40,"cex")</f>
        <v/>
      </c>
      <c r="K40" s="28">
        <f>COUNTIF(P40:AQ40,"res")</f>
        <v/>
      </c>
      <c r="L40" s="28">
        <f>COUNTIF(P40:AQ40,"mA")</f>
        <v/>
      </c>
      <c r="M40" s="28">
        <f>COUNTIF(P40:AQ40,"at")</f>
        <v/>
      </c>
      <c r="N40" s="28">
        <f>COUNTIF(P40:AQ40,"TAD")</f>
        <v/>
      </c>
      <c r="O40" s="119">
        <f>COUNTIF(P40:AQ40,"TP")</f>
        <v/>
      </c>
      <c r="P40" s="245" t="n"/>
      <c r="Q40" s="8" t="inlineStr">
        <is>
          <t>PC</t>
        </is>
      </c>
      <c r="R40" s="8" t="n"/>
      <c r="S40" s="8" t="n"/>
      <c r="T40" s="8" t="n"/>
      <c r="U40" s="8" t="n"/>
      <c r="V40" s="121" t="n"/>
      <c r="W40" s="121" t="n"/>
      <c r="X40" s="8" t="n"/>
      <c r="Y40" s="8" t="n"/>
      <c r="Z40" s="8" t="n"/>
      <c r="AA40" s="8" t="n"/>
      <c r="AB40" s="8" t="n"/>
      <c r="AC40" s="121" t="n"/>
      <c r="AD40" s="121" t="n"/>
      <c r="AE40" s="8" t="n"/>
      <c r="AF40" s="8" t="n"/>
      <c r="AG40" s="8" t="n"/>
      <c r="AH40" s="8" t="n"/>
      <c r="AI40" s="8" t="n"/>
      <c r="AJ40" s="121" t="n"/>
      <c r="AK40" s="121" t="n"/>
      <c r="AL40" s="8" t="n"/>
      <c r="AM40" s="8" t="n"/>
      <c r="AN40" s="8" t="n"/>
      <c r="AO40" s="8" t="n"/>
      <c r="AP40" s="8" t="n"/>
      <c r="AQ40" s="152" t="n"/>
      <c r="AR40" s="27" t="n"/>
      <c r="AS40" s="27">
        <f>COUNTIF(P39:AQ49,"p")</f>
        <v/>
      </c>
      <c r="AT40" s="27">
        <f>COUNTIF(P39:AQ49,"pc")</f>
        <v/>
      </c>
      <c r="AU40" s="27">
        <f>COUNTIF(P39:AQ49,"f")</f>
        <v/>
      </c>
      <c r="AV40" s="27">
        <f>COUNTIF(P39:AQ49,"ast")</f>
        <v/>
      </c>
      <c r="AW40" s="27">
        <f>COUNTIF(P39:AQ49,"cA")</f>
        <v/>
      </c>
      <c r="AX40" s="27">
        <f>COUNTIF(P39:AQ49,"rtt")</f>
        <v/>
      </c>
      <c r="AY40" s="27">
        <f>COUNTIF(P39:AQ49,"cex")</f>
        <v/>
      </c>
      <c r="AZ40" s="27">
        <f>COUNTIF(P39:AQ49,"RES")</f>
        <v/>
      </c>
      <c r="BA40" s="27">
        <f>COUNTIF(P39:AQ49,"MA")</f>
        <v/>
      </c>
      <c r="BB40" s="27">
        <f>COUNTIF(P39:AQ49,"at")</f>
        <v/>
      </c>
      <c r="BC40" s="27">
        <f>COUNTIF(P39:AQ49,"TP")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COUNTIF(P41:AQ41,"p")</f>
        <v/>
      </c>
      <c r="E41" s="28">
        <f>COUNTIF(P41:AQ41,"PC")</f>
        <v/>
      </c>
      <c r="F41" s="28">
        <f>COUNTIF(P41:AQ41,"f")</f>
        <v/>
      </c>
      <c r="G41" s="28">
        <f>COUNTIF(P41:AQ41,"ast")</f>
        <v/>
      </c>
      <c r="H41" s="28">
        <f>COUNTIF(P41:AQ41,"cA")</f>
        <v/>
      </c>
      <c r="I41" s="28">
        <f>COUNTIF(P41:AQ41,"rtt")</f>
        <v/>
      </c>
      <c r="J41" s="28">
        <f>COUNTIF(P41:AQ41,"cex")</f>
        <v/>
      </c>
      <c r="K41" s="28">
        <f>COUNTIF(P41:AQ41,"res")</f>
        <v/>
      </c>
      <c r="L41" s="28">
        <f>COUNTIF(P41:AQ41,"mA")</f>
        <v/>
      </c>
      <c r="M41" s="28">
        <f>COUNTIF(P41:AQ41,"at")</f>
        <v/>
      </c>
      <c r="N41" s="28">
        <f>COUNTIF(P41:AQ41,"TAD")</f>
        <v/>
      </c>
      <c r="O41" s="119">
        <f>COUNTIF(P41:AQ41,"TP")</f>
        <v/>
      </c>
      <c r="P41" s="245" t="n"/>
      <c r="Q41" s="8" t="n"/>
      <c r="R41" s="8" t="n"/>
      <c r="S41" s="8" t="n"/>
      <c r="T41" s="8" t="n"/>
      <c r="U41" s="8" t="n"/>
      <c r="V41" s="121" t="n"/>
      <c r="W41" s="121" t="n"/>
      <c r="X41" s="8" t="n"/>
      <c r="Y41" s="8" t="n"/>
      <c r="Z41" s="8" t="n"/>
      <c r="AA41" s="8" t="n"/>
      <c r="AB41" s="8" t="n"/>
      <c r="AC41" s="121" t="n"/>
      <c r="AD41" s="121" t="n"/>
      <c r="AE41" s="8" t="n"/>
      <c r="AF41" s="8" t="n"/>
      <c r="AG41" s="8" t="n"/>
      <c r="AH41" s="8" t="n"/>
      <c r="AI41" s="8" t="n"/>
      <c r="AJ41" s="121" t="n"/>
      <c r="AK41" s="121" t="n"/>
      <c r="AL41" s="8" t="n"/>
      <c r="AM41" s="8" t="n"/>
      <c r="AN41" s="8" t="n"/>
      <c r="AO41" s="8" t="n"/>
      <c r="AP41" s="8" t="n"/>
      <c r="AQ41" s="152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COUNTIF(P42:AQ42,"p")</f>
        <v/>
      </c>
      <c r="E42" s="28">
        <f>COUNTIF(P42:AQ42,"PC")</f>
        <v/>
      </c>
      <c r="F42" s="28">
        <f>COUNTIF(P42:AQ42,"f")</f>
        <v/>
      </c>
      <c r="G42" s="28">
        <f>COUNTIF(P42:AQ42,"ast")</f>
        <v/>
      </c>
      <c r="H42" s="28">
        <f>COUNTIF(P42:AQ42,"cA")</f>
        <v/>
      </c>
      <c r="I42" s="28">
        <f>COUNTIF(P42:AQ42,"rtt")</f>
        <v/>
      </c>
      <c r="J42" s="28">
        <f>COUNTIF(P42:AQ42,"cex")</f>
        <v/>
      </c>
      <c r="K42" s="28">
        <f>COUNTIF(P42:AQ42,"res")</f>
        <v/>
      </c>
      <c r="L42" s="28">
        <f>COUNTIF(P42:AQ42,"mA")</f>
        <v/>
      </c>
      <c r="M42" s="28">
        <f>COUNTIF(P42:AQ42,"at")</f>
        <v/>
      </c>
      <c r="N42" s="28">
        <f>COUNTIF(P42:AQ42,"TAD")</f>
        <v/>
      </c>
      <c r="O42" s="119">
        <f>COUNTIF(P42:AQ42,"TP")</f>
        <v/>
      </c>
      <c r="P42" s="245" t="n"/>
      <c r="Q42" s="8" t="n"/>
      <c r="R42" s="8" t="n"/>
      <c r="S42" s="8" t="n"/>
      <c r="T42" s="8" t="n"/>
      <c r="U42" s="8" t="n"/>
      <c r="V42" s="121" t="n"/>
      <c r="W42" s="121" t="n"/>
      <c r="X42" s="8" t="n"/>
      <c r="Y42" s="8" t="n"/>
      <c r="Z42" s="8" t="n"/>
      <c r="AA42" s="8" t="n"/>
      <c r="AB42" s="8" t="n"/>
      <c r="AC42" s="121" t="n"/>
      <c r="AD42" s="121" t="n"/>
      <c r="AE42" s="8" t="n"/>
      <c r="AF42" s="8" t="n"/>
      <c r="AG42" s="8" t="n"/>
      <c r="AH42" s="8" t="n"/>
      <c r="AI42" s="8" t="n"/>
      <c r="AJ42" s="121" t="n"/>
      <c r="AK42" s="121" t="n"/>
      <c r="AL42" s="8" t="n"/>
      <c r="AM42" s="8" t="n"/>
      <c r="AN42" s="8" t="n"/>
      <c r="AO42" s="8" t="n"/>
      <c r="AP42" s="8" t="n"/>
      <c r="AQ42" s="152" t="n"/>
      <c r="AR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COUNTIF(P43:AQ43,"p")</f>
        <v/>
      </c>
      <c r="E43" s="28">
        <f>COUNTIF(P43:AQ43,"PC")</f>
        <v/>
      </c>
      <c r="F43" s="28">
        <f>COUNTIF(P43:AQ43,"f")</f>
        <v/>
      </c>
      <c r="G43" s="28">
        <f>COUNTIF(P43:AQ43,"ast")</f>
        <v/>
      </c>
      <c r="H43" s="28">
        <f>COUNTIF(P43:AQ43,"cA")</f>
        <v/>
      </c>
      <c r="I43" s="28">
        <f>COUNTIF(P43:AQ43,"rtt")</f>
        <v/>
      </c>
      <c r="J43" s="28">
        <f>COUNTIF(P43:AQ43,"cex")</f>
        <v/>
      </c>
      <c r="K43" s="28">
        <f>COUNTIF(P43:AQ43,"res")</f>
        <v/>
      </c>
      <c r="L43" s="28">
        <f>COUNTIF(P43:AQ43,"mA")</f>
        <v/>
      </c>
      <c r="M43" s="28">
        <f>COUNTIF(P43:AQ43,"at")</f>
        <v/>
      </c>
      <c r="N43" s="28">
        <f>COUNTIF(P43:AQ43,"TAD")</f>
        <v/>
      </c>
      <c r="O43" s="119">
        <f>COUNTIF(P43:AQ43,"TP")</f>
        <v/>
      </c>
      <c r="P43" s="245" t="n"/>
      <c r="Q43" s="8" t="n"/>
      <c r="R43" s="8" t="n"/>
      <c r="S43" s="8" t="n"/>
      <c r="T43" s="8" t="n"/>
      <c r="U43" s="8" t="n"/>
      <c r="V43" s="121" t="n"/>
      <c r="W43" s="121" t="n"/>
      <c r="X43" s="8" t="n"/>
      <c r="Y43" s="8" t="n"/>
      <c r="Z43" s="8" t="n"/>
      <c r="AA43" s="8" t="n"/>
      <c r="AB43" s="8" t="n"/>
      <c r="AC43" s="121" t="n"/>
      <c r="AD43" s="121" t="n"/>
      <c r="AE43" s="8" t="n"/>
      <c r="AF43" s="8" t="n"/>
      <c r="AG43" s="8" t="n"/>
      <c r="AH43" s="8" t="n"/>
      <c r="AI43" s="8" t="n"/>
      <c r="AJ43" s="121" t="n"/>
      <c r="AK43" s="121" t="n"/>
      <c r="AL43" s="8" t="n"/>
      <c r="AM43" s="8" t="n"/>
      <c r="AN43" s="8" t="n"/>
      <c r="AO43" s="8" t="n"/>
      <c r="AP43" s="8" t="n"/>
      <c r="AQ43" s="152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COUNTIF(P44:AQ44,"p")</f>
        <v/>
      </c>
      <c r="E44" s="28">
        <f>COUNTIF(P44:AQ44,"PC")</f>
        <v/>
      </c>
      <c r="F44" s="28">
        <f>COUNTIF(P44:AQ44,"f")</f>
        <v/>
      </c>
      <c r="G44" s="28">
        <f>COUNTIF(P44:AQ44,"ast")</f>
        <v/>
      </c>
      <c r="H44" s="28">
        <f>COUNTIF(P44:AQ44,"cA")</f>
        <v/>
      </c>
      <c r="I44" s="28">
        <f>COUNTIF(P44:AQ44,"rtt")</f>
        <v/>
      </c>
      <c r="J44" s="28">
        <f>COUNTIF(P44:AQ44,"cex")</f>
        <v/>
      </c>
      <c r="K44" s="28">
        <f>COUNTIF(P44:AQ44,"res")</f>
        <v/>
      </c>
      <c r="L44" s="28">
        <f>COUNTIF(P44:AQ44,"mA")</f>
        <v/>
      </c>
      <c r="M44" s="28">
        <f>COUNTIF(P44:AQ44,"at")</f>
        <v/>
      </c>
      <c r="N44" s="28">
        <f>COUNTIF(P44:AQ44,"TAD")</f>
        <v/>
      </c>
      <c r="O44" s="119">
        <f>COUNTIF(P44:AQ44,"TP")</f>
        <v/>
      </c>
      <c r="P44" s="245" t="n"/>
      <c r="Q44" s="8" t="n"/>
      <c r="R44" s="8" t="n"/>
      <c r="S44" s="8" t="n"/>
      <c r="T44" s="8" t="n"/>
      <c r="U44" s="8" t="n"/>
      <c r="V44" s="121" t="n"/>
      <c r="W44" s="121" t="n"/>
      <c r="X44" s="8" t="n"/>
      <c r="Y44" s="8" t="n"/>
      <c r="Z44" s="8" t="n"/>
      <c r="AA44" s="8" t="n"/>
      <c r="AB44" s="8" t="n"/>
      <c r="AC44" s="121" t="n"/>
      <c r="AD44" s="121" t="n"/>
      <c r="AE44" s="8" t="n"/>
      <c r="AF44" s="8" t="n"/>
      <c r="AG44" s="8" t="n"/>
      <c r="AH44" s="8" t="n"/>
      <c r="AI44" s="8" t="n"/>
      <c r="AJ44" s="121" t="n"/>
      <c r="AK44" s="121" t="n"/>
      <c r="AL44" s="8" t="n"/>
      <c r="AM44" s="8" t="n"/>
      <c r="AN44" s="8" t="n"/>
      <c r="AO44" s="8" t="n"/>
      <c r="AP44" s="8" t="n"/>
      <c r="AQ44" s="152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COUNTIF(P45:AQ45,"p")</f>
        <v/>
      </c>
      <c r="E45" s="28">
        <f>COUNTIF(P45:AQ45,"PC")</f>
        <v/>
      </c>
      <c r="F45" s="28">
        <f>COUNTIF(P45:AQ45,"f")</f>
        <v/>
      </c>
      <c r="G45" s="28">
        <f>COUNTIF(P45:AQ45,"ast")</f>
        <v/>
      </c>
      <c r="H45" s="28">
        <f>COUNTIF(P45:AQ45,"cA")</f>
        <v/>
      </c>
      <c r="I45" s="28">
        <f>COUNTIF(P45:AQ45,"rtt")</f>
        <v/>
      </c>
      <c r="J45" s="28">
        <f>COUNTIF(P45:AQ45,"cex")</f>
        <v/>
      </c>
      <c r="K45" s="28">
        <f>COUNTIF(P45:AQ45,"res")</f>
        <v/>
      </c>
      <c r="L45" s="28">
        <f>COUNTIF(P45:AQ45,"mA")</f>
        <v/>
      </c>
      <c r="M45" s="28">
        <f>COUNTIF(P45:AQ45,"at")</f>
        <v/>
      </c>
      <c r="N45" s="28">
        <f>COUNTIF(P45:AQ45,"TAD")</f>
        <v/>
      </c>
      <c r="O45" s="119">
        <f>COUNTIF(P45:AQ45,"TP")</f>
        <v/>
      </c>
      <c r="P45" s="245" t="inlineStr">
        <is>
          <t>AT</t>
        </is>
      </c>
      <c r="Q45" s="154" t="inlineStr">
        <is>
          <t>AT</t>
        </is>
      </c>
      <c r="R45" s="154" t="inlineStr">
        <is>
          <t>AT</t>
        </is>
      </c>
      <c r="S45" s="154" t="inlineStr">
        <is>
          <t>AT</t>
        </is>
      </c>
      <c r="T45" s="154" t="inlineStr">
        <is>
          <t>AT</t>
        </is>
      </c>
      <c r="U45" s="154" t="inlineStr">
        <is>
          <t>AT</t>
        </is>
      </c>
      <c r="V45" s="154" t="inlineStr">
        <is>
          <t>AT</t>
        </is>
      </c>
      <c r="W45" s="154" t="inlineStr">
        <is>
          <t>AT</t>
        </is>
      </c>
      <c r="X45" s="154" t="inlineStr">
        <is>
          <t>AT</t>
        </is>
      </c>
      <c r="Y45" s="154" t="inlineStr">
        <is>
          <t>AT</t>
        </is>
      </c>
      <c r="Z45" s="154" t="inlineStr">
        <is>
          <t>AT</t>
        </is>
      </c>
      <c r="AA45" s="154" t="inlineStr">
        <is>
          <t>AT</t>
        </is>
      </c>
      <c r="AB45" s="154" t="inlineStr">
        <is>
          <t>AT</t>
        </is>
      </c>
      <c r="AC45" s="154" t="inlineStr">
        <is>
          <t>AT</t>
        </is>
      </c>
      <c r="AD45" s="154" t="inlineStr">
        <is>
          <t>AT</t>
        </is>
      </c>
      <c r="AE45" s="154" t="inlineStr">
        <is>
          <t>AT</t>
        </is>
      </c>
      <c r="AF45" s="154" t="inlineStr">
        <is>
          <t>AT</t>
        </is>
      </c>
      <c r="AG45" s="154" t="inlineStr">
        <is>
          <t>AT</t>
        </is>
      </c>
      <c r="AH45" s="154" t="inlineStr">
        <is>
          <t>AT</t>
        </is>
      </c>
      <c r="AI45" s="154" t="inlineStr">
        <is>
          <t>AT</t>
        </is>
      </c>
      <c r="AJ45" s="154" t="inlineStr">
        <is>
          <t>AT</t>
        </is>
      </c>
      <c r="AK45" s="154" t="inlineStr">
        <is>
          <t>AT</t>
        </is>
      </c>
      <c r="AL45" s="154" t="inlineStr">
        <is>
          <t>AT</t>
        </is>
      </c>
      <c r="AM45" s="154" t="inlineStr">
        <is>
          <t>AT</t>
        </is>
      </c>
      <c r="AN45" s="154" t="inlineStr">
        <is>
          <t>AT</t>
        </is>
      </c>
      <c r="AO45" s="154" t="inlineStr">
        <is>
          <t>AT</t>
        </is>
      </c>
      <c r="AP45" s="154" t="inlineStr">
        <is>
          <t>AT</t>
        </is>
      </c>
      <c r="AQ45" s="156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COUNTIF(P46:AQ46,"p")</f>
        <v/>
      </c>
      <c r="E46" s="28">
        <f>COUNTIF(P46:AQ46,"PC")</f>
        <v/>
      </c>
      <c r="F46" s="28">
        <f>COUNTIF(P46:AQ46,"f")</f>
        <v/>
      </c>
      <c r="G46" s="28">
        <f>COUNTIF(P46:AQ46,"ast")</f>
        <v/>
      </c>
      <c r="H46" s="28">
        <f>COUNTIF(P46:AQ46,"cA")</f>
        <v/>
      </c>
      <c r="I46" s="28">
        <f>COUNTIF(P46:AQ46,"rtt")</f>
        <v/>
      </c>
      <c r="J46" s="28">
        <f>COUNTIF(P46:AQ46,"cex")</f>
        <v/>
      </c>
      <c r="K46" s="28">
        <f>COUNTIF(P46:AQ46,"res")</f>
        <v/>
      </c>
      <c r="L46" s="28">
        <f>COUNTIF(P46:AQ46,"mA")</f>
        <v/>
      </c>
      <c r="M46" s="28">
        <f>COUNTIF(P46:AQ46,"at")</f>
        <v/>
      </c>
      <c r="N46" s="28">
        <f>COUNTIF(P46:AQ46,"TAD")</f>
        <v/>
      </c>
      <c r="O46" s="119">
        <f>COUNTIF(P46:AQ46,"TP")</f>
        <v/>
      </c>
      <c r="P46" s="245" t="n"/>
      <c r="Q46" s="8" t="n"/>
      <c r="R46" s="8" t="n"/>
      <c r="S46" s="8" t="n"/>
      <c r="T46" s="8" t="n"/>
      <c r="U46" s="8" t="n"/>
      <c r="V46" s="121" t="n"/>
      <c r="W46" s="121" t="n"/>
      <c r="X46" s="8" t="n"/>
      <c r="Y46" s="8" t="n"/>
      <c r="Z46" s="8" t="n"/>
      <c r="AA46" s="8" t="n"/>
      <c r="AB46" s="8" t="n"/>
      <c r="AC46" s="121" t="n"/>
      <c r="AD46" s="121" t="n"/>
      <c r="AE46" s="8" t="n"/>
      <c r="AF46" s="8" t="n"/>
      <c r="AG46" s="8" t="n"/>
      <c r="AH46" s="8" t="n"/>
      <c r="AI46" s="8" t="n"/>
      <c r="AJ46" s="121" t="n"/>
      <c r="AK46" s="121" t="n"/>
      <c r="AL46" s="8" t="n"/>
      <c r="AM46" s="8" t="n"/>
      <c r="AN46" s="8" t="n"/>
      <c r="AO46" s="8" t="n"/>
      <c r="AP46" s="8" t="n"/>
      <c r="AQ46" s="152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COUNTIF(P47:AQ47,"p")</f>
        <v/>
      </c>
      <c r="E47" s="28">
        <f>COUNTIF(P47:AQ47,"PC")</f>
        <v/>
      </c>
      <c r="F47" s="28">
        <f>COUNTIF(P47:AQ47,"f")</f>
        <v/>
      </c>
      <c r="G47" s="28">
        <f>COUNTIF(P47:AQ47,"ast")</f>
        <v/>
      </c>
      <c r="H47" s="28">
        <f>COUNTIF(P47:AQ47,"cA")</f>
        <v/>
      </c>
      <c r="I47" s="28">
        <f>COUNTIF(P47:AQ47,"rtt")</f>
        <v/>
      </c>
      <c r="J47" s="28">
        <f>COUNTIF(P47:AQ47,"cex")</f>
        <v/>
      </c>
      <c r="K47" s="28">
        <f>COUNTIF(P47:AQ47,"res")</f>
        <v/>
      </c>
      <c r="L47" s="28">
        <f>COUNTIF(P47:AQ47,"mA")</f>
        <v/>
      </c>
      <c r="M47" s="28">
        <f>COUNTIF(P47:AQ47,"at")</f>
        <v/>
      </c>
      <c r="N47" s="28">
        <f>COUNTIF(P47:AQ47,"TAD")</f>
        <v/>
      </c>
      <c r="O47" s="119">
        <f>COUNTIF(P47:AQ47,"TP")</f>
        <v/>
      </c>
      <c r="P47" s="245" t="n"/>
      <c r="Q47" s="8" t="n"/>
      <c r="R47" s="8" t="n"/>
      <c r="S47" s="8" t="n"/>
      <c r="T47" s="8" t="n"/>
      <c r="U47" s="8" t="n"/>
      <c r="V47" s="121" t="n"/>
      <c r="W47" s="121" t="n"/>
      <c r="X47" s="8" t="n"/>
      <c r="Y47" s="8" t="n"/>
      <c r="Z47" s="8" t="n"/>
      <c r="AA47" s="8" t="n"/>
      <c r="AB47" s="8" t="n"/>
      <c r="AC47" s="121" t="n"/>
      <c r="AD47" s="121" t="n"/>
      <c r="AE47" s="8" t="n"/>
      <c r="AF47" s="8" t="n"/>
      <c r="AG47" s="8" t="n"/>
      <c r="AH47" s="8" t="n"/>
      <c r="AI47" s="8" t="n"/>
      <c r="AJ47" s="121" t="n"/>
      <c r="AK47" s="121" t="n"/>
      <c r="AL47" s="8" t="n"/>
      <c r="AM47" s="8" t="n"/>
      <c r="AN47" s="8" t="n"/>
      <c r="AO47" s="8" t="n"/>
      <c r="AP47" s="8" t="n"/>
      <c r="AQ47" s="152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COUNTIF(P48:AQ48,"p")</f>
        <v/>
      </c>
      <c r="E48" s="28">
        <f>COUNTIF(P48:AQ48,"PC")</f>
        <v/>
      </c>
      <c r="F48" s="28">
        <f>COUNTIF(P48:AQ48,"f")</f>
        <v/>
      </c>
      <c r="G48" s="28">
        <f>COUNTIF(P48:AQ48,"ast")</f>
        <v/>
      </c>
      <c r="H48" s="28">
        <f>COUNTIF(P48:AQ48,"cA")</f>
        <v/>
      </c>
      <c r="I48" s="28">
        <f>COUNTIF(P48:AQ48,"rtt")</f>
        <v/>
      </c>
      <c r="J48" s="28">
        <f>COUNTIF(P48:AQ48,"cex")</f>
        <v/>
      </c>
      <c r="K48" s="28">
        <f>COUNTIF(P48:AQ48,"res")</f>
        <v/>
      </c>
      <c r="L48" s="28">
        <f>COUNTIF(P48:AQ48,"mA")</f>
        <v/>
      </c>
      <c r="M48" s="28">
        <f>COUNTIF(P48:AQ48,"at")</f>
        <v/>
      </c>
      <c r="N48" s="28">
        <f>COUNTIF(P48:AQ48,"TAD")</f>
        <v/>
      </c>
      <c r="O48" s="119">
        <f>COUNTIF(P48:AQ48,"TP")</f>
        <v/>
      </c>
      <c r="P48" s="245" t="n"/>
      <c r="Q48" s="8" t="n"/>
      <c r="R48" s="8" t="n"/>
      <c r="S48" s="8" t="n"/>
      <c r="T48" s="8" t="n"/>
      <c r="U48" s="8" t="n"/>
      <c r="V48" s="121" t="n"/>
      <c r="W48" s="121" t="n"/>
      <c r="X48" s="8" t="n"/>
      <c r="Y48" s="8" t="n"/>
      <c r="Z48" s="8" t="n"/>
      <c r="AA48" s="8" t="n"/>
      <c r="AB48" s="8" t="n"/>
      <c r="AC48" s="121" t="n"/>
      <c r="AD48" s="121" t="n"/>
      <c r="AE48" s="8" t="n"/>
      <c r="AF48" s="8" t="n"/>
      <c r="AG48" s="8" t="n"/>
      <c r="AH48" s="8" t="n"/>
      <c r="AI48" s="8" t="n"/>
      <c r="AJ48" s="121" t="n"/>
      <c r="AK48" s="121" t="n"/>
      <c r="AL48" s="8" t="n"/>
      <c r="AM48" s="8" t="n"/>
      <c r="AN48" s="8" t="n"/>
      <c r="AO48" s="8" t="n"/>
      <c r="AP48" s="8" t="n"/>
      <c r="AQ48" s="152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COUNTIF(P49:AQ49,"p")</f>
        <v/>
      </c>
      <c r="E49" s="150">
        <f>COUNTIF(P49:AQ49,"PC")</f>
        <v/>
      </c>
      <c r="F49" s="150">
        <f>COUNTIF(P49:AQ49,"f")</f>
        <v/>
      </c>
      <c r="G49" s="150">
        <f>COUNTIF(P49:AQ49,"ast")</f>
        <v/>
      </c>
      <c r="H49" s="150">
        <f>COUNTIF(P49:AQ49,"cA")</f>
        <v/>
      </c>
      <c r="I49" s="150">
        <f>COUNTIF(P49:AQ49,"rtt")</f>
        <v/>
      </c>
      <c r="J49" s="150">
        <f>COUNTIF(P49:AQ49,"cex")</f>
        <v/>
      </c>
      <c r="K49" s="150">
        <f>COUNTIF(P49:AQ49,"res")</f>
        <v/>
      </c>
      <c r="L49" s="150">
        <f>COUNTIF(P49:AQ49,"mA")</f>
        <v/>
      </c>
      <c r="M49" s="150">
        <f>COUNTIF(P49:AQ49,"at")</f>
        <v/>
      </c>
      <c r="N49" s="150">
        <f>COUNTIF(P49:AQ49,"TAD")</f>
        <v/>
      </c>
      <c r="O49" s="167">
        <f>COUNTIF(P49:AQ49,"TP")</f>
        <v/>
      </c>
      <c r="P49" s="262" t="n"/>
      <c r="Q49" s="29" t="n"/>
      <c r="R49" s="29" t="n"/>
      <c r="S49" s="29" t="n"/>
      <c r="T49" s="29" t="n"/>
      <c r="U49" s="29" t="n"/>
      <c r="V49" s="122" t="n"/>
      <c r="W49" s="122" t="n"/>
      <c r="X49" s="29" t="n"/>
      <c r="Y49" s="29" t="n"/>
      <c r="Z49" s="29" t="n"/>
      <c r="AA49" s="29" t="n"/>
      <c r="AB49" s="29" t="n"/>
      <c r="AC49" s="122" t="n"/>
      <c r="AD49" s="122" t="n"/>
      <c r="AE49" s="29" t="n"/>
      <c r="AF49" s="29" t="n"/>
      <c r="AG49" s="29" t="n"/>
      <c r="AH49" s="29" t="n"/>
      <c r="AI49" s="29" t="n"/>
      <c r="AJ49" s="122" t="n"/>
      <c r="AK49" s="122" t="n"/>
      <c r="AL49" s="29" t="n"/>
      <c r="AM49" s="29" t="n"/>
      <c r="AN49" s="29" t="n"/>
      <c r="AO49" s="29" t="n"/>
      <c r="AP49" s="29" t="n"/>
      <c r="AQ49" s="153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313" t="n"/>
      <c r="Q50" s="313" t="n"/>
      <c r="R50" s="313" t="n"/>
      <c r="S50" s="313" t="n"/>
      <c r="T50" s="313" t="n"/>
      <c r="U50" s="313" t="n"/>
      <c r="V50" s="313" t="n"/>
      <c r="W50" s="313" t="n"/>
      <c r="X50" s="313" t="n"/>
      <c r="Y50" s="313" t="n"/>
      <c r="Z50" s="313" t="n"/>
      <c r="AA50" s="313" t="n"/>
      <c r="AB50" s="313" t="n"/>
      <c r="AC50" s="313" t="n"/>
      <c r="AD50" s="313" t="n"/>
      <c r="AE50" s="313" t="n"/>
      <c r="AF50" s="313" t="n"/>
      <c r="AG50" s="313" t="n"/>
      <c r="AH50" s="313" t="n"/>
      <c r="AI50" s="313" t="n"/>
      <c r="AJ50" s="313" t="n"/>
      <c r="AK50" s="313" t="n"/>
      <c r="AL50" s="313" t="n"/>
      <c r="AM50" s="313" t="n"/>
      <c r="AN50" s="313" t="n"/>
      <c r="AO50" s="313" t="n"/>
      <c r="AP50" s="313" t="n"/>
      <c r="AQ50" s="313" t="n"/>
      <c r="AS50" s="345" t="inlineStr">
        <is>
          <t>ESPACES VERTS</t>
        </is>
      </c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COUNTIF(P51:AQ51,"p")</f>
        <v/>
      </c>
      <c r="E51" s="30">
        <f>COUNTIF(P51:AQ51,"PC")</f>
        <v/>
      </c>
      <c r="F51" s="30">
        <f>COUNTIF(P51:AQ51,"f")</f>
        <v/>
      </c>
      <c r="G51" s="30">
        <f>COUNTIF(P51:AQ51,"ast")</f>
        <v/>
      </c>
      <c r="H51" s="30">
        <f>COUNTIF(P51:AQ51,"cA")</f>
        <v/>
      </c>
      <c r="I51" s="30">
        <f>COUNTIF(P51:AQ51,"rtt")</f>
        <v/>
      </c>
      <c r="J51" s="30">
        <f>COUNTIF(P51:AQ51,"cex")</f>
        <v/>
      </c>
      <c r="K51" s="30">
        <f>COUNTIF(P51:AQ51,"res")</f>
        <v/>
      </c>
      <c r="L51" s="30">
        <f>COUNTIF(P51:AQ51,"mA")</f>
        <v/>
      </c>
      <c r="M51" s="30">
        <f>COUNTIF(P51:AQ51,"at")</f>
        <v/>
      </c>
      <c r="N51" s="30">
        <f>COUNTIF(P51:AQ51,"TAD")</f>
        <v/>
      </c>
      <c r="O51" s="133">
        <f>COUNTIF(P51:AQ51,"TP")</f>
        <v/>
      </c>
      <c r="P51" s="261" t="n"/>
      <c r="Q51" s="30" t="n"/>
      <c r="R51" s="30" t="n"/>
      <c r="S51" s="30" t="n"/>
      <c r="T51" s="30" t="n"/>
      <c r="U51" s="30" t="n"/>
      <c r="V51" s="131" t="n"/>
      <c r="W51" s="131" t="n"/>
      <c r="X51" s="30" t="n"/>
      <c r="Y51" s="30" t="n"/>
      <c r="Z51" s="30" t="n"/>
      <c r="AA51" s="30" t="n"/>
      <c r="AB51" s="30" t="n"/>
      <c r="AC51" s="131" t="n"/>
      <c r="AD51" s="131" t="n"/>
      <c r="AE51" s="30" t="n"/>
      <c r="AF51" s="30" t="n"/>
      <c r="AG51" s="30" t="n"/>
      <c r="AH51" s="30" t="n"/>
      <c r="AI51" s="30" t="n"/>
      <c r="AJ51" s="131" t="n"/>
      <c r="AK51" s="131" t="n"/>
      <c r="AL51" s="30" t="n"/>
      <c r="AM51" s="30" t="n"/>
      <c r="AN51" s="30" t="n"/>
      <c r="AO51" s="30" t="n"/>
      <c r="AP51" s="30" t="n"/>
      <c r="AQ51" s="131" t="n"/>
      <c r="AS51" s="197" t="inlineStr">
        <is>
          <t>P</t>
        </is>
      </c>
      <c r="AT51" s="105" t="inlineStr">
        <is>
          <t>PC</t>
        </is>
      </c>
      <c r="AU51" s="12" t="inlineStr">
        <is>
          <t>F</t>
        </is>
      </c>
      <c r="AV51" s="106" t="inlineStr">
        <is>
          <t>AST</t>
        </is>
      </c>
      <c r="AW51" s="10" t="inlineStr">
        <is>
          <t>CA</t>
        </is>
      </c>
      <c r="AX51" s="107" t="inlineStr">
        <is>
          <t>RTT</t>
        </is>
      </c>
      <c r="AY51" s="11" t="inlineStr">
        <is>
          <t>CEX</t>
        </is>
      </c>
      <c r="AZ51" s="108" t="inlineStr">
        <is>
          <t>R</t>
        </is>
      </c>
      <c r="BA51" s="109" t="inlineStr">
        <is>
          <t>M</t>
        </is>
      </c>
      <c r="BB51" s="110" t="inlineStr">
        <is>
          <t>AT</t>
        </is>
      </c>
      <c r="BC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COUNTIF(P52:AQ52,"p")</f>
        <v/>
      </c>
      <c r="E52" s="28">
        <f>COUNTIF(P52:AQ52,"PC")</f>
        <v/>
      </c>
      <c r="F52" s="28">
        <f>COUNTIF(P52:AQ52,"f")</f>
        <v/>
      </c>
      <c r="G52" s="28">
        <f>COUNTIF(P52:AQ52,"ast")</f>
        <v/>
      </c>
      <c r="H52" s="28">
        <f>COUNTIF(P52:AQ52,"cA")</f>
        <v/>
      </c>
      <c r="I52" s="28">
        <f>COUNTIF(P52:AQ52,"rtt")</f>
        <v/>
      </c>
      <c r="J52" s="28">
        <f>COUNTIF(P52:AQ52,"cex")</f>
        <v/>
      </c>
      <c r="K52" s="28">
        <f>COUNTIF(P52:AQ52,"res")</f>
        <v/>
      </c>
      <c r="L52" s="28">
        <f>COUNTIF(P52:AQ52,"mA")</f>
        <v/>
      </c>
      <c r="M52" s="28">
        <f>COUNTIF(P52:AQ52,"at")</f>
        <v/>
      </c>
      <c r="N52" s="28">
        <f>COUNTIF(P52:AQ52,"TAD")</f>
        <v/>
      </c>
      <c r="O52" s="119">
        <f>COUNTIF(P52:AQ52,"TP")</f>
        <v/>
      </c>
      <c r="P52" s="261" t="n"/>
      <c r="Q52" s="30" t="n"/>
      <c r="R52" s="30" t="n"/>
      <c r="S52" s="30" t="n"/>
      <c r="T52" s="30" t="n"/>
      <c r="U52" s="30" t="n"/>
      <c r="V52" s="131" t="n"/>
      <c r="W52" s="131" t="n"/>
      <c r="X52" s="30" t="n"/>
      <c r="Y52" s="30" t="n"/>
      <c r="Z52" s="30" t="n"/>
      <c r="AA52" s="30" t="n"/>
      <c r="AB52" s="30" t="n"/>
      <c r="AC52" s="131" t="n"/>
      <c r="AD52" s="131" t="n"/>
      <c r="AE52" s="30" t="n"/>
      <c r="AF52" s="30" t="n"/>
      <c r="AG52" s="30" t="n"/>
      <c r="AH52" s="30" t="n"/>
      <c r="AI52" s="30" t="n"/>
      <c r="AJ52" s="131" t="n"/>
      <c r="AK52" s="131" t="n"/>
      <c r="AL52" s="30" t="n"/>
      <c r="AM52" s="30" t="n"/>
      <c r="AN52" s="30" t="n"/>
      <c r="AO52" s="30" t="n"/>
      <c r="AP52" s="30" t="n"/>
      <c r="AQ52" s="131" t="n"/>
      <c r="AR52" s="27" t="n"/>
      <c r="AS52" s="27">
        <f>COUNTIF(P51:AQ62,"P")</f>
        <v/>
      </c>
      <c r="AT52" s="27">
        <f>COUNTIF(P51:AQ62,"PC")</f>
        <v/>
      </c>
      <c r="AU52" s="27">
        <f>COUNTIF(P51:AQ62,"F")</f>
        <v/>
      </c>
      <c r="AV52" s="27">
        <f>COUNTIF(P51:AQ62,"AST")</f>
        <v/>
      </c>
      <c r="AW52" s="27">
        <f>COUNTIF(P51:AQ62,"CA")</f>
        <v/>
      </c>
      <c r="AX52" s="27">
        <f>COUNTIF(P51:AQ62,"RTT")</f>
        <v/>
      </c>
      <c r="AY52" s="27">
        <f>COUNTIF(P51:AQ62,"CEX")</f>
        <v/>
      </c>
      <c r="AZ52" s="27">
        <f>COUNTIF(P51:AQ62,"RES")</f>
        <v/>
      </c>
      <c r="BA52" s="27">
        <f>COUNTIF(P51:AQ62,"MA")</f>
        <v/>
      </c>
      <c r="BB52" s="27">
        <f>COUNTIF(P51:AQ62,"AT")</f>
        <v/>
      </c>
      <c r="BC52" s="27">
        <f>COUNTIF(P51:AQ62,"TP")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COUNTIF(P53:AQ53,"p")</f>
        <v/>
      </c>
      <c r="E53" s="28">
        <f>COUNTIF(P53:AQ53,"PC")</f>
        <v/>
      </c>
      <c r="F53" s="28">
        <f>COUNTIF(P53:AQ53,"f")</f>
        <v/>
      </c>
      <c r="G53" s="28">
        <f>COUNTIF(P53:AQ53,"ast")</f>
        <v/>
      </c>
      <c r="H53" s="28">
        <f>COUNTIF(P53:AQ53,"cA")</f>
        <v/>
      </c>
      <c r="I53" s="28">
        <f>COUNTIF(P53:AQ53,"rtt")</f>
        <v/>
      </c>
      <c r="J53" s="28">
        <f>COUNTIF(P53:AQ53,"cex")</f>
        <v/>
      </c>
      <c r="K53" s="28">
        <f>COUNTIF(P53:AQ53,"res")</f>
        <v/>
      </c>
      <c r="L53" s="28">
        <f>COUNTIF(P53:AQ53,"mA")</f>
        <v/>
      </c>
      <c r="M53" s="28">
        <f>COUNTIF(P53:AQ53,"at")</f>
        <v/>
      </c>
      <c r="N53" s="28">
        <f>COUNTIF(P53:AQ53,"TAD")</f>
        <v/>
      </c>
      <c r="O53" s="119">
        <f>COUNTIF(P53:AQ53,"TP")</f>
        <v/>
      </c>
      <c r="P53" s="261" t="n"/>
      <c r="Q53" s="30" t="n"/>
      <c r="R53" s="30" t="n"/>
      <c r="S53" s="30" t="n"/>
      <c r="T53" s="30" t="n"/>
      <c r="U53" s="30" t="n"/>
      <c r="V53" s="131" t="n"/>
      <c r="W53" s="131" t="n"/>
      <c r="X53" s="30" t="n"/>
      <c r="Y53" s="30" t="n"/>
      <c r="Z53" s="30" t="n"/>
      <c r="AA53" s="30" t="n"/>
      <c r="AB53" s="30" t="n"/>
      <c r="AC53" s="131" t="n"/>
      <c r="AD53" s="131" t="n"/>
      <c r="AE53" s="30" t="n"/>
      <c r="AF53" s="30" t="n"/>
      <c r="AG53" s="30" t="n"/>
      <c r="AH53" s="30" t="n"/>
      <c r="AI53" s="30" t="n"/>
      <c r="AJ53" s="131" t="n"/>
      <c r="AK53" s="131" t="n"/>
      <c r="AL53" s="30" t="n"/>
      <c r="AM53" s="30" t="n"/>
      <c r="AN53" s="30" t="n"/>
      <c r="AO53" s="30" t="n"/>
      <c r="AP53" s="30" t="n"/>
      <c r="AQ53" s="13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COUNTIF(P54:AQ54,"p")</f>
        <v/>
      </c>
      <c r="E54" s="28">
        <f>COUNTIF(P54:AQ54,"PC")</f>
        <v/>
      </c>
      <c r="F54" s="28">
        <f>COUNTIF(P54:AQ54,"f")</f>
        <v/>
      </c>
      <c r="G54" s="28">
        <f>COUNTIF(P54:AQ54,"ast")</f>
        <v/>
      </c>
      <c r="H54" s="28">
        <f>COUNTIF(P54:AQ54,"cA")</f>
        <v/>
      </c>
      <c r="I54" s="28">
        <f>COUNTIF(P54:AQ54,"rtt")</f>
        <v/>
      </c>
      <c r="J54" s="28">
        <f>COUNTIF(P54:AQ54,"cex")</f>
        <v/>
      </c>
      <c r="K54" s="28">
        <f>COUNTIF(P54:AQ54,"res")</f>
        <v/>
      </c>
      <c r="L54" s="28">
        <f>COUNTIF(P54:AQ54,"mA")</f>
        <v/>
      </c>
      <c r="M54" s="28">
        <f>COUNTIF(P54:AQ54,"at")</f>
        <v/>
      </c>
      <c r="N54" s="28">
        <f>COUNTIF(P54:AQ54,"TAD")</f>
        <v/>
      </c>
      <c r="O54" s="119">
        <f>COUNTIF(P54:AQ54,"TP")</f>
        <v/>
      </c>
      <c r="P54" s="261" t="n"/>
      <c r="Q54" s="30" t="n"/>
      <c r="R54" s="30" t="n"/>
      <c r="S54" s="30" t="n"/>
      <c r="T54" s="30" t="n"/>
      <c r="U54" s="30" t="n"/>
      <c r="V54" s="131" t="n"/>
      <c r="W54" s="131" t="n"/>
      <c r="X54" s="30" t="n"/>
      <c r="Y54" s="30" t="n"/>
      <c r="Z54" s="30" t="n"/>
      <c r="AA54" s="30" t="n"/>
      <c r="AB54" s="30" t="n"/>
      <c r="AC54" s="131" t="n"/>
      <c r="AD54" s="131" t="n"/>
      <c r="AE54" s="30" t="n"/>
      <c r="AF54" s="30" t="n"/>
      <c r="AG54" s="30" t="n"/>
      <c r="AH54" s="30" t="n"/>
      <c r="AI54" s="30" t="n"/>
      <c r="AJ54" s="131" t="n"/>
      <c r="AK54" s="131" t="n"/>
      <c r="AL54" s="30" t="n"/>
      <c r="AM54" s="30" t="n"/>
      <c r="AN54" s="30" t="n"/>
      <c r="AO54" s="30" t="n"/>
      <c r="AP54" s="30" t="n"/>
      <c r="AQ54" s="13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COUNTIF(P55:AQ55,"p")</f>
        <v/>
      </c>
      <c r="E55" s="28">
        <f>COUNTIF(P55:AQ55,"PC")</f>
        <v/>
      </c>
      <c r="F55" s="28">
        <f>COUNTIF(P55:AQ55,"f")</f>
        <v/>
      </c>
      <c r="G55" s="28">
        <f>COUNTIF(P55:AQ55,"ast")</f>
        <v/>
      </c>
      <c r="H55" s="28">
        <f>COUNTIF(P55:AQ55,"cA")</f>
        <v/>
      </c>
      <c r="I55" s="28">
        <f>COUNTIF(P55:AQ55,"rtt")</f>
        <v/>
      </c>
      <c r="J55" s="28">
        <f>COUNTIF(P55:AQ55,"cex")</f>
        <v/>
      </c>
      <c r="K55" s="28">
        <f>COUNTIF(P55:AQ55,"res")</f>
        <v/>
      </c>
      <c r="L55" s="28">
        <f>COUNTIF(P55:AQ55,"mA")</f>
        <v/>
      </c>
      <c r="M55" s="28">
        <f>COUNTIF(P55:AQ55,"at")</f>
        <v/>
      </c>
      <c r="N55" s="28">
        <f>COUNTIF(P55:AQ55,"TAD")</f>
        <v/>
      </c>
      <c r="O55" s="119">
        <f>COUNTIF(P55:AQ55,"TP")</f>
        <v/>
      </c>
      <c r="P55" s="261" t="n"/>
      <c r="Q55" s="30" t="n"/>
      <c r="R55" s="30" t="n"/>
      <c r="S55" s="30" t="n"/>
      <c r="T55" s="30" t="n"/>
      <c r="U55" s="30" t="n"/>
      <c r="V55" s="131" t="n"/>
      <c r="W55" s="131" t="n"/>
      <c r="X55" s="30" t="n"/>
      <c r="Y55" s="30" t="n"/>
      <c r="Z55" s="30" t="n"/>
      <c r="AA55" s="30" t="n"/>
      <c r="AB55" s="30" t="n"/>
      <c r="AC55" s="131" t="n"/>
      <c r="AD55" s="131" t="n"/>
      <c r="AE55" s="30" t="n"/>
      <c r="AF55" s="30" t="n"/>
      <c r="AG55" s="30" t="n"/>
      <c r="AH55" s="30" t="n"/>
      <c r="AI55" s="30" t="n"/>
      <c r="AJ55" s="131" t="n"/>
      <c r="AK55" s="131" t="n"/>
      <c r="AL55" s="30" t="n"/>
      <c r="AM55" s="30" t="n"/>
      <c r="AN55" s="30" t="n"/>
      <c r="AO55" s="30" t="n"/>
      <c r="AP55" s="30" t="n"/>
      <c r="AQ55" s="13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COUNTIF(P56:AQ56,"p")</f>
        <v/>
      </c>
      <c r="E56" s="28">
        <f>COUNTIF(P56:AQ56,"PC")</f>
        <v/>
      </c>
      <c r="F56" s="28">
        <f>COUNTIF(P56:AQ56,"f")</f>
        <v/>
      </c>
      <c r="G56" s="28">
        <f>COUNTIF(P56:AQ56,"ast")</f>
        <v/>
      </c>
      <c r="H56" s="28">
        <f>COUNTIF(P56:AQ56,"cA")</f>
        <v/>
      </c>
      <c r="I56" s="28">
        <f>COUNTIF(P56:AQ56,"rtt")</f>
        <v/>
      </c>
      <c r="J56" s="28">
        <f>COUNTIF(P56:AQ56,"cex")</f>
        <v/>
      </c>
      <c r="K56" s="28">
        <f>COUNTIF(P56:AQ56,"res")</f>
        <v/>
      </c>
      <c r="L56" s="28">
        <f>COUNTIF(P56:AQ56,"mA")</f>
        <v/>
      </c>
      <c r="M56" s="28">
        <f>COUNTIF(P56:AQ56,"at")</f>
        <v/>
      </c>
      <c r="N56" s="28">
        <f>COUNTIF(P56:AQ56,"TAD")</f>
        <v/>
      </c>
      <c r="O56" s="119">
        <f>COUNTIF(P56:AQ56,"TP")</f>
        <v/>
      </c>
      <c r="P56" s="261" t="n"/>
      <c r="Q56" s="30" t="n"/>
      <c r="R56" s="30" t="n"/>
      <c r="S56" s="30" t="n"/>
      <c r="T56" s="30" t="n"/>
      <c r="U56" s="30" t="n"/>
      <c r="V56" s="131" t="n"/>
      <c r="W56" s="131" t="n"/>
      <c r="X56" s="30" t="n"/>
      <c r="Y56" s="30" t="n"/>
      <c r="Z56" s="30" t="n"/>
      <c r="AA56" s="30" t="n"/>
      <c r="AB56" s="30" t="n"/>
      <c r="AC56" s="131" t="n"/>
      <c r="AD56" s="131" t="n"/>
      <c r="AE56" s="30" t="n"/>
      <c r="AF56" s="30" t="n"/>
      <c r="AG56" s="30" t="n"/>
      <c r="AH56" s="30" t="n"/>
      <c r="AI56" s="30" t="n"/>
      <c r="AJ56" s="131" t="n"/>
      <c r="AK56" s="131" t="n"/>
      <c r="AL56" s="30" t="n"/>
      <c r="AM56" s="30" t="n"/>
      <c r="AN56" s="30" t="n"/>
      <c r="AO56" s="30" t="n"/>
      <c r="AP56" s="30" t="n"/>
      <c r="AQ56" s="13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COUNTIF(P57:AQ57,"p")</f>
        <v/>
      </c>
      <c r="E57" s="28">
        <f>COUNTIF(P57:AQ57,"PC")</f>
        <v/>
      </c>
      <c r="F57" s="28">
        <f>COUNTIF(P57:AQ57,"f")</f>
        <v/>
      </c>
      <c r="G57" s="28">
        <f>COUNTIF(P57:AQ57,"ast")</f>
        <v/>
      </c>
      <c r="H57" s="28">
        <f>COUNTIF(P57:AQ57,"cA")</f>
        <v/>
      </c>
      <c r="I57" s="28">
        <f>COUNTIF(P57:AQ57,"rtt")</f>
        <v/>
      </c>
      <c r="J57" s="28">
        <f>COUNTIF(P57:AQ57,"cex")</f>
        <v/>
      </c>
      <c r="K57" s="28">
        <f>COUNTIF(P57:AQ57,"res")</f>
        <v/>
      </c>
      <c r="L57" s="28">
        <f>COUNTIF(P57:AQ57,"mA")</f>
        <v/>
      </c>
      <c r="M57" s="28">
        <f>COUNTIF(P57:AQ57,"at")</f>
        <v/>
      </c>
      <c r="N57" s="28">
        <f>COUNTIF(P57:AQ57,"TAD")</f>
        <v/>
      </c>
      <c r="O57" s="119">
        <f>COUNTIF(P57:AQ57,"TP")</f>
        <v/>
      </c>
      <c r="P57" s="261" t="n"/>
      <c r="Q57" s="30" t="n"/>
      <c r="R57" s="30" t="n"/>
      <c r="S57" s="30" t="n"/>
      <c r="T57" s="30" t="n"/>
      <c r="U57" s="30" t="n"/>
      <c r="V57" s="131" t="n"/>
      <c r="W57" s="131" t="n"/>
      <c r="X57" s="30" t="n"/>
      <c r="Y57" s="30" t="n"/>
      <c r="Z57" s="30" t="n"/>
      <c r="AA57" s="30" t="n"/>
      <c r="AB57" s="30" t="n"/>
      <c r="AC57" s="131" t="n"/>
      <c r="AD57" s="131" t="n"/>
      <c r="AE57" s="30" t="n"/>
      <c r="AF57" s="30" t="n"/>
      <c r="AG57" s="30" t="n"/>
      <c r="AH57" s="30" t="n"/>
      <c r="AI57" s="30" t="n"/>
      <c r="AJ57" s="131" t="n"/>
      <c r="AK57" s="131" t="n"/>
      <c r="AL57" s="30" t="n"/>
      <c r="AM57" s="30" t="n"/>
      <c r="AN57" s="30" t="n"/>
      <c r="AO57" s="30" t="n"/>
      <c r="AP57" s="30" t="n"/>
      <c r="AQ57" s="131" t="n"/>
      <c r="AR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COUNTIF(P58:AQ58,"p")</f>
        <v/>
      </c>
      <c r="E58" s="28">
        <f>COUNTIF(P58:AQ58,"PC")</f>
        <v/>
      </c>
      <c r="F58" s="28">
        <f>COUNTIF(P58:AQ58,"f")</f>
        <v/>
      </c>
      <c r="G58" s="28">
        <f>COUNTIF(P58:AQ58,"ast")</f>
        <v/>
      </c>
      <c r="H58" s="28">
        <f>COUNTIF(P58:AQ58,"cA")</f>
        <v/>
      </c>
      <c r="I58" s="28">
        <f>COUNTIF(P58:AQ58,"rtt")</f>
        <v/>
      </c>
      <c r="J58" s="28">
        <f>COUNTIF(P58:AQ58,"cex")</f>
        <v/>
      </c>
      <c r="K58" s="28">
        <f>COUNTIF(P58:AQ58,"res")</f>
        <v/>
      </c>
      <c r="L58" s="28">
        <f>COUNTIF(P58:AQ58,"mA")</f>
        <v/>
      </c>
      <c r="M58" s="28">
        <f>COUNTIF(P58:AQ58,"at")</f>
        <v/>
      </c>
      <c r="N58" s="28">
        <f>COUNTIF(P58:AQ58,"TAD")</f>
        <v/>
      </c>
      <c r="O58" s="119">
        <f>COUNTIF(P58:AQ58,"TP")</f>
        <v/>
      </c>
      <c r="P58" s="261" t="n"/>
      <c r="Q58" s="30" t="n"/>
      <c r="R58" s="30" t="n"/>
      <c r="S58" s="30" t="n"/>
      <c r="T58" s="30" t="n"/>
      <c r="U58" s="30" t="n"/>
      <c r="V58" s="131" t="n"/>
      <c r="W58" s="131" t="n"/>
      <c r="X58" s="30" t="n"/>
      <c r="Y58" s="30" t="n"/>
      <c r="Z58" s="30" t="n"/>
      <c r="AA58" s="30" t="n"/>
      <c r="AB58" s="30" t="n"/>
      <c r="AC58" s="131" t="n"/>
      <c r="AD58" s="131" t="n"/>
      <c r="AE58" s="30" t="n"/>
      <c r="AF58" s="30" t="n"/>
      <c r="AG58" s="30" t="n"/>
      <c r="AH58" s="30" t="n"/>
      <c r="AI58" s="30" t="n"/>
      <c r="AJ58" s="131" t="n"/>
      <c r="AK58" s="131" t="n"/>
      <c r="AL58" s="30" t="n"/>
      <c r="AM58" s="30" t="n"/>
      <c r="AN58" s="30" t="n"/>
      <c r="AO58" s="30" t="n"/>
      <c r="AP58" s="30" t="n"/>
      <c r="AQ58" s="13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COUNTIF(P59:AQ59,"p")</f>
        <v/>
      </c>
      <c r="E59" s="28">
        <f>COUNTIF(P59:AQ59,"PC")</f>
        <v/>
      </c>
      <c r="F59" s="28">
        <f>COUNTIF(P59:AQ59,"f")</f>
        <v/>
      </c>
      <c r="G59" s="28">
        <f>COUNTIF(P59:AQ59,"ast")</f>
        <v/>
      </c>
      <c r="H59" s="28">
        <f>COUNTIF(P59:AQ59,"cA")</f>
        <v/>
      </c>
      <c r="I59" s="28">
        <f>COUNTIF(P59:AQ59,"rtt")</f>
        <v/>
      </c>
      <c r="J59" s="28">
        <f>COUNTIF(P59:AQ59,"cex")</f>
        <v/>
      </c>
      <c r="K59" s="28">
        <f>COUNTIF(P59:AQ59,"res")</f>
        <v/>
      </c>
      <c r="L59" s="28">
        <f>COUNTIF(P59:AQ59,"mA")</f>
        <v/>
      </c>
      <c r="M59" s="28">
        <f>COUNTIF(P59:AQ59,"at")</f>
        <v/>
      </c>
      <c r="N59" s="28">
        <f>COUNTIF(P59:AQ59,"TAD")</f>
        <v/>
      </c>
      <c r="O59" s="119">
        <f>COUNTIF(P59:AQ59,"TP")</f>
        <v/>
      </c>
      <c r="P59" s="261" t="n"/>
      <c r="Q59" s="30" t="n"/>
      <c r="R59" s="30" t="n"/>
      <c r="S59" s="30" t="n"/>
      <c r="T59" s="30" t="n"/>
      <c r="U59" s="30" t="n"/>
      <c r="V59" s="131" t="n"/>
      <c r="W59" s="131" t="n"/>
      <c r="X59" s="30" t="n"/>
      <c r="Y59" s="30" t="n"/>
      <c r="Z59" s="30" t="n"/>
      <c r="AA59" s="30" t="n"/>
      <c r="AB59" s="30" t="n"/>
      <c r="AC59" s="131" t="n"/>
      <c r="AD59" s="131" t="n"/>
      <c r="AE59" s="30" t="n"/>
      <c r="AF59" s="30" t="n"/>
      <c r="AG59" s="30" t="n"/>
      <c r="AH59" s="30" t="n"/>
      <c r="AI59" s="30" t="n"/>
      <c r="AJ59" s="131" t="n"/>
      <c r="AK59" s="131" t="n"/>
      <c r="AL59" s="30" t="n"/>
      <c r="AM59" s="30" t="n"/>
      <c r="AN59" s="30" t="n"/>
      <c r="AO59" s="30" t="n"/>
      <c r="AP59" s="30" t="n"/>
      <c r="AQ59" s="13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COUNTIF(P60:AQ60,"p")</f>
        <v/>
      </c>
      <c r="E60" s="28">
        <f>COUNTIF(P60:AQ60,"PC")</f>
        <v/>
      </c>
      <c r="F60" s="28">
        <f>COUNTIF(P60:AQ60,"f")</f>
        <v/>
      </c>
      <c r="G60" s="28">
        <f>COUNTIF(P60:AQ60,"ast")</f>
        <v/>
      </c>
      <c r="H60" s="28">
        <f>COUNTIF(P60:AQ60,"cA")</f>
        <v/>
      </c>
      <c r="I60" s="28">
        <f>COUNTIF(P60:AQ60,"rtt")</f>
        <v/>
      </c>
      <c r="J60" s="28">
        <f>COUNTIF(P60:AQ60,"cex")</f>
        <v/>
      </c>
      <c r="K60" s="28">
        <f>COUNTIF(P60:AQ60,"res")</f>
        <v/>
      </c>
      <c r="L60" s="28">
        <f>COUNTIF(P60:AQ60,"mA")</f>
        <v/>
      </c>
      <c r="M60" s="28">
        <f>COUNTIF(P60:AQ60,"at")</f>
        <v/>
      </c>
      <c r="N60" s="28">
        <f>COUNTIF(P60:AQ60,"TAD")</f>
        <v/>
      </c>
      <c r="O60" s="119">
        <f>COUNTIF(P60:AQ60,"TP")</f>
        <v/>
      </c>
      <c r="P60" s="261" t="n"/>
      <c r="Q60" s="30" t="n"/>
      <c r="R60" s="30" t="n"/>
      <c r="S60" s="30" t="n"/>
      <c r="T60" s="30" t="n"/>
      <c r="U60" s="30" t="n"/>
      <c r="V60" s="131" t="n"/>
      <c r="W60" s="131" t="n"/>
      <c r="X60" s="30" t="n"/>
      <c r="Y60" s="30" t="n"/>
      <c r="Z60" s="30" t="n"/>
      <c r="AA60" s="30" t="n"/>
      <c r="AB60" s="30" t="n"/>
      <c r="AC60" s="131" t="n"/>
      <c r="AD60" s="131" t="n"/>
      <c r="AE60" s="30" t="n"/>
      <c r="AF60" s="30" t="n"/>
      <c r="AG60" s="30" t="n"/>
      <c r="AH60" s="30" t="n"/>
      <c r="AI60" s="30" t="n"/>
      <c r="AJ60" s="131" t="n"/>
      <c r="AK60" s="131" t="n"/>
      <c r="AL60" s="30" t="n"/>
      <c r="AM60" s="30" t="n"/>
      <c r="AN60" s="30" t="n"/>
      <c r="AO60" s="30" t="n"/>
      <c r="AP60" s="30" t="n"/>
      <c r="AQ60" s="13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COUNTIF(P61:AQ61,"p")</f>
        <v/>
      </c>
      <c r="E61" s="28">
        <f>COUNTIF(P61:AQ61,"PC")</f>
        <v/>
      </c>
      <c r="F61" s="28">
        <f>COUNTIF(P61:AQ61,"f")</f>
        <v/>
      </c>
      <c r="G61" s="28">
        <f>COUNTIF(P61:AQ61,"ast")</f>
        <v/>
      </c>
      <c r="H61" s="28">
        <f>COUNTIF(P61:AQ61,"cA")</f>
        <v/>
      </c>
      <c r="I61" s="28">
        <f>COUNTIF(P61:AQ61,"rtt")</f>
        <v/>
      </c>
      <c r="J61" s="28">
        <f>COUNTIF(P61:AQ61,"cex")</f>
        <v/>
      </c>
      <c r="K61" s="28">
        <f>COUNTIF(P61:AQ61,"res")</f>
        <v/>
      </c>
      <c r="L61" s="28">
        <f>COUNTIF(P61:AQ61,"mA")</f>
        <v/>
      </c>
      <c r="M61" s="28">
        <f>COUNTIF(P61:AQ61,"at")</f>
        <v/>
      </c>
      <c r="N61" s="28">
        <f>COUNTIF(P61:AQ61,"TAD")</f>
        <v/>
      </c>
      <c r="O61" s="119">
        <f>COUNTIF(P61:AQ61,"TP")</f>
        <v/>
      </c>
      <c r="P61" s="261" t="n"/>
      <c r="Q61" s="30" t="n"/>
      <c r="R61" s="30" t="n"/>
      <c r="S61" s="30" t="n"/>
      <c r="T61" s="30" t="n"/>
      <c r="U61" s="30" t="n"/>
      <c r="V61" s="131" t="n"/>
      <c r="W61" s="131" t="n"/>
      <c r="X61" s="30" t="n"/>
      <c r="Y61" s="30" t="n"/>
      <c r="Z61" s="30" t="n"/>
      <c r="AA61" s="30" t="n"/>
      <c r="AB61" s="30" t="n"/>
      <c r="AC61" s="131" t="n"/>
      <c r="AD61" s="131" t="n"/>
      <c r="AE61" s="30" t="n"/>
      <c r="AF61" s="30" t="n"/>
      <c r="AG61" s="30" t="n"/>
      <c r="AH61" s="30" t="n"/>
      <c r="AI61" s="30" t="n"/>
      <c r="AJ61" s="131" t="n"/>
      <c r="AK61" s="131" t="n"/>
      <c r="AL61" s="30" t="n"/>
      <c r="AM61" s="30" t="n"/>
      <c r="AN61" s="30" t="n"/>
      <c r="AO61" s="30" t="n"/>
      <c r="AP61" s="30" t="n"/>
      <c r="AQ61" s="131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COUNTIF(P62:AQ62,"p")</f>
        <v/>
      </c>
      <c r="E62" s="150">
        <f>COUNTIF(P62:AQ62,"PC")</f>
        <v/>
      </c>
      <c r="F62" s="150">
        <f>COUNTIF(P62:AQ62,"f")</f>
        <v/>
      </c>
      <c r="G62" s="150">
        <f>COUNTIF(P62:AQ62,"ast")</f>
        <v/>
      </c>
      <c r="H62" s="150">
        <f>COUNTIF(P62:AQ62,"cA")</f>
        <v/>
      </c>
      <c r="I62" s="150">
        <f>COUNTIF(P62:AQ62,"rtt")</f>
        <v/>
      </c>
      <c r="J62" s="150">
        <f>COUNTIF(P62:AQ62,"cex")</f>
        <v/>
      </c>
      <c r="K62" s="150">
        <f>COUNTIF(P62:AQ62,"res")</f>
        <v/>
      </c>
      <c r="L62" s="150">
        <f>COUNTIF(P62:AQ62,"mA")</f>
        <v/>
      </c>
      <c r="M62" s="150">
        <f>COUNTIF(P62:AQ62,"at")</f>
        <v/>
      </c>
      <c r="N62" s="150">
        <f>COUNTIF(P62:AQ62,"TAD")</f>
        <v/>
      </c>
      <c r="O62" s="167">
        <f>COUNTIF(P62:AQ62,"TP")</f>
        <v/>
      </c>
      <c r="P62" s="261" t="n"/>
      <c r="Q62" s="30" t="n"/>
      <c r="R62" s="30" t="n"/>
      <c r="S62" s="30" t="n"/>
      <c r="T62" s="30" t="n"/>
      <c r="U62" s="30" t="n"/>
      <c r="V62" s="131" t="n"/>
      <c r="W62" s="131" t="n"/>
      <c r="X62" s="30" t="n"/>
      <c r="Y62" s="30" t="n"/>
      <c r="Z62" s="30" t="n"/>
      <c r="AA62" s="30" t="n"/>
      <c r="AB62" s="30" t="n"/>
      <c r="AC62" s="131" t="n"/>
      <c r="AD62" s="131" t="n"/>
      <c r="AE62" s="30" t="n"/>
      <c r="AF62" s="30" t="n"/>
      <c r="AG62" s="30" t="n"/>
      <c r="AH62" s="30" t="n"/>
      <c r="AI62" s="30" t="n"/>
      <c r="AJ62" s="131" t="n"/>
      <c r="AK62" s="131" t="n"/>
      <c r="AL62" s="30" t="n"/>
      <c r="AM62" s="30" t="n"/>
      <c r="AN62" s="30" t="n"/>
      <c r="AO62" s="30" t="n"/>
      <c r="AP62" s="30" t="n"/>
      <c r="AQ62" s="13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9" t="n"/>
      <c r="AS63" s="345" t="inlineStr">
        <is>
          <t>MAGASIN</t>
        </is>
      </c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COUNTIF(P64:AQ64,"p")</f>
        <v/>
      </c>
      <c r="E64" s="28">
        <f>COUNTIF(P64:AQ64,"PC")</f>
        <v/>
      </c>
      <c r="F64" s="28">
        <f>COUNTIF(P64:AQ64,"f")</f>
        <v/>
      </c>
      <c r="G64" s="28">
        <f>COUNTIF(P64:AQ64,"ast")</f>
        <v/>
      </c>
      <c r="H64" s="28">
        <f>COUNTIF(P64:AQ64,"cA")</f>
        <v/>
      </c>
      <c r="I64" s="28">
        <f>COUNTIF(P64:AQ64,"rtt")</f>
        <v/>
      </c>
      <c r="J64" s="28">
        <f>COUNTIF(P64:AQ64,"cex")</f>
        <v/>
      </c>
      <c r="K64" s="28">
        <f>COUNTIF(P64:AQ64,"res")</f>
        <v/>
      </c>
      <c r="L64" s="28">
        <f>COUNTIF(P64:AQ64,"mA")</f>
        <v/>
      </c>
      <c r="M64" s="28">
        <f>COUNTIF(P64:AQ64,"at")</f>
        <v/>
      </c>
      <c r="N64" s="28">
        <f>COUNTIF(P64:AQ64,"TAD")</f>
        <v/>
      </c>
      <c r="O64" s="119">
        <f>COUNTIF(P64:AQ64,"TP")</f>
        <v/>
      </c>
      <c r="P64" s="261" t="n"/>
      <c r="Q64" s="30" t="n"/>
      <c r="R64" s="30" t="n"/>
      <c r="S64" s="30" t="n"/>
      <c r="T64" s="30" t="n"/>
      <c r="U64" s="30" t="n"/>
      <c r="V64" s="131" t="n"/>
      <c r="W64" s="131" t="n"/>
      <c r="X64" s="30" t="n"/>
      <c r="Y64" s="30" t="n"/>
      <c r="Z64" s="30" t="n"/>
      <c r="AA64" s="30" t="n"/>
      <c r="AB64" s="30" t="n"/>
      <c r="AC64" s="131" t="n"/>
      <c r="AD64" s="131" t="n"/>
      <c r="AE64" s="30" t="n"/>
      <c r="AF64" s="30" t="n"/>
      <c r="AG64" s="30" t="n"/>
      <c r="AH64" s="30" t="n"/>
      <c r="AI64" s="30" t="n"/>
      <c r="AJ64" s="131" t="n"/>
      <c r="AK64" s="131" t="n"/>
      <c r="AL64" s="30" t="n"/>
      <c r="AM64" s="30" t="n"/>
      <c r="AN64" s="30" t="n"/>
      <c r="AO64" s="30" t="n"/>
      <c r="AP64" s="30" t="n"/>
      <c r="AQ64" s="226" t="n"/>
      <c r="AS64" s="197" t="inlineStr">
        <is>
          <t>P</t>
        </is>
      </c>
      <c r="AT64" s="105" t="inlineStr">
        <is>
          <t>PC</t>
        </is>
      </c>
      <c r="AU64" s="12" t="inlineStr">
        <is>
          <t>F</t>
        </is>
      </c>
      <c r="AV64" s="106" t="inlineStr">
        <is>
          <t>AST</t>
        </is>
      </c>
      <c r="AW64" s="10" t="inlineStr">
        <is>
          <t>CA</t>
        </is>
      </c>
      <c r="AX64" s="107" t="inlineStr">
        <is>
          <t>RTT</t>
        </is>
      </c>
      <c r="AY64" s="11" t="inlineStr">
        <is>
          <t>CEX</t>
        </is>
      </c>
      <c r="AZ64" s="108" t="inlineStr">
        <is>
          <t>R</t>
        </is>
      </c>
      <c r="BA64" s="109" t="inlineStr">
        <is>
          <t>M</t>
        </is>
      </c>
      <c r="BB64" s="110" t="inlineStr">
        <is>
          <t>AT</t>
        </is>
      </c>
      <c r="BC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COUNTIF(P65:AQ65,"p")</f>
        <v/>
      </c>
      <c r="E65" s="28">
        <f>COUNTIF(P65:AQ65,"PC")</f>
        <v/>
      </c>
      <c r="F65" s="28">
        <f>COUNTIF(P65:AQ65,"f")</f>
        <v/>
      </c>
      <c r="G65" s="28">
        <f>COUNTIF(P65:AQ65,"ast")</f>
        <v/>
      </c>
      <c r="H65" s="28">
        <f>COUNTIF(P65:AQ65,"cA")</f>
        <v/>
      </c>
      <c r="I65" s="28">
        <f>COUNTIF(P65:AQ65,"rtt")</f>
        <v/>
      </c>
      <c r="J65" s="28">
        <f>COUNTIF(P65:AQ65,"cex")</f>
        <v/>
      </c>
      <c r="K65" s="28">
        <f>COUNTIF(P65:AQ65,"res")</f>
        <v/>
      </c>
      <c r="L65" s="28">
        <f>COUNTIF(P65:AQ65,"mA")</f>
        <v/>
      </c>
      <c r="M65" s="28">
        <f>COUNTIF(P65:AQ65,"at")</f>
        <v/>
      </c>
      <c r="N65" s="28">
        <f>COUNTIF(P65:AQ65,"TAD")</f>
        <v/>
      </c>
      <c r="O65" s="119">
        <f>COUNTIF(P65:AQ65,"TP")</f>
        <v/>
      </c>
      <c r="P65" s="261" t="n"/>
      <c r="Q65" s="30" t="n"/>
      <c r="R65" s="30" t="n"/>
      <c r="S65" s="30" t="n"/>
      <c r="T65" s="30" t="n"/>
      <c r="U65" s="30" t="n"/>
      <c r="V65" s="131" t="n"/>
      <c r="W65" s="131" t="n"/>
      <c r="X65" s="30" t="n"/>
      <c r="Y65" s="30" t="n"/>
      <c r="Z65" s="30" t="n"/>
      <c r="AA65" s="30" t="n"/>
      <c r="AB65" s="30" t="n"/>
      <c r="AC65" s="131" t="n"/>
      <c r="AD65" s="131" t="n"/>
      <c r="AE65" s="30" t="n"/>
      <c r="AF65" s="30" t="n"/>
      <c r="AG65" s="30" t="n"/>
      <c r="AH65" s="30" t="n"/>
      <c r="AI65" s="30" t="n"/>
      <c r="AJ65" s="131" t="n"/>
      <c r="AK65" s="131" t="n"/>
      <c r="AL65" s="30" t="n"/>
      <c r="AM65" s="30" t="n"/>
      <c r="AN65" s="30" t="n"/>
      <c r="AO65" s="30" t="n"/>
      <c r="AP65" s="30" t="n"/>
      <c r="AQ65" s="226" t="n"/>
      <c r="AS65" s="27">
        <f>COUNTIF(P64:AQ73,"P")</f>
        <v/>
      </c>
      <c r="AT65" s="27">
        <f>COUNTIF(P64:AQ73,"PC")</f>
        <v/>
      </c>
      <c r="AU65" s="27">
        <f>COUNTIF(P64:AQ73,"F")</f>
        <v/>
      </c>
      <c r="AV65" s="27">
        <f>COUNTIF(P64:AQ73,"AST")</f>
        <v/>
      </c>
      <c r="AW65" s="27">
        <f>COUNTIF(P64:AQ73,"Ca")</f>
        <v/>
      </c>
      <c r="AX65" s="27">
        <f>COUNTIF(P64:AQ73,"RTT")</f>
        <v/>
      </c>
      <c r="AY65" s="27">
        <f>COUNTIF(P64:AQ73,"CEX")</f>
        <v/>
      </c>
      <c r="AZ65" s="27">
        <f>COUNTIF(P64:AQ73,"RES")</f>
        <v/>
      </c>
      <c r="BA65" s="27">
        <f>COUNTIF(P64:AQ73,"MA")</f>
        <v/>
      </c>
      <c r="BB65" s="27">
        <f>COUNTIF(P64:AQ73,"AT")</f>
        <v/>
      </c>
      <c r="BC65" s="27">
        <f>COUNTIF(P64:AQ73,"TP")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COUNTIF(P66:AQ66,"p")</f>
        <v/>
      </c>
      <c r="E66" s="28">
        <f>COUNTIF(P66:AQ66,"PC")</f>
        <v/>
      </c>
      <c r="F66" s="28">
        <f>COUNTIF(P66:AQ66,"f")</f>
        <v/>
      </c>
      <c r="G66" s="28">
        <f>COUNTIF(P66:AQ66,"ast")</f>
        <v/>
      </c>
      <c r="H66" s="28">
        <f>COUNTIF(P66:AQ66,"cA")</f>
        <v/>
      </c>
      <c r="I66" s="28">
        <f>COUNTIF(P66:AQ66,"rtt")</f>
        <v/>
      </c>
      <c r="J66" s="28">
        <f>COUNTIF(P66:AQ66,"cex")</f>
        <v/>
      </c>
      <c r="K66" s="28">
        <f>COUNTIF(P66:AQ66,"res")</f>
        <v/>
      </c>
      <c r="L66" s="28">
        <f>COUNTIF(P66:AQ66,"mA")</f>
        <v/>
      </c>
      <c r="M66" s="28">
        <f>COUNTIF(P66:AQ66,"at")</f>
        <v/>
      </c>
      <c r="N66" s="28">
        <f>COUNTIF(P66:AQ66,"TAD")</f>
        <v/>
      </c>
      <c r="O66" s="119">
        <f>COUNTIF(P66:AQ66,"TP")</f>
        <v/>
      </c>
      <c r="P66" s="261" t="n"/>
      <c r="Q66" s="8" t="n"/>
      <c r="R66" s="8" t="inlineStr">
        <is>
          <t>TP</t>
        </is>
      </c>
      <c r="S66" s="8" t="n"/>
      <c r="T66" s="8" t="inlineStr">
        <is>
          <t>TP</t>
        </is>
      </c>
      <c r="U66" s="8" t="n"/>
      <c r="V66" s="121" t="n"/>
      <c r="W66" s="121" t="n"/>
      <c r="X66" s="8" t="inlineStr">
        <is>
          <t>TP</t>
        </is>
      </c>
      <c r="Y66" s="8" t="n"/>
      <c r="Z66" s="8" t="inlineStr">
        <is>
          <t>TP</t>
        </is>
      </c>
      <c r="AA66" s="8" t="n"/>
      <c r="AB66" s="8" t="inlineStr">
        <is>
          <t>TP</t>
        </is>
      </c>
      <c r="AC66" s="131" t="n"/>
      <c r="AD66" s="131" t="n"/>
      <c r="AE66" s="8" t="n"/>
      <c r="AF66" s="8" t="inlineStr">
        <is>
          <t>TP</t>
        </is>
      </c>
      <c r="AG66" s="8" t="n"/>
      <c r="AH66" s="8" t="inlineStr">
        <is>
          <t>TP</t>
        </is>
      </c>
      <c r="AI66" s="8" t="n"/>
      <c r="AJ66" s="121" t="n"/>
      <c r="AK66" s="121" t="n"/>
      <c r="AL66" s="8" t="inlineStr">
        <is>
          <t>TP</t>
        </is>
      </c>
      <c r="AM66" s="8" t="n"/>
      <c r="AN66" s="8" t="inlineStr">
        <is>
          <t>TP</t>
        </is>
      </c>
      <c r="AO66" s="8" t="n"/>
      <c r="AP66" s="8" t="inlineStr">
        <is>
          <t>TP</t>
        </is>
      </c>
      <c r="AQ66" s="226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COUNTIF(P67:AQ67,"p")</f>
        <v/>
      </c>
      <c r="E67" s="116">
        <f>COUNTIF(P67:AQ67,"PC")</f>
        <v/>
      </c>
      <c r="F67" s="116">
        <f>COUNTIF(P67:AQ67,"f")</f>
        <v/>
      </c>
      <c r="G67" s="116">
        <f>COUNTIF(P67:AQ67,"ast")</f>
        <v/>
      </c>
      <c r="H67" s="116">
        <f>COUNTIF(P67:AQ67,"cA")</f>
        <v/>
      </c>
      <c r="I67" s="116">
        <f>COUNTIF(P67:AQ67,"rtt")</f>
        <v/>
      </c>
      <c r="J67" s="116">
        <f>COUNTIF(P67:AQ67,"cex")</f>
        <v/>
      </c>
      <c r="K67" s="116">
        <f>COUNTIF(P67:AQ67,"res")</f>
        <v/>
      </c>
      <c r="L67" s="116">
        <f>COUNTIF(P67:AQ67,"mA")</f>
        <v/>
      </c>
      <c r="M67" s="116">
        <f>COUNTIF(P67:AQ67,"at")</f>
        <v/>
      </c>
      <c r="N67" s="116">
        <f>COUNTIF(P67:AQ67,"TAD")</f>
        <v/>
      </c>
      <c r="O67" s="120">
        <f>COUNTIF(P67:AQ67,"TP")</f>
        <v/>
      </c>
      <c r="P67" s="263" t="n"/>
      <c r="Q67" s="213" t="n"/>
      <c r="R67" s="213" t="n"/>
      <c r="S67" s="213" t="n"/>
      <c r="T67" s="213" t="n"/>
      <c r="U67" s="213" t="n"/>
      <c r="V67" s="264" t="n"/>
      <c r="W67" s="264" t="n"/>
      <c r="X67" s="213" t="n"/>
      <c r="Y67" s="213" t="n"/>
      <c r="Z67" s="213" t="n"/>
      <c r="AA67" s="213" t="n"/>
      <c r="AB67" s="213" t="n"/>
      <c r="AC67" s="264" t="n"/>
      <c r="AD67" s="264" t="n"/>
      <c r="AE67" s="213" t="n"/>
      <c r="AF67" s="213" t="n"/>
      <c r="AG67" s="213" t="n"/>
      <c r="AH67" s="213" t="n"/>
      <c r="AI67" s="213" t="n"/>
      <c r="AJ67" s="264" t="n"/>
      <c r="AK67" s="264" t="n"/>
      <c r="AL67" s="213" t="n"/>
      <c r="AM67" s="213" t="n"/>
      <c r="AN67" s="213" t="n"/>
      <c r="AO67" s="213" t="n"/>
      <c r="AP67" s="213" t="n"/>
      <c r="AQ67" s="265" t="n"/>
    </row>
    <row r="76">
      <c r="T76" s="27" t="inlineStr">
        <is>
          <t>P</t>
        </is>
      </c>
    </row>
  </sheetData>
  <mergeCells count="8">
    <mergeCell ref="AS50:BC50"/>
    <mergeCell ref="A38:AQ38"/>
    <mergeCell ref="A5:AQ7"/>
    <mergeCell ref="AS11:BC11"/>
    <mergeCell ref="A63:AQ63"/>
    <mergeCell ref="AS38:BC38"/>
    <mergeCell ref="AS63:BC63"/>
    <mergeCell ref="D8:O8"/>
  </mergeCells>
  <conditionalFormatting sqref="D10:O10">
    <cfRule type="cellIs" priority="169" operator="equal" dxfId="55">
      <formula>"repos"</formula>
    </cfRule>
    <cfRule type="cellIs" priority="170" operator="equal" dxfId="53">
      <formula>"permanence"</formula>
    </cfRule>
    <cfRule type="cellIs" priority="171" operator="equal" dxfId="53">
      <formula>"dimanche"</formula>
    </cfRule>
    <cfRule type="cellIs" priority="172" operator="equal" dxfId="52">
      <formula>"formation"</formula>
    </cfRule>
    <cfRule type="cellIs" priority="173" operator="equal" dxfId="6">
      <formula>"conges exc"</formula>
    </cfRule>
    <cfRule type="cellIs" priority="174" operator="equal" dxfId="4">
      <formula>"conges"</formula>
    </cfRule>
    <cfRule type="cellIs" priority="175" operator="equal" dxfId="5">
      <formula>"asa"</formula>
    </cfRule>
    <cfRule type="cellIs" priority="176" operator="equal" dxfId="8">
      <formula>"maladie / at"</formula>
    </cfRule>
    <cfRule type="cellIs" priority="177" operator="equal" dxfId="0">
      <formula>"presence"</formula>
    </cfRule>
  </conditionalFormatting>
  <conditionalFormatting sqref="D11:O20 D23:O24 D26:O29 D31:O36 D39:O49 D51:O62 D64:O67">
    <cfRule type="cellIs" priority="178" operator="equal" dxfId="46">
      <formula>0</formula>
    </cfRule>
  </conditionalFormatting>
  <conditionalFormatting sqref="P9:AQ9">
    <cfRule type="expression" priority="180" dxfId="44">
      <formula>OR(P$9=1, P$9=7)</formula>
    </cfRule>
  </conditionalFormatting>
  <conditionalFormatting sqref="P9:AQ10">
    <cfRule type="expression" priority="179" dxfId="44">
      <formula>OR(P$9=1,P$9=7)</formula>
    </cfRule>
  </conditionalFormatting>
  <conditionalFormatting sqref="P26:AQ29 P31:AQ36">
    <cfRule type="containsText" priority="61" operator="containsText" dxfId="10" text="TP">
      <formula>NOT(ISERROR(SEARCH("TP",P26)))</formula>
    </cfRule>
    <cfRule type="containsText" priority="62" operator="containsText" text="TAD">
      <formula>NOT(ISERROR(SEARCH("TAD",P26)))</formula>
    </cfRule>
    <cfRule type="containsText" priority="63" operator="containsText" dxfId="9" text="AT">
      <formula>NOT(ISERROR(SEARCH("AT",P26)))</formula>
    </cfRule>
    <cfRule type="containsText" priority="64" operator="containsText" dxfId="8" text="MA">
      <formula>NOT(ISERROR(SEARCH("MA",P26)))</formula>
    </cfRule>
    <cfRule type="containsText" priority="65" operator="containsText" dxfId="7" text="RES">
      <formula>NOT(ISERROR(SEARCH("RES",P26)))</formula>
    </cfRule>
    <cfRule type="containsText" priority="66" operator="containsText" dxfId="6" text="CEX">
      <formula>NOT(ISERROR(SEARCH("CEX",P26)))</formula>
    </cfRule>
    <cfRule type="containsText" priority="67" operator="containsText" dxfId="5" text="RTT">
      <formula>NOT(ISERROR(SEARCH("RTT",P26)))</formula>
    </cfRule>
    <cfRule type="beginsWith" priority="68" operator="beginsWith" dxfId="4" text="CA">
      <formula>LEFT(P26,LEN("CA"))="CA"</formula>
    </cfRule>
    <cfRule type="containsText" priority="69" operator="containsText" dxfId="3" text="AST">
      <formula>NOT(ISERROR(SEARCH("AST",P26)))</formula>
    </cfRule>
    <cfRule type="containsText" priority="70" operator="containsText" dxfId="2" text="F">
      <formula>NOT(ISERROR(SEARCH("F",P26)))</formula>
    </cfRule>
    <cfRule type="containsText" priority="71" operator="containsText" dxfId="1" text="PC">
      <formula>NOT(ISERROR(SEARCH("PC",P26)))</formula>
    </cfRule>
    <cfRule type="containsText" priority="72" operator="containsText" dxfId="0" text="P">
      <formula>NOT(ISERROR(SEARCH("P",P26)))</formula>
    </cfRule>
  </conditionalFormatting>
  <conditionalFormatting sqref="P39:AQ49">
    <cfRule type="containsText" priority="49" operator="containsText" dxfId="10" text="TP">
      <formula>NOT(ISERROR(SEARCH("TP",P39)))</formula>
    </cfRule>
    <cfRule type="containsText" priority="50" operator="containsText" text="TAD">
      <formula>NOT(ISERROR(SEARCH("TAD",P39)))</formula>
    </cfRule>
    <cfRule type="containsText" priority="51" operator="containsText" dxfId="9" text="AT">
      <formula>NOT(ISERROR(SEARCH("AT",P39)))</formula>
    </cfRule>
    <cfRule type="containsText" priority="52" operator="containsText" dxfId="8" text="MA">
      <formula>NOT(ISERROR(SEARCH("MA",P39)))</formula>
    </cfRule>
    <cfRule type="containsText" priority="53" operator="containsText" dxfId="7" text="RES">
      <formula>NOT(ISERROR(SEARCH("RES",P39)))</formula>
    </cfRule>
    <cfRule type="containsText" priority="54" operator="containsText" dxfId="6" text="CEX">
      <formula>NOT(ISERROR(SEARCH("CEX",P39)))</formula>
    </cfRule>
    <cfRule type="containsText" priority="55" operator="containsText" dxfId="5" text="RTT">
      <formula>NOT(ISERROR(SEARCH("RTT",P39)))</formula>
    </cfRule>
    <cfRule type="beginsWith" priority="56" operator="beginsWith" dxfId="4" text="CA">
      <formula>LEFT(P39,LEN("CA"))="CA"</formula>
    </cfRule>
    <cfRule type="containsText" priority="57" operator="containsText" dxfId="3" text="AST">
      <formula>NOT(ISERROR(SEARCH("AST",P39)))</formula>
    </cfRule>
    <cfRule type="containsText" priority="58" operator="containsText" dxfId="2" text="F">
      <formula>NOT(ISERROR(SEARCH("F",P39)))</formula>
    </cfRule>
    <cfRule type="containsText" priority="59" operator="containsText" dxfId="1" text="PC">
      <formula>NOT(ISERROR(SEARCH("PC",P39)))</formula>
    </cfRule>
    <cfRule type="containsText" priority="60" operator="containsText" dxfId="0" text="P">
      <formula>NOT(ISERROR(SEARCH("P",P39)))</formula>
    </cfRule>
  </conditionalFormatting>
  <conditionalFormatting sqref="P51:AQ62">
    <cfRule type="containsText" priority="37" operator="containsText" dxfId="10" text="TP">
      <formula>NOT(ISERROR(SEARCH("TP",P51)))</formula>
    </cfRule>
    <cfRule type="containsText" priority="38" operator="containsText" text="TAD">
      <formula>NOT(ISERROR(SEARCH("TAD",P51)))</formula>
    </cfRule>
    <cfRule type="containsText" priority="39" operator="containsText" dxfId="9" text="AT">
      <formula>NOT(ISERROR(SEARCH("AT",P51)))</formula>
    </cfRule>
    <cfRule type="containsText" priority="40" operator="containsText" dxfId="8" text="MA">
      <formula>NOT(ISERROR(SEARCH("MA",P51)))</formula>
    </cfRule>
    <cfRule type="containsText" priority="41" operator="containsText" dxfId="7" text="RES">
      <formula>NOT(ISERROR(SEARCH("RES",P51)))</formula>
    </cfRule>
    <cfRule type="containsText" priority="42" operator="containsText" dxfId="6" text="CEX">
      <formula>NOT(ISERROR(SEARCH("CEX",P51)))</formula>
    </cfRule>
    <cfRule type="containsText" priority="43" operator="containsText" dxfId="5" text="RTT">
      <formula>NOT(ISERROR(SEARCH("RTT",P51)))</formula>
    </cfRule>
    <cfRule type="beginsWith" priority="44" operator="beginsWith" dxfId="4" text="CA">
      <formula>LEFT(P51,LEN("CA"))="CA"</formula>
    </cfRule>
    <cfRule type="containsText" priority="45" operator="containsText" dxfId="3" text="AST">
      <formula>NOT(ISERROR(SEARCH("AST",P51)))</formula>
    </cfRule>
    <cfRule type="containsText" priority="46" operator="containsText" dxfId="2" text="F">
      <formula>NOT(ISERROR(SEARCH("F",P51)))</formula>
    </cfRule>
    <cfRule type="containsText" priority="47" operator="containsText" dxfId="1" text="PC">
      <formula>NOT(ISERROR(SEARCH("PC",P51)))</formula>
    </cfRule>
    <cfRule type="containsText" priority="48" operator="containsText" dxfId="0" text="P">
      <formula>NOT(ISERROR(SEARCH("P",P51)))</formula>
    </cfRule>
  </conditionalFormatting>
  <conditionalFormatting sqref="P64:AQ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R20 P23:AQ24">
    <cfRule type="containsText" priority="85" operator="containsText" dxfId="10" text="TP">
      <formula>NOT(ISERROR(SEARCH("TP",P11)))</formula>
    </cfRule>
    <cfRule type="containsText" priority="86" operator="containsText" text="TAD">
      <formula>NOT(ISERROR(SEARCH("TAD",P11)))</formula>
    </cfRule>
    <cfRule type="containsText" priority="87" operator="containsText" dxfId="9" text="AT">
      <formula>NOT(ISERROR(SEARCH("AT",P11)))</formula>
    </cfRule>
    <cfRule type="containsText" priority="88" operator="containsText" dxfId="8" text="MA">
      <formula>NOT(ISERROR(SEARCH("MA",P11)))</formula>
    </cfRule>
    <cfRule type="containsText" priority="89" operator="containsText" dxfId="7" text="RES">
      <formula>NOT(ISERROR(SEARCH("RES",P11)))</formula>
    </cfRule>
    <cfRule type="containsText" priority="90" operator="containsText" dxfId="6" text="CEX">
      <formula>NOT(ISERROR(SEARCH("CEX",P11)))</formula>
    </cfRule>
    <cfRule type="containsText" priority="91" operator="containsText" dxfId="5" text="RTT">
      <formula>NOT(ISERROR(SEARCH("RTT",P11)))</formula>
    </cfRule>
    <cfRule type="beginsWith" priority="92" operator="beginsWith" dxfId="4" text="CA">
      <formula>LEFT(P11,LEN("CA"))="CA"</formula>
    </cfRule>
    <cfRule type="containsText" priority="93" operator="containsText" dxfId="3" text="AST">
      <formula>NOT(ISERROR(SEARCH("AST",P11)))</formula>
    </cfRule>
    <cfRule type="containsText" priority="94" operator="containsText" dxfId="2" text="F">
      <formula>NOT(ISERROR(SEARCH("F",P11)))</formula>
    </cfRule>
    <cfRule type="containsText" priority="95" operator="containsText" dxfId="1" text="PC">
      <formula>NOT(ISERROR(SEARCH("PC",P11)))</formula>
    </cfRule>
    <cfRule type="containsText" priority="96" operator="containsText" dxfId="0" text="P">
      <formula>NOT(ISERROR(SEARCH("P",P11)))</formula>
    </cfRule>
  </conditionalFormatting>
  <dataValidations count="3">
    <dataValidation sqref="P11:AR20 P23:AQ24 P26:AQ29 P31:AQ36 P39:AQ49 P51:AQ62 P64:AQ67" showDropDown="0" showInputMessage="1" showErrorMessage="1" allowBlank="1" type="list">
      <formula1>"P, PC, F, AST, CA, RTT, CEX, RES, MA, AT, TAD, TP"</formula1>
    </dataValidation>
    <dataValidation sqref="T76" showDropDown="0" showInputMessage="1" showErrorMessage="1" allowBlank="1" type="list">
      <formula1>$D$9:$O$9</formula1>
    </dataValidation>
    <dataValidation sqref="P10:AQ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0" zoomScaleNormal="80" workbookViewId="0">
      <pane xSplit="2" ySplit="10" topLeftCell="C36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config!B7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config!C7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10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11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261" t="n"/>
      <c r="Q11" s="30" t="n"/>
      <c r="R11" s="30" t="n"/>
      <c r="S11" s="30" t="n"/>
      <c r="T11" s="30" t="n"/>
      <c r="U11" s="30" t="n"/>
      <c r="V11" s="131" t="n"/>
      <c r="W11" s="131" t="n"/>
      <c r="X11" s="30" t="n"/>
      <c r="Y11" s="30" t="n"/>
      <c r="Z11" s="30" t="n"/>
      <c r="AA11" s="30" t="n"/>
      <c r="AB11" s="30" t="n"/>
      <c r="AC11" s="131" t="n"/>
      <c r="AD11" s="131" t="n"/>
      <c r="AE11" s="30" t="n"/>
      <c r="AF11" s="30" t="n"/>
      <c r="AG11" s="30" t="n"/>
      <c r="AH11" s="30" t="n"/>
      <c r="AI11" s="30" t="n"/>
      <c r="AJ11" s="131" t="n"/>
      <c r="AK11" s="131" t="n"/>
      <c r="AL11" s="30" t="n"/>
      <c r="AM11" s="30" t="n"/>
      <c r="AN11" s="30" t="n"/>
      <c r="AO11" s="30" t="n"/>
      <c r="AP11" s="30" t="n"/>
      <c r="AQ11" s="131" t="n"/>
      <c r="AR11" s="131" t="n"/>
      <c r="AS11" s="30" t="n"/>
      <c r="AT11" s="30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245" t="n"/>
      <c r="Q12" s="8" t="n"/>
      <c r="R12" s="8" t="n"/>
      <c r="S12" s="8" t="n"/>
      <c r="T12" s="8" t="n"/>
      <c r="U12" s="8" t="n"/>
      <c r="V12" s="121" t="n"/>
      <c r="W12" s="121" t="n"/>
      <c r="X12" s="8" t="inlineStr">
        <is>
          <t>PC</t>
        </is>
      </c>
      <c r="Y12" s="8" t="inlineStr">
        <is>
          <t>PC</t>
        </is>
      </c>
      <c r="Z12" s="8" t="inlineStr">
        <is>
          <t>PC</t>
        </is>
      </c>
      <c r="AA12" s="8" t="inlineStr">
        <is>
          <t>PC</t>
        </is>
      </c>
      <c r="AB12" s="8" t="inlineStr">
        <is>
          <t>PC</t>
        </is>
      </c>
      <c r="AC12" s="121" t="n"/>
      <c r="AD12" s="121" t="n"/>
      <c r="AE12" s="8" t="inlineStr">
        <is>
          <t>PC</t>
        </is>
      </c>
      <c r="AF12" s="8" t="inlineStr">
        <is>
          <t>PC</t>
        </is>
      </c>
      <c r="AG12" s="8" t="inlineStr">
        <is>
          <t>PC</t>
        </is>
      </c>
      <c r="AH12" s="8" t="inlineStr">
        <is>
          <t>PC</t>
        </is>
      </c>
      <c r="AI12" s="8" t="inlineStr">
        <is>
          <t>PC</t>
        </is>
      </c>
      <c r="AJ12" s="121" t="n"/>
      <c r="AK12" s="121" t="n"/>
      <c r="AL12" s="8" t="inlineStr">
        <is>
          <t>PC</t>
        </is>
      </c>
      <c r="AM12" s="8" t="inlineStr">
        <is>
          <t>PC</t>
        </is>
      </c>
      <c r="AN12" s="8" t="inlineStr">
        <is>
          <t>PC</t>
        </is>
      </c>
      <c r="AO12" s="8" t="inlineStr">
        <is>
          <t>PC</t>
        </is>
      </c>
      <c r="AP12" s="8" t="inlineStr">
        <is>
          <t>PC</t>
        </is>
      </c>
      <c r="AQ12" s="121" t="n"/>
      <c r="AR12" s="121" t="n"/>
      <c r="AS12" s="8" t="n"/>
      <c r="AT12" s="8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245" t="n"/>
      <c r="Q13" s="8" t="n"/>
      <c r="R13" s="8" t="n"/>
      <c r="S13" s="8" t="n"/>
      <c r="T13" s="8" t="n"/>
      <c r="U13" s="8" t="n"/>
      <c r="V13" s="121" t="n"/>
      <c r="W13" s="121" t="n"/>
      <c r="X13" s="8" t="n"/>
      <c r="Y13" s="8" t="n"/>
      <c r="Z13" s="8" t="n"/>
      <c r="AA13" s="8" t="n"/>
      <c r="AB13" s="8" t="n"/>
      <c r="AC13" s="121" t="n"/>
      <c r="AD13" s="121" t="n"/>
      <c r="AE13" s="8" t="n"/>
      <c r="AF13" s="8" t="n"/>
      <c r="AG13" s="8" t="n"/>
      <c r="AH13" s="8" t="n"/>
      <c r="AI13" s="8" t="n"/>
      <c r="AJ13" s="121" t="n"/>
      <c r="AK13" s="121" t="n"/>
      <c r="AL13" s="8" t="n"/>
      <c r="AM13" s="8" t="n"/>
      <c r="AN13" s="8" t="n"/>
      <c r="AO13" s="8" t="n"/>
      <c r="AP13" s="8" t="n"/>
      <c r="AQ13" s="121" t="n"/>
      <c r="AR13" s="121" t="n"/>
      <c r="AS13" s="8" t="n"/>
      <c r="AT13" s="8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45" t="n"/>
      <c r="Q14" s="8" t="n"/>
      <c r="R14" s="8" t="n"/>
      <c r="S14" s="8" t="n"/>
      <c r="T14" s="8" t="n"/>
      <c r="U14" s="8" t="n"/>
      <c r="V14" s="121" t="n"/>
      <c r="W14" s="121" t="n"/>
      <c r="X14" s="8" t="n"/>
      <c r="Y14" s="8" t="n"/>
      <c r="Z14" s="8" t="n"/>
      <c r="AA14" s="8" t="n"/>
      <c r="AB14" s="8" t="n"/>
      <c r="AC14" s="121" t="n"/>
      <c r="AD14" s="121" t="n"/>
      <c r="AE14" s="8" t="n"/>
      <c r="AF14" s="8" t="n"/>
      <c r="AG14" s="8" t="n"/>
      <c r="AH14" s="8" t="n"/>
      <c r="AI14" s="8" t="n"/>
      <c r="AJ14" s="121" t="n"/>
      <c r="AK14" s="121" t="n"/>
      <c r="AL14" s="8" t="n"/>
      <c r="AM14" s="8" t="n"/>
      <c r="AN14" s="8" t="n"/>
      <c r="AO14" s="8" t="n"/>
      <c r="AP14" s="8" t="n"/>
      <c r="AQ14" s="121" t="n"/>
      <c r="AR14" s="121" t="n"/>
      <c r="AS14" s="8" t="n"/>
      <c r="AT14" s="8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245" t="n"/>
      <c r="Q15" s="8" t="n"/>
      <c r="R15" s="8" t="n"/>
      <c r="S15" s="8" t="n"/>
      <c r="T15" s="8" t="n"/>
      <c r="U15" s="8" t="n"/>
      <c r="V15" s="121" t="n"/>
      <c r="W15" s="121" t="n"/>
      <c r="X15" s="8" t="n"/>
      <c r="Y15" s="8" t="n"/>
      <c r="Z15" s="8" t="n"/>
      <c r="AA15" s="8" t="n"/>
      <c r="AB15" s="8" t="n"/>
      <c r="AC15" s="121" t="n"/>
      <c r="AD15" s="121" t="n"/>
      <c r="AE15" s="8" t="n"/>
      <c r="AF15" s="8" t="n"/>
      <c r="AG15" s="8" t="n"/>
      <c r="AH15" s="8" t="n"/>
      <c r="AI15" s="8" t="n"/>
      <c r="AJ15" s="121" t="n"/>
      <c r="AK15" s="121" t="n"/>
      <c r="AL15" s="8" t="n"/>
      <c r="AM15" s="8" t="n"/>
      <c r="AN15" s="8" t="n"/>
      <c r="AO15" s="8" t="n"/>
      <c r="AP15" s="8" t="n"/>
      <c r="AQ15" s="121" t="n"/>
      <c r="AR15" s="121" t="n"/>
      <c r="AS15" s="8" t="n"/>
      <c r="AT15" s="8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245" t="n"/>
      <c r="Q16" s="8" t="n"/>
      <c r="R16" s="8" t="n"/>
      <c r="S16" s="8" t="n"/>
      <c r="T16" s="8" t="n"/>
      <c r="U16" s="8" t="n"/>
      <c r="V16" s="121" t="n"/>
      <c r="W16" s="121" t="n"/>
      <c r="X16" s="8" t="n"/>
      <c r="Y16" s="8" t="n"/>
      <c r="Z16" s="8" t="n"/>
      <c r="AA16" s="8" t="n"/>
      <c r="AB16" s="8" t="n"/>
      <c r="AC16" s="121" t="n"/>
      <c r="AD16" s="121" t="n"/>
      <c r="AE16" s="8" t="n"/>
      <c r="AF16" s="8" t="n"/>
      <c r="AG16" s="8" t="n"/>
      <c r="AH16" s="8" t="n"/>
      <c r="AI16" s="8" t="n"/>
      <c r="AJ16" s="121" t="n"/>
      <c r="AK16" s="121" t="n"/>
      <c r="AL16" s="8" t="n"/>
      <c r="AM16" s="8" t="n"/>
      <c r="AN16" s="8" t="n"/>
      <c r="AO16" s="8" t="n"/>
      <c r="AP16" s="8" t="n"/>
      <c r="AQ16" s="121" t="n"/>
      <c r="AR16" s="121" t="n"/>
      <c r="AS16" s="8" t="n"/>
      <c r="AT16" s="8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245" t="n"/>
      <c r="Q17" s="8" t="n"/>
      <c r="R17" s="8" t="n"/>
      <c r="S17" s="8" t="n"/>
      <c r="T17" s="8" t="n"/>
      <c r="U17" s="8" t="n"/>
      <c r="V17" s="121" t="n"/>
      <c r="W17" s="121" t="n"/>
      <c r="X17" s="8" t="n"/>
      <c r="Y17" s="8" t="n"/>
      <c r="Z17" s="8" t="n"/>
      <c r="AA17" s="8" t="n"/>
      <c r="AB17" s="8" t="n"/>
      <c r="AC17" s="121" t="n"/>
      <c r="AD17" s="121" t="n"/>
      <c r="AE17" s="8" t="n"/>
      <c r="AF17" s="8" t="n"/>
      <c r="AG17" s="8" t="n"/>
      <c r="AH17" s="8" t="n"/>
      <c r="AI17" s="8" t="n"/>
      <c r="AJ17" s="121" t="n"/>
      <c r="AK17" s="121" t="n"/>
      <c r="AL17" s="8" t="n"/>
      <c r="AM17" s="8" t="n"/>
      <c r="AN17" s="8" t="n"/>
      <c r="AO17" s="8" t="n"/>
      <c r="AP17" s="8" t="n"/>
      <c r="AQ17" s="121" t="n"/>
      <c r="AR17" s="121" t="n"/>
      <c r="AS17" s="8" t="n"/>
      <c r="AT17" s="8" t="n"/>
      <c r="AU17" s="1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21" t="n"/>
      <c r="AT18" s="121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245" t="n"/>
      <c r="Q19" s="8" t="n"/>
      <c r="R19" s="8" t="n"/>
      <c r="S19" s="8" t="n"/>
      <c r="T19" s="8" t="n"/>
      <c r="U19" s="8" t="n"/>
      <c r="V19" s="121" t="n"/>
      <c r="W19" s="121" t="n"/>
      <c r="X19" s="8" t="n"/>
      <c r="Y19" s="8" t="n"/>
      <c r="Z19" s="8" t="n"/>
      <c r="AA19" s="8" t="n"/>
      <c r="AB19" s="8" t="n"/>
      <c r="AC19" s="121" t="n"/>
      <c r="AD19" s="121" t="n"/>
      <c r="AE19" s="8" t="n"/>
      <c r="AF19" s="8" t="n"/>
      <c r="AG19" s="8" t="n"/>
      <c r="AH19" s="8" t="n"/>
      <c r="AI19" s="8" t="n"/>
      <c r="AJ19" s="121" t="n"/>
      <c r="AK19" s="121" t="n"/>
      <c r="AL19" s="8" t="n"/>
      <c r="AM19" s="8" t="n"/>
      <c r="AN19" s="8" t="n"/>
      <c r="AO19" s="8" t="n"/>
      <c r="AP19" s="8" t="n"/>
      <c r="AQ19" s="121" t="n"/>
      <c r="AR19" s="121" t="n"/>
      <c r="AS19" s="8" t="n"/>
      <c r="AT19" s="8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262" t="n"/>
      <c r="Q20" s="29" t="n"/>
      <c r="R20" s="29" t="n"/>
      <c r="S20" s="29" t="n"/>
      <c r="T20" s="29" t="n"/>
      <c r="U20" s="29" t="n"/>
      <c r="V20" s="122" t="n"/>
      <c r="W20" s="122" t="n"/>
      <c r="X20" s="29" t="n"/>
      <c r="Y20" s="29" t="n"/>
      <c r="Z20" s="29" t="n"/>
      <c r="AA20" s="29" t="n"/>
      <c r="AB20" s="29" t="n"/>
      <c r="AC20" s="122" t="n"/>
      <c r="AD20" s="122" t="n"/>
      <c r="AE20" s="29" t="n"/>
      <c r="AF20" s="29" t="n"/>
      <c r="AG20" s="29" t="n"/>
      <c r="AH20" s="29" t="n"/>
      <c r="AI20" s="29" t="n"/>
      <c r="AJ20" s="122" t="n"/>
      <c r="AK20" s="122" t="n"/>
      <c r="AL20" s="29" t="n"/>
      <c r="AM20" s="29" t="n"/>
      <c r="AN20" s="29" t="n"/>
      <c r="AO20" s="29" t="n"/>
      <c r="AP20" s="29" t="n"/>
      <c r="AQ20" s="122" t="n"/>
      <c r="AR20" s="122" t="n"/>
      <c r="AS20" s="29" t="n"/>
      <c r="AT20" s="29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  <c r="AT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261" t="n"/>
      <c r="Q23" s="30" t="n"/>
      <c r="R23" s="30" t="n"/>
      <c r="S23" s="30" t="n"/>
      <c r="T23" s="30" t="n"/>
      <c r="U23" s="30" t="n"/>
      <c r="V23" s="131" t="n"/>
      <c r="W23" s="131" t="n"/>
      <c r="X23" s="30" t="n"/>
      <c r="Y23" s="30" t="n"/>
      <c r="Z23" s="30" t="n"/>
      <c r="AA23" s="30" t="n"/>
      <c r="AB23" s="30" t="n"/>
      <c r="AC23" s="131" t="n"/>
      <c r="AD23" s="131" t="n"/>
      <c r="AE23" s="30" t="n"/>
      <c r="AF23" s="30" t="n"/>
      <c r="AG23" s="30" t="n"/>
      <c r="AH23" s="30" t="n"/>
      <c r="AI23" s="30" t="n"/>
      <c r="AJ23" s="131" t="n"/>
      <c r="AK23" s="131" t="n"/>
      <c r="AL23" s="30" t="n"/>
      <c r="AM23" s="30" t="n"/>
      <c r="AN23" s="30" t="n"/>
      <c r="AO23" s="30" t="n"/>
      <c r="AP23" s="30" t="n"/>
      <c r="AQ23" s="131" t="n"/>
      <c r="AR23" s="131" t="n"/>
      <c r="AS23" s="30" t="n"/>
      <c r="AT23" s="30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261" t="n"/>
      <c r="Q24" s="30" t="n"/>
      <c r="R24" s="8" t="n"/>
      <c r="S24" s="8" t="n"/>
      <c r="T24" s="8" t="n"/>
      <c r="U24" s="8" t="n"/>
      <c r="V24" s="121" t="n"/>
      <c r="W24" s="121" t="n"/>
      <c r="X24" s="8" t="n"/>
      <c r="Y24" s="8" t="n"/>
      <c r="Z24" s="8" t="n"/>
      <c r="AA24" s="8" t="n"/>
      <c r="AB24" s="8" t="n"/>
      <c r="AC24" s="121" t="n"/>
      <c r="AD24" s="121" t="n"/>
      <c r="AE24" s="8" t="n"/>
      <c r="AF24" s="8" t="n"/>
      <c r="AG24" s="8" t="n"/>
      <c r="AH24" s="8" t="n"/>
      <c r="AI24" s="8" t="n"/>
      <c r="AJ24" s="121" t="n"/>
      <c r="AK24" s="121" t="n"/>
      <c r="AL24" s="8" t="n"/>
      <c r="AM24" s="8" t="n"/>
      <c r="AN24" s="8" t="n"/>
      <c r="AO24" s="8" t="n"/>
      <c r="AP24" s="8" t="n"/>
      <c r="AQ24" s="121" t="n"/>
      <c r="AR24" s="121" t="n"/>
      <c r="AS24" s="8" t="n"/>
      <c r="AT24" s="8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  <c r="AT25" s="207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261" t="n"/>
      <c r="Q26" s="30" t="n"/>
      <c r="R26" s="30" t="n"/>
      <c r="S26" s="30" t="n"/>
      <c r="T26" s="30" t="n"/>
      <c r="U26" s="30" t="n"/>
      <c r="V26" s="131" t="n"/>
      <c r="W26" s="131" t="n"/>
      <c r="X26" s="30" t="n"/>
      <c r="Y26" s="30" t="n"/>
      <c r="Z26" s="30" t="n"/>
      <c r="AA26" s="30" t="n"/>
      <c r="AB26" s="30" t="n"/>
      <c r="AC26" s="131" t="n"/>
      <c r="AD26" s="131" t="n"/>
      <c r="AE26" s="30" t="n"/>
      <c r="AF26" s="30" t="n"/>
      <c r="AG26" s="30" t="n"/>
      <c r="AH26" s="30" t="n"/>
      <c r="AI26" s="30" t="n"/>
      <c r="AJ26" s="131" t="n"/>
      <c r="AK26" s="131" t="n"/>
      <c r="AL26" s="30" t="n"/>
      <c r="AM26" s="30" t="n"/>
      <c r="AN26" s="30" t="n"/>
      <c r="AO26" s="30" t="n"/>
      <c r="AP26" s="30" t="n"/>
      <c r="AQ26" s="131" t="n"/>
      <c r="AR26" s="131" t="n"/>
      <c r="AS26" s="30" t="n"/>
      <c r="AT26" s="30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261" t="n"/>
      <c r="Q27" s="30" t="n"/>
      <c r="R27" s="30" t="n"/>
      <c r="S27" s="30" t="n"/>
      <c r="T27" s="30" t="n"/>
      <c r="U27" s="30" t="n"/>
      <c r="V27" s="121" t="n"/>
      <c r="W27" s="121" t="n"/>
      <c r="X27" s="8" t="n"/>
      <c r="Y27" s="8" t="n"/>
      <c r="Z27" s="8" t="n"/>
      <c r="AA27" s="8" t="n"/>
      <c r="AB27" s="8" t="n"/>
      <c r="AC27" s="121" t="n"/>
      <c r="AD27" s="121" t="n"/>
      <c r="AE27" s="8" t="n"/>
      <c r="AF27" s="8" t="n"/>
      <c r="AG27" s="8" t="n"/>
      <c r="AH27" s="8" t="n"/>
      <c r="AI27" s="8" t="n"/>
      <c r="AJ27" s="121" t="n"/>
      <c r="AK27" s="121" t="n"/>
      <c r="AL27" s="8" t="n"/>
      <c r="AM27" s="8" t="n"/>
      <c r="AN27" s="8" t="n"/>
      <c r="AO27" s="8" t="n"/>
      <c r="AP27" s="8" t="n"/>
      <c r="AQ27" s="121" t="n"/>
      <c r="AR27" s="121" t="n"/>
      <c r="AS27" s="8" t="n"/>
      <c r="AT27" s="8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261" t="n"/>
      <c r="Q28" s="30" t="n"/>
      <c r="R28" s="30" t="n"/>
      <c r="S28" s="30" t="n"/>
      <c r="T28" s="30" t="n"/>
      <c r="U28" s="30" t="n"/>
      <c r="V28" s="131" t="n"/>
      <c r="W28" s="131" t="n"/>
      <c r="X28" s="30" t="n"/>
      <c r="Y28" s="30" t="n"/>
      <c r="Z28" s="30" t="n"/>
      <c r="AA28" s="30" t="n"/>
      <c r="AB28" s="30" t="n"/>
      <c r="AC28" s="131" t="n"/>
      <c r="AD28" s="131" t="n"/>
      <c r="AE28" s="30" t="n"/>
      <c r="AF28" s="30" t="n"/>
      <c r="AG28" s="30" t="n"/>
      <c r="AH28" s="30" t="n"/>
      <c r="AI28" s="30" t="n"/>
      <c r="AJ28" s="131" t="n"/>
      <c r="AK28" s="131" t="n"/>
      <c r="AL28" s="30" t="n"/>
      <c r="AM28" s="30" t="n"/>
      <c r="AN28" s="30" t="n"/>
      <c r="AO28" s="30" t="n"/>
      <c r="AP28" s="30" t="n"/>
      <c r="AQ28" s="131" t="n"/>
      <c r="AR28" s="131" t="n"/>
      <c r="AS28" s="30" t="n"/>
      <c r="AT28" s="30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261" t="n"/>
      <c r="Q29" s="30" t="n"/>
      <c r="R29" s="8" t="n"/>
      <c r="S29" s="8" t="n"/>
      <c r="T29" s="8" t="n"/>
      <c r="U29" s="8" t="n"/>
      <c r="V29" s="121" t="n"/>
      <c r="W29" s="121" t="n"/>
      <c r="X29" s="8" t="n"/>
      <c r="Y29" s="8" t="n"/>
      <c r="Z29" s="8" t="n"/>
      <c r="AA29" s="8" t="n"/>
      <c r="AB29" s="8" t="n"/>
      <c r="AC29" s="121" t="n"/>
      <c r="AD29" s="121" t="n"/>
      <c r="AE29" s="8" t="n"/>
      <c r="AF29" s="8" t="n"/>
      <c r="AG29" s="8" t="n"/>
      <c r="AH29" s="8" t="n"/>
      <c r="AI29" s="8" t="n"/>
      <c r="AJ29" s="121" t="n"/>
      <c r="AK29" s="121" t="n"/>
      <c r="AL29" s="8" t="n"/>
      <c r="AM29" s="8" t="n"/>
      <c r="AN29" s="8" t="n"/>
      <c r="AO29" s="8" t="n"/>
      <c r="AP29" s="8" t="n"/>
      <c r="AQ29" s="121" t="n"/>
      <c r="AR29" s="121" t="n"/>
      <c r="AS29" s="8" t="n"/>
      <c r="AT29" s="8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261" t="n"/>
      <c r="Q31" s="30" t="n"/>
      <c r="R31" s="8" t="n"/>
      <c r="S31" s="8" t="n"/>
      <c r="T31" s="8" t="n"/>
      <c r="U31" s="8" t="n"/>
      <c r="V31" s="121" t="n"/>
      <c r="W31" s="121" t="n"/>
      <c r="X31" s="8" t="n"/>
      <c r="Y31" s="8" t="n"/>
      <c r="Z31" s="8" t="n"/>
      <c r="AA31" s="8" t="n"/>
      <c r="AB31" s="8" t="n"/>
      <c r="AC31" s="121" t="n"/>
      <c r="AD31" s="121" t="n"/>
      <c r="AE31" s="8" t="n"/>
      <c r="AF31" s="8" t="n"/>
      <c r="AG31" s="8" t="n"/>
      <c r="AH31" s="8" t="n"/>
      <c r="AI31" s="8" t="n"/>
      <c r="AJ31" s="121" t="n"/>
      <c r="AK31" s="121" t="n"/>
      <c r="AL31" s="8" t="n"/>
      <c r="AM31" s="8" t="n"/>
      <c r="AN31" s="8" t="n"/>
      <c r="AO31" s="8" t="n"/>
      <c r="AP31" s="8" t="n"/>
      <c r="AQ31" s="121" t="n"/>
      <c r="AR31" s="121" t="n"/>
      <c r="AS31" s="8" t="n"/>
      <c r="AT31" s="8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261" t="n"/>
      <c r="Q32" s="30" t="n"/>
      <c r="R32" s="8" t="n"/>
      <c r="S32" s="8" t="n"/>
      <c r="T32" s="8" t="n"/>
      <c r="U32" s="8" t="n"/>
      <c r="V32" s="121" t="n"/>
      <c r="W32" s="121" t="n"/>
      <c r="X32" s="8" t="n"/>
      <c r="Y32" s="8" t="n"/>
      <c r="Z32" s="8" t="n"/>
      <c r="AA32" s="8" t="n"/>
      <c r="AB32" s="8" t="n"/>
      <c r="AC32" s="121" t="n"/>
      <c r="AD32" s="121" t="n"/>
      <c r="AE32" s="8" t="n"/>
      <c r="AF32" s="8" t="n"/>
      <c r="AG32" s="8" t="n"/>
      <c r="AH32" s="8" t="n"/>
      <c r="AI32" s="8" t="n"/>
      <c r="AJ32" s="121" t="n"/>
      <c r="AK32" s="121" t="n"/>
      <c r="AL32" s="8" t="n"/>
      <c r="AM32" s="8" t="n"/>
      <c r="AN32" s="8" t="n"/>
      <c r="AO32" s="8" t="n"/>
      <c r="AP32" s="8" t="n"/>
      <c r="AQ32" s="121" t="n"/>
      <c r="AR32" s="121" t="n"/>
      <c r="AS32" s="8" t="n"/>
      <c r="AT32" s="8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261" t="n"/>
      <c r="Q33" s="30" t="n"/>
      <c r="R33" s="8" t="n"/>
      <c r="S33" s="8" t="n"/>
      <c r="T33" s="8" t="n"/>
      <c r="U33" s="8" t="n"/>
      <c r="V33" s="121" t="n"/>
      <c r="W33" s="121" t="n"/>
      <c r="X33" s="8" t="n"/>
      <c r="Y33" s="8" t="n"/>
      <c r="Z33" s="8" t="n"/>
      <c r="AA33" s="8" t="n"/>
      <c r="AB33" s="8" t="n"/>
      <c r="AC33" s="121" t="n"/>
      <c r="AD33" s="121" t="n"/>
      <c r="AE33" s="8" t="n"/>
      <c r="AF33" s="8" t="n"/>
      <c r="AG33" s="8" t="n"/>
      <c r="AH33" s="8" t="n"/>
      <c r="AI33" s="8" t="n"/>
      <c r="AJ33" s="121" t="n"/>
      <c r="AK33" s="121" t="n"/>
      <c r="AL33" s="8" t="n"/>
      <c r="AM33" s="8" t="n"/>
      <c r="AN33" s="8" t="n"/>
      <c r="AO33" s="8" t="n"/>
      <c r="AP33" s="8" t="n"/>
      <c r="AQ33" s="121" t="n"/>
      <c r="AR33" s="121" t="n"/>
      <c r="AS33" s="8" t="n"/>
      <c r="AT33" s="8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261" t="n"/>
      <c r="Q34" s="30" t="n"/>
      <c r="R34" s="8" t="n"/>
      <c r="S34" s="8" t="n"/>
      <c r="T34" s="8" t="n"/>
      <c r="U34" s="8" t="n"/>
      <c r="V34" s="121" t="n"/>
      <c r="W34" s="121" t="n"/>
      <c r="X34" s="8" t="n"/>
      <c r="Y34" s="8" t="n"/>
      <c r="Z34" s="8" t="n"/>
      <c r="AA34" s="8" t="n"/>
      <c r="AB34" s="8" t="n"/>
      <c r="AC34" s="121" t="n"/>
      <c r="AD34" s="121" t="n"/>
      <c r="AE34" s="8" t="n"/>
      <c r="AF34" s="8" t="n"/>
      <c r="AG34" s="8" t="n"/>
      <c r="AH34" s="8" t="n"/>
      <c r="AI34" s="8" t="n"/>
      <c r="AJ34" s="121" t="n"/>
      <c r="AK34" s="121" t="n"/>
      <c r="AL34" s="8" t="n"/>
      <c r="AM34" s="8" t="n"/>
      <c r="AN34" s="8" t="n"/>
      <c r="AO34" s="8" t="n"/>
      <c r="AP34" s="8" t="n"/>
      <c r="AQ34" s="121" t="n"/>
      <c r="AR34" s="121" t="n"/>
      <c r="AS34" s="8" t="n"/>
      <c r="AT34" s="8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261" t="n"/>
      <c r="Q35" s="30" t="n"/>
      <c r="R35" s="8" t="n"/>
      <c r="S35" s="8" t="n"/>
      <c r="T35" s="8" t="n"/>
      <c r="U35" s="8" t="n"/>
      <c r="V35" s="121" t="n"/>
      <c r="W35" s="121" t="n"/>
      <c r="X35" s="8" t="n"/>
      <c r="Y35" s="8" t="n"/>
      <c r="Z35" s="8" t="n"/>
      <c r="AA35" s="8" t="n"/>
      <c r="AB35" s="8" t="n"/>
      <c r="AC35" s="121" t="n"/>
      <c r="AD35" s="121" t="n"/>
      <c r="AE35" s="8" t="n"/>
      <c r="AF35" s="8" t="n"/>
      <c r="AG35" s="8" t="n"/>
      <c r="AH35" s="8" t="n"/>
      <c r="AI35" s="8" t="n"/>
      <c r="AJ35" s="121" t="n"/>
      <c r="AK35" s="121" t="n"/>
      <c r="AL35" s="8" t="n"/>
      <c r="AM35" s="8" t="n"/>
      <c r="AN35" s="8" t="n"/>
      <c r="AO35" s="8" t="n"/>
      <c r="AP35" s="8" t="n"/>
      <c r="AQ35" s="121" t="n"/>
      <c r="AR35" s="121" t="n"/>
      <c r="AS35" s="8" t="n"/>
      <c r="AT35" s="8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261" t="n"/>
      <c r="Q36" s="30" t="n"/>
      <c r="R36" s="8" t="n"/>
      <c r="S36" s="8" t="n"/>
      <c r="T36" s="8" t="n"/>
      <c r="U36" s="8" t="n"/>
      <c r="V36" s="121" t="n"/>
      <c r="W36" s="121" t="n"/>
      <c r="X36" s="8" t="n"/>
      <c r="Y36" s="8" t="n"/>
      <c r="Z36" s="8" t="n"/>
      <c r="AA36" s="8" t="n"/>
      <c r="AB36" s="8" t="n"/>
      <c r="AC36" s="121" t="n"/>
      <c r="AD36" s="121" t="n"/>
      <c r="AE36" s="8" t="n"/>
      <c r="AF36" s="8" t="n"/>
      <c r="AG36" s="8" t="n"/>
      <c r="AH36" s="8" t="n"/>
      <c r="AI36" s="8" t="n"/>
      <c r="AJ36" s="121" t="n"/>
      <c r="AK36" s="121" t="n"/>
      <c r="AL36" s="8" t="n"/>
      <c r="AM36" s="8" t="n"/>
      <c r="AN36" s="8" t="n"/>
      <c r="AO36" s="8" t="n"/>
      <c r="AP36" s="8" t="n"/>
      <c r="AQ36" s="121" t="n"/>
      <c r="AR36" s="121" t="n"/>
      <c r="AS36" s="8" t="n"/>
      <c r="AT36" s="8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14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242" t="n"/>
      <c r="Q39" s="28" t="n"/>
      <c r="R39" s="28" t="n"/>
      <c r="S39" s="28" t="n"/>
      <c r="T39" s="28" t="n"/>
      <c r="U39" s="28" t="n"/>
      <c r="V39" s="113" t="n"/>
      <c r="W39" s="113" t="n"/>
      <c r="X39" s="28" t="n"/>
      <c r="Y39" s="28" t="n"/>
      <c r="Z39" s="28" t="n"/>
      <c r="AA39" s="28" t="n"/>
      <c r="AB39" s="28" t="n"/>
      <c r="AC39" s="113" t="n"/>
      <c r="AD39" s="113" t="n"/>
      <c r="AE39" s="28" t="n"/>
      <c r="AF39" s="28" t="n"/>
      <c r="AG39" s="28" t="n"/>
      <c r="AH39" s="28" t="n"/>
      <c r="AI39" s="28" t="n"/>
      <c r="AJ39" s="113" t="n"/>
      <c r="AK39" s="113" t="n"/>
      <c r="AL39" s="28" t="n"/>
      <c r="AM39" s="28" t="n"/>
      <c r="AN39" s="28" t="n"/>
      <c r="AO39" s="28" t="n"/>
      <c r="AP39" s="28" t="n"/>
      <c r="AQ39" s="113" t="n"/>
      <c r="AR39" s="113" t="n"/>
      <c r="AS39" s="28" t="n"/>
      <c r="AT39" s="42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245" t="n"/>
      <c r="Q40" s="8" t="n"/>
      <c r="R40" s="8" t="n"/>
      <c r="S40" s="8" t="n"/>
      <c r="T40" s="8" t="n"/>
      <c r="U40" s="8" t="n"/>
      <c r="V40" s="121" t="n"/>
      <c r="W40" s="121" t="n"/>
      <c r="X40" s="8" t="n"/>
      <c r="Y40" s="8" t="n"/>
      <c r="Z40" s="8" t="n"/>
      <c r="AA40" s="8" t="n"/>
      <c r="AB40" s="8" t="n"/>
      <c r="AC40" s="121" t="n"/>
      <c r="AD40" s="121" t="n"/>
      <c r="AE40" s="8" t="n"/>
      <c r="AF40" s="8" t="n"/>
      <c r="AG40" s="8" t="n"/>
      <c r="AH40" s="8" t="n"/>
      <c r="AI40" s="8" t="n"/>
      <c r="AJ40" s="121" t="n"/>
      <c r="AK40" s="121" t="n"/>
      <c r="AL40" s="8" t="n"/>
      <c r="AM40" s="8" t="n"/>
      <c r="AN40" s="8" t="n"/>
      <c r="AO40" s="8" t="n"/>
      <c r="AP40" s="8" t="n"/>
      <c r="AQ40" s="121" t="n"/>
      <c r="AR40" s="121" t="n"/>
      <c r="AS40" s="8" t="n"/>
      <c r="AT40" s="43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245" t="n"/>
      <c r="Q41" s="8" t="n"/>
      <c r="R41" s="8" t="n"/>
      <c r="S41" s="8" t="n"/>
      <c r="T41" s="8" t="n"/>
      <c r="U41" s="8" t="n"/>
      <c r="V41" s="121" t="n"/>
      <c r="W41" s="121" t="n"/>
      <c r="X41" s="8" t="n"/>
      <c r="Y41" s="8" t="n"/>
      <c r="Z41" s="8" t="n"/>
      <c r="AA41" s="8" t="n"/>
      <c r="AB41" s="8" t="n"/>
      <c r="AC41" s="121" t="n"/>
      <c r="AD41" s="121" t="n"/>
      <c r="AE41" s="8" t="n"/>
      <c r="AF41" s="8" t="n"/>
      <c r="AG41" s="8" t="n"/>
      <c r="AH41" s="8" t="n"/>
      <c r="AI41" s="8" t="n"/>
      <c r="AJ41" s="121" t="n"/>
      <c r="AK41" s="121" t="n"/>
      <c r="AL41" s="8" t="n"/>
      <c r="AM41" s="8" t="n"/>
      <c r="AN41" s="8" t="n"/>
      <c r="AO41" s="8" t="n"/>
      <c r="AP41" s="8" t="n"/>
      <c r="AQ41" s="121" t="n"/>
      <c r="AR41" s="121" t="n"/>
      <c r="AS41" s="8" t="n"/>
      <c r="AT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245" t="n"/>
      <c r="Q42" s="8" t="n"/>
      <c r="R42" s="8" t="n"/>
      <c r="S42" s="8" t="n"/>
      <c r="T42" s="8" t="n"/>
      <c r="U42" s="8" t="n"/>
      <c r="V42" s="121" t="n"/>
      <c r="W42" s="121" t="n"/>
      <c r="X42" s="8" t="n"/>
      <c r="Y42" s="8" t="n"/>
      <c r="Z42" s="8" t="n"/>
      <c r="AA42" s="8" t="n"/>
      <c r="AB42" s="8" t="n"/>
      <c r="AC42" s="121" t="n"/>
      <c r="AD42" s="121" t="n"/>
      <c r="AE42" s="8" t="n"/>
      <c r="AF42" s="8" t="n"/>
      <c r="AG42" s="8" t="n"/>
      <c r="AH42" s="8" t="n"/>
      <c r="AI42" s="8" t="n"/>
      <c r="AJ42" s="121" t="n"/>
      <c r="AK42" s="121" t="n"/>
      <c r="AL42" s="8" t="n"/>
      <c r="AM42" s="8" t="n"/>
      <c r="AN42" s="8" t="n"/>
      <c r="AO42" s="8" t="n"/>
      <c r="AP42" s="8" t="n"/>
      <c r="AQ42" s="121" t="n"/>
      <c r="AR42" s="121" t="n"/>
      <c r="AS42" s="8" t="n"/>
      <c r="AT42" s="43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245" t="n"/>
      <c r="Q43" s="8" t="n"/>
      <c r="R43" s="8" t="n"/>
      <c r="S43" s="8" t="n"/>
      <c r="T43" s="8" t="n"/>
      <c r="U43" s="8" t="n"/>
      <c r="V43" s="121" t="n"/>
      <c r="W43" s="121" t="n"/>
      <c r="X43" s="8" t="n"/>
      <c r="Y43" s="8" t="n"/>
      <c r="Z43" s="8" t="n"/>
      <c r="AA43" s="8" t="n"/>
      <c r="AB43" s="8" t="n"/>
      <c r="AC43" s="121" t="n"/>
      <c r="AD43" s="121" t="n"/>
      <c r="AE43" s="8" t="n"/>
      <c r="AF43" s="8" t="n"/>
      <c r="AG43" s="8" t="n"/>
      <c r="AH43" s="8" t="n"/>
      <c r="AI43" s="8" t="n"/>
      <c r="AJ43" s="121" t="n"/>
      <c r="AK43" s="121" t="n"/>
      <c r="AL43" s="8" t="n"/>
      <c r="AM43" s="8" t="n"/>
      <c r="AN43" s="8" t="n"/>
      <c r="AO43" s="8" t="n"/>
      <c r="AP43" s="8" t="n"/>
      <c r="AQ43" s="121" t="n"/>
      <c r="AR43" s="121" t="n"/>
      <c r="AS43" s="8" t="n"/>
      <c r="AT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245" t="n"/>
      <c r="Q44" s="8" t="n"/>
      <c r="R44" s="8" t="n"/>
      <c r="S44" s="8" t="n"/>
      <c r="T44" s="8" t="n"/>
      <c r="U44" s="8" t="n"/>
      <c r="V44" s="121" t="n"/>
      <c r="W44" s="121" t="n"/>
      <c r="X44" s="8" t="n"/>
      <c r="Y44" s="8" t="n"/>
      <c r="Z44" s="8" t="n"/>
      <c r="AA44" s="8" t="n"/>
      <c r="AB44" s="8" t="n"/>
      <c r="AC44" s="121" t="n"/>
      <c r="AD44" s="121" t="n"/>
      <c r="AE44" s="8" t="n"/>
      <c r="AF44" s="8" t="n"/>
      <c r="AG44" s="8" t="n"/>
      <c r="AH44" s="8" t="n"/>
      <c r="AI44" s="8" t="n"/>
      <c r="AJ44" s="121" t="n"/>
      <c r="AK44" s="121" t="n"/>
      <c r="AL44" s="8" t="n"/>
      <c r="AM44" s="8" t="n"/>
      <c r="AN44" s="8" t="n"/>
      <c r="AO44" s="8" t="n"/>
      <c r="AP44" s="8" t="n"/>
      <c r="AQ44" s="121" t="n"/>
      <c r="AR44" s="121" t="n"/>
      <c r="AS44" s="8" t="n"/>
      <c r="AT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245" t="inlineStr">
        <is>
          <t>AT</t>
        </is>
      </c>
      <c r="Q45" s="154" t="inlineStr">
        <is>
          <t>AT</t>
        </is>
      </c>
      <c r="R45" s="154" t="inlineStr">
        <is>
          <t>AT</t>
        </is>
      </c>
      <c r="S45" s="154" t="inlineStr">
        <is>
          <t>AT</t>
        </is>
      </c>
      <c r="T45" s="154" t="inlineStr">
        <is>
          <t>AT</t>
        </is>
      </c>
      <c r="U45" s="154" t="inlineStr">
        <is>
          <t>AT</t>
        </is>
      </c>
      <c r="V45" s="154" t="inlineStr">
        <is>
          <t>AT</t>
        </is>
      </c>
      <c r="W45" s="154" t="inlineStr">
        <is>
          <t>AT</t>
        </is>
      </c>
      <c r="X45" s="154" t="inlineStr">
        <is>
          <t>AT</t>
        </is>
      </c>
      <c r="Y45" s="154" t="inlineStr">
        <is>
          <t>AT</t>
        </is>
      </c>
      <c r="Z45" s="154" t="inlineStr">
        <is>
          <t>AT</t>
        </is>
      </c>
      <c r="AA45" s="154" t="inlineStr">
        <is>
          <t>AT</t>
        </is>
      </c>
      <c r="AB45" s="154" t="inlineStr">
        <is>
          <t>AT</t>
        </is>
      </c>
      <c r="AC45" s="154" t="inlineStr">
        <is>
          <t>AT</t>
        </is>
      </c>
      <c r="AD45" s="154" t="inlineStr">
        <is>
          <t>AT</t>
        </is>
      </c>
      <c r="AE45" s="154" t="inlineStr">
        <is>
          <t>AT</t>
        </is>
      </c>
      <c r="AF45" s="154" t="inlineStr">
        <is>
          <t>AT</t>
        </is>
      </c>
      <c r="AG45" s="154" t="inlineStr">
        <is>
          <t>AT</t>
        </is>
      </c>
      <c r="AH45" s="154" t="inlineStr">
        <is>
          <t>AT</t>
        </is>
      </c>
      <c r="AI45" s="154" t="inlineStr">
        <is>
          <t>AT</t>
        </is>
      </c>
      <c r="AJ45" s="154" t="inlineStr">
        <is>
          <t>AT</t>
        </is>
      </c>
      <c r="AK45" s="154" t="inlineStr">
        <is>
          <t>AT</t>
        </is>
      </c>
      <c r="AL45" s="154" t="inlineStr">
        <is>
          <t>AT</t>
        </is>
      </c>
      <c r="AM45" s="154" t="inlineStr">
        <is>
          <t>AT</t>
        </is>
      </c>
      <c r="AN45" s="154" t="inlineStr">
        <is>
          <t>AT</t>
        </is>
      </c>
      <c r="AO45" s="154" t="inlineStr">
        <is>
          <t>AT</t>
        </is>
      </c>
      <c r="AP45" s="154" t="inlineStr">
        <is>
          <t>AT</t>
        </is>
      </c>
      <c r="AQ45" s="154" t="inlineStr">
        <is>
          <t>AT</t>
        </is>
      </c>
      <c r="AR45" s="154" t="inlineStr">
        <is>
          <t>AT</t>
        </is>
      </c>
      <c r="AS45" s="154" t="inlineStr">
        <is>
          <t>AT</t>
        </is>
      </c>
      <c r="AT45" s="156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245" t="n"/>
      <c r="Q46" s="8" t="n"/>
      <c r="R46" s="8" t="n"/>
      <c r="S46" s="8" t="n"/>
      <c r="T46" s="8" t="n"/>
      <c r="U46" s="8" t="n"/>
      <c r="V46" s="121" t="n"/>
      <c r="W46" s="121" t="n"/>
      <c r="X46" s="8" t="n"/>
      <c r="Y46" s="8" t="n"/>
      <c r="Z46" s="8" t="n"/>
      <c r="AA46" s="8" t="n"/>
      <c r="AB46" s="8" t="n"/>
      <c r="AC46" s="121" t="n"/>
      <c r="AD46" s="121" t="n"/>
      <c r="AE46" s="8" t="n"/>
      <c r="AF46" s="8" t="n"/>
      <c r="AG46" s="8" t="n"/>
      <c r="AH46" s="8" t="n"/>
      <c r="AI46" s="8" t="n"/>
      <c r="AJ46" s="121" t="n"/>
      <c r="AK46" s="121" t="n"/>
      <c r="AL46" s="8" t="n"/>
      <c r="AM46" s="8" t="n"/>
      <c r="AN46" s="8" t="n"/>
      <c r="AO46" s="8" t="n"/>
      <c r="AP46" s="8" t="n"/>
      <c r="AQ46" s="121" t="n"/>
      <c r="AR46" s="121" t="n"/>
      <c r="AS46" s="8" t="n"/>
      <c r="AT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245" t="n"/>
      <c r="Q47" s="8" t="n"/>
      <c r="R47" s="8" t="n"/>
      <c r="S47" s="8" t="n"/>
      <c r="T47" s="8" t="n"/>
      <c r="U47" s="8" t="n"/>
      <c r="V47" s="121" t="n"/>
      <c r="W47" s="121" t="n"/>
      <c r="X47" s="8" t="n"/>
      <c r="Y47" s="8" t="n"/>
      <c r="Z47" s="8" t="n"/>
      <c r="AA47" s="8" t="n"/>
      <c r="AB47" s="8" t="n"/>
      <c r="AC47" s="121" t="n"/>
      <c r="AD47" s="121" t="n"/>
      <c r="AE47" s="8" t="n"/>
      <c r="AF47" s="8" t="n"/>
      <c r="AG47" s="8" t="n"/>
      <c r="AH47" s="8" t="n"/>
      <c r="AI47" s="8" t="n"/>
      <c r="AJ47" s="121" t="n"/>
      <c r="AK47" s="121" t="n"/>
      <c r="AL47" s="8" t="n"/>
      <c r="AM47" s="8" t="n"/>
      <c r="AN47" s="8" t="n"/>
      <c r="AO47" s="8" t="n"/>
      <c r="AP47" s="8" t="n"/>
      <c r="AQ47" s="121" t="n"/>
      <c r="AR47" s="121" t="n"/>
      <c r="AS47" s="8" t="n"/>
      <c r="AT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245" t="n"/>
      <c r="Q48" s="8" t="n"/>
      <c r="R48" s="8" t="n"/>
      <c r="S48" s="8" t="n"/>
      <c r="T48" s="8" t="n"/>
      <c r="U48" s="8" t="n"/>
      <c r="V48" s="121" t="n"/>
      <c r="W48" s="121" t="n"/>
      <c r="X48" s="8" t="n"/>
      <c r="Y48" s="8" t="n"/>
      <c r="Z48" s="8" t="n"/>
      <c r="AA48" s="8" t="n"/>
      <c r="AB48" s="8" t="n"/>
      <c r="AC48" s="121" t="n"/>
      <c r="AD48" s="121" t="n"/>
      <c r="AE48" s="8" t="n"/>
      <c r="AF48" s="8" t="n"/>
      <c r="AG48" s="8" t="n"/>
      <c r="AH48" s="8" t="n"/>
      <c r="AI48" s="8" t="n"/>
      <c r="AJ48" s="121" t="n"/>
      <c r="AK48" s="121" t="n"/>
      <c r="AL48" s="8" t="n"/>
      <c r="AM48" s="8" t="n"/>
      <c r="AN48" s="8" t="n"/>
      <c r="AO48" s="8" t="n"/>
      <c r="AP48" s="8" t="n"/>
      <c r="AQ48" s="121" t="n"/>
      <c r="AR48" s="121" t="n"/>
      <c r="AS48" s="8" t="n"/>
      <c r="AT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262" t="n"/>
      <c r="Q49" s="29" t="n"/>
      <c r="R49" s="29" t="n"/>
      <c r="S49" s="29" t="n"/>
      <c r="T49" s="29" t="n"/>
      <c r="U49" s="29" t="n"/>
      <c r="V49" s="122" t="n"/>
      <c r="W49" s="122" t="n"/>
      <c r="X49" s="29" t="n"/>
      <c r="Y49" s="29" t="n"/>
      <c r="Z49" s="29" t="n"/>
      <c r="AA49" s="29" t="n"/>
      <c r="AB49" s="29" t="n"/>
      <c r="AC49" s="122" t="n"/>
      <c r="AD49" s="122" t="n"/>
      <c r="AE49" s="29" t="n"/>
      <c r="AF49" s="29" t="n"/>
      <c r="AG49" s="29" t="n"/>
      <c r="AH49" s="29" t="n"/>
      <c r="AI49" s="29" t="n"/>
      <c r="AJ49" s="122" t="n"/>
      <c r="AK49" s="122" t="n"/>
      <c r="AL49" s="29" t="n"/>
      <c r="AM49" s="29" t="n"/>
      <c r="AN49" s="29" t="n"/>
      <c r="AO49" s="29" t="n"/>
      <c r="AP49" s="29" t="n"/>
      <c r="AQ49" s="122" t="n"/>
      <c r="AR49" s="122" t="n"/>
      <c r="AS49" s="29" t="n"/>
      <c r="AT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313" t="n"/>
      <c r="Q50" s="313" t="n"/>
      <c r="R50" s="313" t="n"/>
      <c r="S50" s="313" t="n"/>
      <c r="T50" s="313" t="n"/>
      <c r="U50" s="313" t="n"/>
      <c r="V50" s="313" t="n"/>
      <c r="W50" s="313" t="n"/>
      <c r="X50" s="313" t="n"/>
      <c r="Y50" s="313" t="n"/>
      <c r="Z50" s="313" t="n"/>
      <c r="AA50" s="313" t="n"/>
      <c r="AB50" s="313" t="n"/>
      <c r="AC50" s="313" t="n"/>
      <c r="AD50" s="313" t="n"/>
      <c r="AE50" s="313" t="n"/>
      <c r="AF50" s="313" t="n"/>
      <c r="AG50" s="313" t="n"/>
      <c r="AH50" s="313" t="n"/>
      <c r="AI50" s="313" t="n"/>
      <c r="AJ50" s="313" t="n"/>
      <c r="AK50" s="313" t="n"/>
      <c r="AL50" s="313" t="n"/>
      <c r="AM50" s="313" t="n"/>
      <c r="AN50" s="313" t="n"/>
      <c r="AO50" s="313" t="n"/>
      <c r="AP50" s="313" t="n"/>
      <c r="AQ50" s="313" t="n"/>
      <c r="AR50" s="313" t="n"/>
      <c r="AS50" s="315" t="n"/>
      <c r="AT50" s="315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261" t="n"/>
      <c r="Q51" s="30" t="n"/>
      <c r="R51" s="30" t="n"/>
      <c r="S51" s="30" t="n"/>
      <c r="T51" s="30" t="n"/>
      <c r="U51" s="30" t="n"/>
      <c r="V51" s="131" t="n"/>
      <c r="W51" s="131" t="n"/>
      <c r="X51" s="30" t="n"/>
      <c r="Y51" s="30" t="n"/>
      <c r="Z51" s="30" t="n"/>
      <c r="AA51" s="30" t="n"/>
      <c r="AB51" s="30" t="n"/>
      <c r="AC51" s="131" t="n"/>
      <c r="AD51" s="131" t="n"/>
      <c r="AE51" s="30" t="n"/>
      <c r="AF51" s="30" t="n"/>
      <c r="AG51" s="30" t="n"/>
      <c r="AH51" s="30" t="n"/>
      <c r="AI51" s="30" t="n"/>
      <c r="AJ51" s="131" t="n"/>
      <c r="AK51" s="131" t="n"/>
      <c r="AL51" s="30" t="n"/>
      <c r="AM51" s="30" t="n"/>
      <c r="AN51" s="30" t="n"/>
      <c r="AO51" s="30" t="n"/>
      <c r="AP51" s="30" t="n"/>
      <c r="AQ51" s="131" t="n"/>
      <c r="AR51" s="131" t="n"/>
      <c r="AS51" s="30" t="n"/>
      <c r="AT51" s="30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261" t="n"/>
      <c r="Q52" s="30" t="n"/>
      <c r="R52" s="30" t="n"/>
      <c r="S52" s="30" t="n"/>
      <c r="T52" s="30" t="n"/>
      <c r="U52" s="30" t="n"/>
      <c r="V52" s="131" t="n"/>
      <c r="W52" s="131" t="n"/>
      <c r="X52" s="30" t="n"/>
      <c r="Y52" s="30" t="n"/>
      <c r="Z52" s="30" t="n"/>
      <c r="AA52" s="30" t="n"/>
      <c r="AB52" s="30" t="n"/>
      <c r="AC52" s="131" t="n"/>
      <c r="AD52" s="131" t="n"/>
      <c r="AE52" s="30" t="n"/>
      <c r="AF52" s="30" t="n"/>
      <c r="AG52" s="30" t="n"/>
      <c r="AH52" s="30" t="n"/>
      <c r="AI52" s="30" t="n"/>
      <c r="AJ52" s="131" t="n"/>
      <c r="AK52" s="131" t="n"/>
      <c r="AL52" s="30" t="n"/>
      <c r="AM52" s="30" t="n"/>
      <c r="AN52" s="30" t="n"/>
      <c r="AO52" s="30" t="n"/>
      <c r="AP52" s="30" t="n"/>
      <c r="AQ52" s="131" t="n"/>
      <c r="AR52" s="131" t="n"/>
      <c r="AS52" s="30" t="n"/>
      <c r="AT52" s="30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261" t="n"/>
      <c r="Q53" s="30" t="n"/>
      <c r="R53" s="30" t="n"/>
      <c r="S53" s="30" t="n"/>
      <c r="T53" s="30" t="n"/>
      <c r="U53" s="30" t="n"/>
      <c r="V53" s="131" t="n"/>
      <c r="W53" s="131" t="n"/>
      <c r="X53" s="30" t="n"/>
      <c r="Y53" s="30" t="n"/>
      <c r="Z53" s="30" t="n"/>
      <c r="AA53" s="30" t="n"/>
      <c r="AB53" s="30" t="n"/>
      <c r="AC53" s="131" t="n"/>
      <c r="AD53" s="131" t="n"/>
      <c r="AE53" s="30" t="n"/>
      <c r="AF53" s="30" t="n"/>
      <c r="AG53" s="30" t="n"/>
      <c r="AH53" s="30" t="n"/>
      <c r="AI53" s="30" t="n"/>
      <c r="AJ53" s="131" t="n"/>
      <c r="AK53" s="131" t="n"/>
      <c r="AL53" s="30" t="n"/>
      <c r="AM53" s="30" t="n"/>
      <c r="AN53" s="30" t="n"/>
      <c r="AO53" s="30" t="n"/>
      <c r="AP53" s="30" t="n"/>
      <c r="AQ53" s="131" t="n"/>
      <c r="AR53" s="131" t="n"/>
      <c r="AS53" s="30" t="n"/>
      <c r="AT53" s="30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261" t="n"/>
      <c r="Q54" s="30" t="n"/>
      <c r="R54" s="30" t="n"/>
      <c r="S54" s="30" t="n"/>
      <c r="T54" s="30" t="n"/>
      <c r="U54" s="30" t="n"/>
      <c r="V54" s="131" t="n"/>
      <c r="W54" s="131" t="n"/>
      <c r="X54" s="30" t="n"/>
      <c r="Y54" s="30" t="n"/>
      <c r="Z54" s="30" t="n"/>
      <c r="AA54" s="30" t="n"/>
      <c r="AB54" s="30" t="n"/>
      <c r="AC54" s="131" t="n"/>
      <c r="AD54" s="131" t="n"/>
      <c r="AE54" s="30" t="n"/>
      <c r="AF54" s="30" t="n"/>
      <c r="AG54" s="30" t="n"/>
      <c r="AH54" s="30" t="n"/>
      <c r="AI54" s="30" t="n"/>
      <c r="AJ54" s="131" t="n"/>
      <c r="AK54" s="131" t="n"/>
      <c r="AL54" s="30" t="n"/>
      <c r="AM54" s="30" t="n"/>
      <c r="AN54" s="30" t="n"/>
      <c r="AO54" s="30" t="n"/>
      <c r="AP54" s="30" t="n"/>
      <c r="AQ54" s="131" t="n"/>
      <c r="AR54" s="131" t="n"/>
      <c r="AS54" s="30" t="n"/>
      <c r="AT54" s="30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261" t="n"/>
      <c r="Q55" s="30" t="n"/>
      <c r="R55" s="30" t="n"/>
      <c r="S55" s="30" t="n"/>
      <c r="T55" s="30" t="n"/>
      <c r="U55" s="30" t="n"/>
      <c r="V55" s="131" t="n"/>
      <c r="W55" s="131" t="n"/>
      <c r="X55" s="30" t="n"/>
      <c r="Y55" s="30" t="n"/>
      <c r="Z55" s="30" t="n"/>
      <c r="AA55" s="30" t="n"/>
      <c r="AB55" s="30" t="n"/>
      <c r="AC55" s="131" t="n"/>
      <c r="AD55" s="131" t="n"/>
      <c r="AE55" s="30" t="n"/>
      <c r="AF55" s="30" t="n"/>
      <c r="AG55" s="30" t="n"/>
      <c r="AH55" s="30" t="n"/>
      <c r="AI55" s="30" t="n"/>
      <c r="AJ55" s="131" t="n"/>
      <c r="AK55" s="131" t="n"/>
      <c r="AL55" s="30" t="n"/>
      <c r="AM55" s="30" t="n"/>
      <c r="AN55" s="30" t="n"/>
      <c r="AO55" s="30" t="n"/>
      <c r="AP55" s="30" t="n"/>
      <c r="AQ55" s="131" t="n"/>
      <c r="AR55" s="131" t="n"/>
      <c r="AS55" s="30" t="n"/>
      <c r="AT55" s="30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261" t="n"/>
      <c r="Q56" s="30" t="n"/>
      <c r="R56" s="30" t="n"/>
      <c r="S56" s="30" t="n"/>
      <c r="T56" s="30" t="n"/>
      <c r="U56" s="30" t="n"/>
      <c r="V56" s="131" t="n"/>
      <c r="W56" s="131" t="n"/>
      <c r="X56" s="30" t="n"/>
      <c r="Y56" s="30" t="n"/>
      <c r="Z56" s="30" t="n"/>
      <c r="AA56" s="30" t="n"/>
      <c r="AB56" s="30" t="n"/>
      <c r="AC56" s="131" t="n"/>
      <c r="AD56" s="131" t="n"/>
      <c r="AE56" s="30" t="n"/>
      <c r="AF56" s="30" t="n"/>
      <c r="AG56" s="30" t="n"/>
      <c r="AH56" s="30" t="n"/>
      <c r="AI56" s="30" t="n"/>
      <c r="AJ56" s="131" t="n"/>
      <c r="AK56" s="131" t="n"/>
      <c r="AL56" s="30" t="n"/>
      <c r="AM56" s="30" t="n"/>
      <c r="AN56" s="30" t="n"/>
      <c r="AO56" s="30" t="n"/>
      <c r="AP56" s="30" t="n"/>
      <c r="AQ56" s="131" t="n"/>
      <c r="AR56" s="131" t="n"/>
      <c r="AS56" s="30" t="n"/>
      <c r="AT56" s="30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261" t="n"/>
      <c r="Q57" s="30" t="n"/>
      <c r="R57" s="30" t="n"/>
      <c r="S57" s="30" t="n"/>
      <c r="T57" s="30" t="n"/>
      <c r="U57" s="30" t="n"/>
      <c r="V57" s="131" t="n"/>
      <c r="W57" s="131" t="n"/>
      <c r="X57" s="30" t="n"/>
      <c r="Y57" s="30" t="n"/>
      <c r="Z57" s="30" t="n"/>
      <c r="AA57" s="30" t="n"/>
      <c r="AB57" s="30" t="n"/>
      <c r="AC57" s="131" t="n"/>
      <c r="AD57" s="131" t="n"/>
      <c r="AE57" s="30" t="n"/>
      <c r="AF57" s="30" t="n"/>
      <c r="AG57" s="30" t="n"/>
      <c r="AH57" s="30" t="n"/>
      <c r="AI57" s="30" t="n"/>
      <c r="AJ57" s="131" t="n"/>
      <c r="AK57" s="131" t="n"/>
      <c r="AL57" s="30" t="n"/>
      <c r="AM57" s="30" t="n"/>
      <c r="AN57" s="30" t="n"/>
      <c r="AO57" s="30" t="n"/>
      <c r="AP57" s="30" t="n"/>
      <c r="AQ57" s="131" t="n"/>
      <c r="AR57" s="131" t="n"/>
      <c r="AS57" s="30" t="n"/>
      <c r="AT57" s="30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261" t="n"/>
      <c r="Q58" s="30" t="n"/>
      <c r="R58" s="30" t="n"/>
      <c r="S58" s="30" t="n"/>
      <c r="T58" s="30" t="n"/>
      <c r="U58" s="30" t="n"/>
      <c r="V58" s="131" t="n"/>
      <c r="W58" s="131" t="n"/>
      <c r="X58" s="30" t="n"/>
      <c r="Y58" s="30" t="n"/>
      <c r="Z58" s="30" t="n"/>
      <c r="AA58" s="30" t="n"/>
      <c r="AB58" s="30" t="n"/>
      <c r="AC58" s="131" t="n"/>
      <c r="AD58" s="131" t="n"/>
      <c r="AE58" s="30" t="n"/>
      <c r="AF58" s="30" t="n"/>
      <c r="AG58" s="30" t="n"/>
      <c r="AH58" s="30" t="n"/>
      <c r="AI58" s="30" t="n"/>
      <c r="AJ58" s="131" t="n"/>
      <c r="AK58" s="131" t="n"/>
      <c r="AL58" s="30" t="n"/>
      <c r="AM58" s="30" t="n"/>
      <c r="AN58" s="30" t="n"/>
      <c r="AO58" s="30" t="n"/>
      <c r="AP58" s="30" t="n"/>
      <c r="AQ58" s="131" t="n"/>
      <c r="AR58" s="131" t="n"/>
      <c r="AS58" s="30" t="n"/>
      <c r="AT58" s="30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261" t="n"/>
      <c r="Q59" s="30" t="n"/>
      <c r="R59" s="30" t="n"/>
      <c r="S59" s="30" t="n"/>
      <c r="T59" s="30" t="n"/>
      <c r="U59" s="30" t="n"/>
      <c r="V59" s="131" t="n"/>
      <c r="W59" s="131" t="n"/>
      <c r="X59" s="30" t="n"/>
      <c r="Y59" s="30" t="n"/>
      <c r="Z59" s="30" t="n"/>
      <c r="AA59" s="30" t="n"/>
      <c r="AB59" s="30" t="n"/>
      <c r="AC59" s="131" t="n"/>
      <c r="AD59" s="131" t="n"/>
      <c r="AE59" s="30" t="n"/>
      <c r="AF59" s="30" t="n"/>
      <c r="AG59" s="30" t="n"/>
      <c r="AH59" s="30" t="n"/>
      <c r="AI59" s="30" t="n"/>
      <c r="AJ59" s="131" t="n"/>
      <c r="AK59" s="131" t="n"/>
      <c r="AL59" s="30" t="n"/>
      <c r="AM59" s="30" t="n"/>
      <c r="AN59" s="30" t="n"/>
      <c r="AO59" s="30" t="n"/>
      <c r="AP59" s="30" t="n"/>
      <c r="AQ59" s="131" t="n"/>
      <c r="AR59" s="131" t="n"/>
      <c r="AS59" s="30" t="n"/>
      <c r="AT59" s="30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261" t="n"/>
      <c r="Q60" s="30" t="n"/>
      <c r="R60" s="30" t="n"/>
      <c r="S60" s="30" t="n"/>
      <c r="T60" s="30" t="n"/>
      <c r="U60" s="30" t="n"/>
      <c r="V60" s="131" t="n"/>
      <c r="W60" s="131" t="n"/>
      <c r="X60" s="30" t="n"/>
      <c r="Y60" s="30" t="n"/>
      <c r="Z60" s="30" t="n"/>
      <c r="AA60" s="30" t="n"/>
      <c r="AB60" s="30" t="n"/>
      <c r="AC60" s="131" t="n"/>
      <c r="AD60" s="131" t="n"/>
      <c r="AE60" s="30" t="n"/>
      <c r="AF60" s="30" t="n"/>
      <c r="AG60" s="30" t="n"/>
      <c r="AH60" s="30" t="n"/>
      <c r="AI60" s="30" t="n"/>
      <c r="AJ60" s="131" t="n"/>
      <c r="AK60" s="131" t="n"/>
      <c r="AL60" s="30" t="n"/>
      <c r="AM60" s="30" t="n"/>
      <c r="AN60" s="30" t="n"/>
      <c r="AO60" s="30" t="n"/>
      <c r="AP60" s="30" t="n"/>
      <c r="AQ60" s="131" t="n"/>
      <c r="AR60" s="131" t="n"/>
      <c r="AS60" s="30" t="n"/>
      <c r="AT60" s="30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261" t="n"/>
      <c r="Q61" s="30" t="n"/>
      <c r="R61" s="30" t="n"/>
      <c r="S61" s="30" t="n"/>
      <c r="T61" s="30" t="n"/>
      <c r="U61" s="30" t="n"/>
      <c r="V61" s="131" t="n"/>
      <c r="W61" s="131" t="n"/>
      <c r="X61" s="30" t="n"/>
      <c r="Y61" s="30" t="n"/>
      <c r="Z61" s="30" t="n"/>
      <c r="AA61" s="30" t="n"/>
      <c r="AB61" s="30" t="n"/>
      <c r="AC61" s="131" t="n"/>
      <c r="AD61" s="131" t="n"/>
      <c r="AE61" s="30" t="n"/>
      <c r="AF61" s="30" t="n"/>
      <c r="AG61" s="30" t="n"/>
      <c r="AH61" s="30" t="n"/>
      <c r="AI61" s="30" t="n"/>
      <c r="AJ61" s="131" t="n"/>
      <c r="AK61" s="131" t="n"/>
      <c r="AL61" s="30" t="n"/>
      <c r="AM61" s="30" t="n"/>
      <c r="AN61" s="30" t="n"/>
      <c r="AO61" s="30" t="n"/>
      <c r="AP61" s="30" t="n"/>
      <c r="AQ61" s="131" t="n"/>
      <c r="AR61" s="131" t="n"/>
      <c r="AS61" s="30" t="n"/>
      <c r="AT61" s="30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261" t="n"/>
      <c r="Q62" s="30" t="n"/>
      <c r="R62" s="30" t="n"/>
      <c r="S62" s="30" t="n"/>
      <c r="T62" s="30" t="n"/>
      <c r="U62" s="30" t="n"/>
      <c r="V62" s="131" t="n"/>
      <c r="W62" s="131" t="n"/>
      <c r="X62" s="30" t="n"/>
      <c r="Y62" s="30" t="n"/>
      <c r="Z62" s="30" t="n"/>
      <c r="AA62" s="30" t="n"/>
      <c r="AB62" s="30" t="n"/>
      <c r="AC62" s="131" t="n"/>
      <c r="AD62" s="131" t="n"/>
      <c r="AE62" s="30" t="n"/>
      <c r="AF62" s="30" t="n"/>
      <c r="AG62" s="30" t="n"/>
      <c r="AH62" s="30" t="n"/>
      <c r="AI62" s="30" t="n"/>
      <c r="AJ62" s="131" t="n"/>
      <c r="AK62" s="131" t="n"/>
      <c r="AL62" s="30" t="n"/>
      <c r="AM62" s="30" t="n"/>
      <c r="AN62" s="30" t="n"/>
      <c r="AO62" s="30" t="n"/>
      <c r="AP62" s="30" t="n"/>
      <c r="AQ62" s="131" t="n"/>
      <c r="AR62" s="131" t="n"/>
      <c r="AS62" s="30" t="n"/>
      <c r="AT62" s="30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261" t="n"/>
      <c r="Q64" s="30" t="n"/>
      <c r="R64" s="30" t="n"/>
      <c r="S64" s="30" t="n"/>
      <c r="T64" s="30" t="n"/>
      <c r="U64" s="30" t="n"/>
      <c r="V64" s="131" t="n"/>
      <c r="W64" s="131" t="n"/>
      <c r="X64" s="30" t="n"/>
      <c r="Y64" s="30" t="n"/>
      <c r="Z64" s="30" t="n"/>
      <c r="AA64" s="30" t="n"/>
      <c r="AB64" s="30" t="n"/>
      <c r="AC64" s="131" t="n"/>
      <c r="AD64" s="131" t="n"/>
      <c r="AE64" s="30" t="n"/>
      <c r="AF64" s="30" t="n"/>
      <c r="AG64" s="30" t="n"/>
      <c r="AH64" s="30" t="n"/>
      <c r="AI64" s="30" t="n"/>
      <c r="AJ64" s="131" t="n"/>
      <c r="AK64" s="131" t="n"/>
      <c r="AL64" s="30" t="n"/>
      <c r="AM64" s="30" t="n"/>
      <c r="AN64" s="30" t="n"/>
      <c r="AO64" s="30" t="n"/>
      <c r="AP64" s="30" t="n"/>
      <c r="AQ64" s="131" t="n"/>
      <c r="AR64" s="131" t="n"/>
      <c r="AS64" s="30" t="n"/>
      <c r="AT64" s="30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261" t="n"/>
      <c r="Q65" s="30" t="n"/>
      <c r="R65" s="30" t="n"/>
      <c r="S65" s="30" t="n"/>
      <c r="T65" s="30" t="n"/>
      <c r="U65" s="30" t="n"/>
      <c r="V65" s="131" t="n"/>
      <c r="W65" s="131" t="n"/>
      <c r="X65" s="30" t="n"/>
      <c r="Y65" s="30" t="n"/>
      <c r="Z65" s="30" t="n"/>
      <c r="AA65" s="30" t="n"/>
      <c r="AB65" s="30" t="n"/>
      <c r="AC65" s="131" t="n"/>
      <c r="AD65" s="131" t="n"/>
      <c r="AE65" s="30" t="n"/>
      <c r="AF65" s="30" t="n"/>
      <c r="AG65" s="30" t="n"/>
      <c r="AH65" s="30" t="n"/>
      <c r="AI65" s="30" t="n"/>
      <c r="AJ65" s="131" t="n"/>
      <c r="AK65" s="131" t="n"/>
      <c r="AL65" s="30" t="n"/>
      <c r="AM65" s="30" t="n"/>
      <c r="AN65" s="30" t="n"/>
      <c r="AO65" s="30" t="n"/>
      <c r="AP65" s="30" t="n"/>
      <c r="AQ65" s="131" t="n"/>
      <c r="AR65" s="131" t="n"/>
      <c r="AS65" s="30" t="n"/>
      <c r="AT65" s="30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261" t="n"/>
      <c r="Q66" s="30" t="n"/>
      <c r="R66" s="30" t="n"/>
      <c r="S66" s="30" t="n"/>
      <c r="T66" s="30" t="n"/>
      <c r="U66" s="30" t="n"/>
      <c r="V66" s="131" t="n"/>
      <c r="W66" s="131" t="n"/>
      <c r="X66" s="30" t="n"/>
      <c r="Y66" s="30" t="n"/>
      <c r="Z66" s="30" t="n"/>
      <c r="AA66" s="30" t="n"/>
      <c r="AB66" s="30" t="n"/>
      <c r="AC66" s="131" t="n"/>
      <c r="AD66" s="131" t="n"/>
      <c r="AE66" s="30" t="n"/>
      <c r="AF66" s="30" t="n"/>
      <c r="AG66" s="30" t="n"/>
      <c r="AH66" s="30" t="n"/>
      <c r="AI66" s="30" t="n"/>
      <c r="AJ66" s="131" t="n"/>
      <c r="AK66" s="131" t="n"/>
      <c r="AL66" s="30" t="n"/>
      <c r="AM66" s="30" t="n"/>
      <c r="AN66" s="30" t="n"/>
      <c r="AO66" s="30" t="n"/>
      <c r="AP66" s="30" t="n"/>
      <c r="AQ66" s="131" t="n"/>
      <c r="AR66" s="131" t="n"/>
      <c r="AS66" s="30" t="n"/>
      <c r="AT66" s="30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261" t="n"/>
      <c r="Q67" s="8" t="n"/>
      <c r="R67" s="8" t="inlineStr">
        <is>
          <t>TP</t>
        </is>
      </c>
      <c r="S67" s="8" t="n"/>
      <c r="T67" s="8" t="inlineStr">
        <is>
          <t>TP</t>
        </is>
      </c>
      <c r="U67" s="8" t="n"/>
      <c r="V67" s="121" t="n"/>
      <c r="W67" s="121" t="n"/>
      <c r="X67" s="8" t="inlineStr">
        <is>
          <t>TP</t>
        </is>
      </c>
      <c r="Y67" s="8" t="n"/>
      <c r="Z67" s="8" t="inlineStr">
        <is>
          <t>TP</t>
        </is>
      </c>
      <c r="AA67" s="8" t="n"/>
      <c r="AB67" s="8" t="inlineStr">
        <is>
          <t>TP</t>
        </is>
      </c>
      <c r="AC67" s="131" t="n"/>
      <c r="AD67" s="131" t="n"/>
      <c r="AE67" s="8" t="n"/>
      <c r="AF67" s="8" t="inlineStr">
        <is>
          <t>TP</t>
        </is>
      </c>
      <c r="AG67" s="8" t="n"/>
      <c r="AH67" s="8" t="inlineStr">
        <is>
          <t>TP</t>
        </is>
      </c>
      <c r="AI67" s="8" t="n"/>
      <c r="AJ67" s="121" t="n"/>
      <c r="AK67" s="121" t="n"/>
      <c r="AL67" s="8" t="inlineStr">
        <is>
          <t>TP</t>
        </is>
      </c>
      <c r="AM67" s="8" t="n"/>
      <c r="AN67" s="8" t="inlineStr">
        <is>
          <t>TP</t>
        </is>
      </c>
      <c r="AO67" s="8" t="n"/>
      <c r="AP67" s="8" t="inlineStr">
        <is>
          <t>TP</t>
        </is>
      </c>
      <c r="AQ67" s="131" t="n"/>
      <c r="AR67" s="131" t="n"/>
      <c r="AS67" s="8" t="n"/>
      <c r="AT67" s="8" t="inlineStr">
        <is>
          <t>TP</t>
        </is>
      </c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261" t="n"/>
      <c r="Q68" s="30" t="n"/>
      <c r="R68" s="30" t="n"/>
      <c r="S68" s="30" t="n"/>
      <c r="T68" s="30" t="n"/>
      <c r="U68" s="30" t="n"/>
      <c r="V68" s="131" t="n"/>
      <c r="W68" s="131" t="n"/>
      <c r="X68" s="30" t="n"/>
      <c r="Y68" s="30" t="n"/>
      <c r="Z68" s="30" t="n"/>
      <c r="AA68" s="30" t="n"/>
      <c r="AB68" s="30" t="n"/>
      <c r="AC68" s="131" t="n"/>
      <c r="AD68" s="131" t="n"/>
      <c r="AE68" s="30" t="n"/>
      <c r="AF68" s="30" t="n"/>
      <c r="AG68" s="30" t="n"/>
      <c r="AH68" s="30" t="n"/>
      <c r="AI68" s="30" t="n"/>
      <c r="AJ68" s="131" t="n"/>
      <c r="AK68" s="131" t="n"/>
      <c r="AL68" s="30" t="n"/>
      <c r="AM68" s="30" t="n"/>
      <c r="AN68" s="30" t="n"/>
      <c r="AO68" s="30" t="n"/>
      <c r="AP68" s="30" t="n"/>
      <c r="AQ68" s="131" t="n"/>
      <c r="AR68" s="131" t="n"/>
      <c r="AS68" s="30" t="n"/>
      <c r="AT68" s="30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261" t="n"/>
      <c r="Q69" s="30" t="n"/>
      <c r="R69" s="30" t="n"/>
      <c r="S69" s="30" t="n"/>
      <c r="T69" s="30" t="n"/>
      <c r="U69" s="30" t="n"/>
      <c r="V69" s="131" t="n"/>
      <c r="W69" s="131" t="n"/>
      <c r="X69" s="30" t="n"/>
      <c r="Y69" s="30" t="n"/>
      <c r="Z69" s="30" t="n"/>
      <c r="AA69" s="30" t="n"/>
      <c r="AB69" s="30" t="n"/>
      <c r="AC69" s="131" t="n"/>
      <c r="AD69" s="131" t="n"/>
      <c r="AE69" s="30" t="n"/>
      <c r="AF69" s="30" t="n"/>
      <c r="AG69" s="30" t="n"/>
      <c r="AH69" s="30" t="n"/>
      <c r="AI69" s="30" t="n"/>
      <c r="AJ69" s="131" t="n"/>
      <c r="AK69" s="131" t="n"/>
      <c r="AL69" s="30" t="n"/>
      <c r="AM69" s="30" t="n"/>
      <c r="AN69" s="30" t="n"/>
      <c r="AO69" s="30" t="n"/>
      <c r="AP69" s="30" t="n"/>
      <c r="AQ69" s="131" t="n"/>
      <c r="AR69" s="131" t="n"/>
      <c r="AS69" s="30" t="n"/>
      <c r="AT69" s="30" t="n"/>
    </row>
    <row r="78">
      <c r="T78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97" operator="equal" dxfId="55">
      <formula>"repos"</formula>
    </cfRule>
    <cfRule type="cellIs" priority="98" operator="equal" dxfId="53">
      <formula>"permanence"</formula>
    </cfRule>
    <cfRule type="cellIs" priority="99" operator="equal" dxfId="53">
      <formula>"dimanche"</formula>
    </cfRule>
    <cfRule type="cellIs" priority="100" operator="equal" dxfId="52">
      <formula>"formation"</formula>
    </cfRule>
    <cfRule type="cellIs" priority="101" operator="equal" dxfId="6">
      <formula>"conges exc"</formula>
    </cfRule>
    <cfRule type="cellIs" priority="102" operator="equal" dxfId="4">
      <formula>"conges"</formula>
    </cfRule>
    <cfRule type="cellIs" priority="103" operator="equal" dxfId="5">
      <formula>"asa"</formula>
    </cfRule>
    <cfRule type="cellIs" priority="104" operator="equal" dxfId="8">
      <formula>"maladie / at"</formula>
    </cfRule>
    <cfRule type="cellIs" priority="105" operator="equal" dxfId="0">
      <formula>"presence"</formula>
    </cfRule>
  </conditionalFormatting>
  <conditionalFormatting sqref="D11:O20 D23:O24 D26:O29 D31:O36 D39:O49 D51:O62 D64:O69">
    <cfRule type="cellIs" priority="106" operator="equal" dxfId="46">
      <formula>0</formula>
    </cfRule>
  </conditionalFormatting>
  <conditionalFormatting sqref="P9:AT9">
    <cfRule type="expression" priority="108" dxfId="44">
      <formula>OR(P$9=1, P$9=7)</formula>
    </cfRule>
  </conditionalFormatting>
  <conditionalFormatting sqref="P9:AT10">
    <cfRule type="expression" priority="107" dxfId="44">
      <formula>OR(P$9=1,P$9=7)</formula>
    </cfRule>
  </conditionalFormatting>
  <conditionalFormatting sqref="P23:AT24">
    <cfRule type="containsText" priority="73" operator="containsText" dxfId="10" text="TP">
      <formula>NOT(ISERROR(SEARCH("TP",P23)))</formula>
    </cfRule>
    <cfRule type="containsText" priority="74" operator="containsText" text="TAD">
      <formula>NOT(ISERROR(SEARCH("TAD",P23)))</formula>
    </cfRule>
    <cfRule type="containsText" priority="75" operator="containsText" dxfId="9" text="AT">
      <formula>NOT(ISERROR(SEARCH("AT",P23)))</formula>
    </cfRule>
    <cfRule type="containsText" priority="76" operator="containsText" dxfId="8" text="MA">
      <formula>NOT(ISERROR(SEARCH("MA",P23)))</formula>
    </cfRule>
    <cfRule type="containsText" priority="77" operator="containsText" dxfId="7" text="RES">
      <formula>NOT(ISERROR(SEARCH("RES",P23)))</formula>
    </cfRule>
    <cfRule type="containsText" priority="78" operator="containsText" dxfId="6" text="CEX">
      <formula>NOT(ISERROR(SEARCH("CEX",P23)))</formula>
    </cfRule>
    <cfRule type="containsText" priority="79" operator="containsText" dxfId="5" text="RTT">
      <formula>NOT(ISERROR(SEARCH("RTT",P23)))</formula>
    </cfRule>
    <cfRule type="beginsWith" priority="80" operator="beginsWith" dxfId="4" text="CA">
      <formula>LEFT(P23,LEN("CA"))="CA"</formula>
    </cfRule>
    <cfRule type="containsText" priority="81" operator="containsText" dxfId="3" text="AST">
      <formula>NOT(ISERROR(SEARCH("AST",P23)))</formula>
    </cfRule>
    <cfRule type="containsText" priority="82" operator="containsText" dxfId="2" text="F">
      <formula>NOT(ISERROR(SEARCH("F",P23)))</formula>
    </cfRule>
    <cfRule type="containsText" priority="83" operator="containsText" dxfId="1" text="PC">
      <formula>NOT(ISERROR(SEARCH("PC",P23)))</formula>
    </cfRule>
    <cfRule type="containsText" priority="84" operator="containsText" dxfId="0" text="P">
      <formula>NOT(ISERROR(SEARCH("P",P23)))</formula>
    </cfRule>
  </conditionalFormatting>
  <conditionalFormatting sqref="P26:AT29 P31:AT36">
    <cfRule type="containsText" priority="61" operator="containsText" dxfId="10" text="TP">
      <formula>NOT(ISERROR(SEARCH("TP",P26)))</formula>
    </cfRule>
    <cfRule type="containsText" priority="62" operator="containsText" text="TAD">
      <formula>NOT(ISERROR(SEARCH("TAD",P26)))</formula>
    </cfRule>
    <cfRule type="containsText" priority="63" operator="containsText" dxfId="9" text="AT">
      <formula>NOT(ISERROR(SEARCH("AT",P26)))</formula>
    </cfRule>
    <cfRule type="containsText" priority="64" operator="containsText" dxfId="8" text="MA">
      <formula>NOT(ISERROR(SEARCH("MA",P26)))</formula>
    </cfRule>
    <cfRule type="containsText" priority="65" operator="containsText" dxfId="7" text="RES">
      <formula>NOT(ISERROR(SEARCH("RES",P26)))</formula>
    </cfRule>
    <cfRule type="containsText" priority="66" operator="containsText" dxfId="6" text="CEX">
      <formula>NOT(ISERROR(SEARCH("CEX",P26)))</formula>
    </cfRule>
    <cfRule type="containsText" priority="67" operator="containsText" dxfId="5" text="RTT">
      <formula>NOT(ISERROR(SEARCH("RTT",P26)))</formula>
    </cfRule>
    <cfRule type="beginsWith" priority="68" operator="beginsWith" dxfId="4" text="CA">
      <formula>LEFT(P26,LEN("CA"))="CA"</formula>
    </cfRule>
    <cfRule type="containsText" priority="69" operator="containsText" dxfId="3" text="AST">
      <formula>NOT(ISERROR(SEARCH("AST",P26)))</formula>
    </cfRule>
    <cfRule type="containsText" priority="70" operator="containsText" dxfId="2" text="F">
      <formula>NOT(ISERROR(SEARCH("F",P26)))</formula>
    </cfRule>
    <cfRule type="containsText" priority="71" operator="containsText" dxfId="1" text="PC">
      <formula>NOT(ISERROR(SEARCH("PC",P26)))</formula>
    </cfRule>
    <cfRule type="containsText" priority="72" operator="containsText" dxfId="0" text="P">
      <formula>NOT(ISERROR(SEARCH("P",P26)))</formula>
    </cfRule>
  </conditionalFormatting>
  <conditionalFormatting sqref="P39:AT49">
    <cfRule type="containsText" priority="49" operator="containsText" dxfId="10" text="TP">
      <formula>NOT(ISERROR(SEARCH("TP",P39)))</formula>
    </cfRule>
    <cfRule type="containsText" priority="50" operator="containsText" text="TAD">
      <formula>NOT(ISERROR(SEARCH("TAD",P39)))</formula>
    </cfRule>
    <cfRule type="containsText" priority="51" operator="containsText" dxfId="9" text="AT">
      <formula>NOT(ISERROR(SEARCH("AT",P39)))</formula>
    </cfRule>
    <cfRule type="containsText" priority="52" operator="containsText" dxfId="8" text="MA">
      <formula>NOT(ISERROR(SEARCH("MA",P39)))</formula>
    </cfRule>
    <cfRule type="containsText" priority="53" operator="containsText" dxfId="7" text="RES">
      <formula>NOT(ISERROR(SEARCH("RES",P39)))</formula>
    </cfRule>
    <cfRule type="containsText" priority="54" operator="containsText" dxfId="6" text="CEX">
      <formula>NOT(ISERROR(SEARCH("CEX",P39)))</formula>
    </cfRule>
    <cfRule type="containsText" priority="55" operator="containsText" dxfId="5" text="RTT">
      <formula>NOT(ISERROR(SEARCH("RTT",P39)))</formula>
    </cfRule>
    <cfRule type="beginsWith" priority="56" operator="beginsWith" dxfId="4" text="CA">
      <formula>LEFT(P39,LEN("CA"))="CA"</formula>
    </cfRule>
    <cfRule type="containsText" priority="57" operator="containsText" dxfId="3" text="AST">
      <formula>NOT(ISERROR(SEARCH("AST",P39)))</formula>
    </cfRule>
    <cfRule type="containsText" priority="58" operator="containsText" dxfId="2" text="F">
      <formula>NOT(ISERROR(SEARCH("F",P39)))</formula>
    </cfRule>
    <cfRule type="containsText" priority="59" operator="containsText" dxfId="1" text="PC">
      <formula>NOT(ISERROR(SEARCH("PC",P39)))</formula>
    </cfRule>
    <cfRule type="containsText" priority="60" operator="containsText" dxfId="0" text="P">
      <formula>NOT(ISERROR(SEARCH("P",P39)))</formula>
    </cfRule>
  </conditionalFormatting>
  <conditionalFormatting sqref="P51:AT62">
    <cfRule type="containsText" priority="37" operator="containsText" dxfId="10" text="TP">
      <formula>NOT(ISERROR(SEARCH("TP",P51)))</formula>
    </cfRule>
    <cfRule type="containsText" priority="38" operator="containsText" text="TAD">
      <formula>NOT(ISERROR(SEARCH("TAD",P51)))</formula>
    </cfRule>
    <cfRule type="containsText" priority="39" operator="containsText" dxfId="9" text="AT">
      <formula>NOT(ISERROR(SEARCH("AT",P51)))</formula>
    </cfRule>
    <cfRule type="containsText" priority="40" operator="containsText" dxfId="8" text="MA">
      <formula>NOT(ISERROR(SEARCH("MA",P51)))</formula>
    </cfRule>
    <cfRule type="containsText" priority="41" operator="containsText" dxfId="7" text="RES">
      <formula>NOT(ISERROR(SEARCH("RES",P51)))</formula>
    </cfRule>
    <cfRule type="containsText" priority="42" operator="containsText" dxfId="6" text="CEX">
      <formula>NOT(ISERROR(SEARCH("CEX",P51)))</formula>
    </cfRule>
    <cfRule type="containsText" priority="43" operator="containsText" dxfId="5" text="RTT">
      <formula>NOT(ISERROR(SEARCH("RTT",P51)))</formula>
    </cfRule>
    <cfRule type="beginsWith" priority="44" operator="beginsWith" dxfId="4" text="CA">
      <formula>LEFT(P51,LEN("CA"))="CA"</formula>
    </cfRule>
    <cfRule type="containsText" priority="45" operator="containsText" dxfId="3" text="AST">
      <formula>NOT(ISERROR(SEARCH("AST",P51)))</formula>
    </cfRule>
    <cfRule type="containsText" priority="46" operator="containsText" dxfId="2" text="F">
      <formula>NOT(ISERROR(SEARCH("F",P51)))</formula>
    </cfRule>
    <cfRule type="containsText" priority="47" operator="containsText" dxfId="1" text="PC">
      <formula>NOT(ISERROR(SEARCH("PC",P51)))</formula>
    </cfRule>
    <cfRule type="containsText" priority="48" operator="containsText" dxfId="0" text="P">
      <formula>NOT(ISERROR(SEARCH("P",P51)))</formula>
    </cfRule>
  </conditionalFormatting>
  <conditionalFormatting sqref="P64:AT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U20">
    <cfRule type="containsText" priority="85" operator="containsText" dxfId="10" text="TP">
      <formula>NOT(ISERROR(SEARCH("TP",P11)))</formula>
    </cfRule>
    <cfRule type="containsText" priority="86" operator="containsText" text="TAD">
      <formula>NOT(ISERROR(SEARCH("TAD",P11)))</formula>
    </cfRule>
    <cfRule type="containsText" priority="87" operator="containsText" dxfId="9" text="AT">
      <formula>NOT(ISERROR(SEARCH("AT",P11)))</formula>
    </cfRule>
    <cfRule type="containsText" priority="88" operator="containsText" dxfId="8" text="MA">
      <formula>NOT(ISERROR(SEARCH("MA",P11)))</formula>
    </cfRule>
    <cfRule type="containsText" priority="89" operator="containsText" dxfId="7" text="RES">
      <formula>NOT(ISERROR(SEARCH("RES",P11)))</formula>
    </cfRule>
    <cfRule type="containsText" priority="90" operator="containsText" dxfId="6" text="CEX">
      <formula>NOT(ISERROR(SEARCH("CEX",P11)))</formula>
    </cfRule>
    <cfRule type="containsText" priority="91" operator="containsText" dxfId="5" text="RTT">
      <formula>NOT(ISERROR(SEARCH("RTT",P11)))</formula>
    </cfRule>
    <cfRule type="beginsWith" priority="92" operator="beginsWith" dxfId="4" text="CA">
      <formula>LEFT(P11,LEN("CA"))="CA"</formula>
    </cfRule>
    <cfRule type="containsText" priority="93" operator="containsText" dxfId="3" text="AST">
      <formula>NOT(ISERROR(SEARCH("AST",P11)))</formula>
    </cfRule>
    <cfRule type="containsText" priority="94" operator="containsText" dxfId="2" text="F">
      <formula>NOT(ISERROR(SEARCH("F",P11)))</formula>
    </cfRule>
    <cfRule type="containsText" priority="95" operator="containsText" dxfId="1" text="PC">
      <formula>NOT(ISERROR(SEARCH("PC",P11)))</formula>
    </cfRule>
    <cfRule type="containsText" priority="96" operator="containsText" dxfId="0" text="P">
      <formula>NOT(ISERROR(SEARCH("P",P11)))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69"/>
  <sheetViews>
    <sheetView zoomScale="85" zoomScaleNormal="85" workbookViewId="0">
      <pane xSplit="2" ySplit="10" topLeftCell="C37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config!B8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config!C8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n"/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198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199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217" t="n"/>
      <c r="Q11" s="28" t="n"/>
      <c r="R11" s="212" t="n"/>
      <c r="S11" s="113" t="n"/>
      <c r="T11" s="113" t="n"/>
      <c r="U11" s="28" t="n"/>
      <c r="V11" s="28" t="n"/>
      <c r="W11" s="28" t="n"/>
      <c r="X11" s="28" t="n"/>
      <c r="Y11" s="28" t="n"/>
      <c r="Z11" s="113" t="n"/>
      <c r="AA11" s="113" t="n"/>
      <c r="AB11" s="28" t="n"/>
      <c r="AC11" s="28" t="n"/>
      <c r="AD11" s="28" t="n"/>
      <c r="AE11" s="28" t="n"/>
      <c r="AF11" s="28" t="n"/>
      <c r="AG11" s="113" t="n"/>
      <c r="AH11" s="113" t="n"/>
      <c r="AI11" s="28" t="n"/>
      <c r="AJ11" s="28" t="n"/>
      <c r="AK11" s="28" t="n"/>
      <c r="AL11" s="28" t="n"/>
      <c r="AM11" s="28" t="n"/>
      <c r="AN11" s="113" t="n"/>
      <c r="AO11" s="113" t="n"/>
      <c r="AP11" s="28" t="n"/>
      <c r="AQ11" s="28" t="n"/>
      <c r="AR11" s="28" t="n"/>
      <c r="AS11" s="28" t="n"/>
      <c r="AT11" s="42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218" t="n"/>
      <c r="Q12" s="8" t="n"/>
      <c r="R12" s="266" t="n"/>
      <c r="S12" s="121" t="n"/>
      <c r="T12" s="121" t="n"/>
      <c r="U12" s="8" t="n"/>
      <c r="V12" s="8" t="n"/>
      <c r="W12" s="8" t="n"/>
      <c r="X12" s="8" t="n"/>
      <c r="Y12" s="8" t="n"/>
      <c r="Z12" s="121" t="n"/>
      <c r="AA12" s="121" t="n"/>
      <c r="AB12" s="8" t="n"/>
      <c r="AC12" s="8" t="n"/>
      <c r="AD12" s="8" t="n"/>
      <c r="AE12" s="8" t="n"/>
      <c r="AF12" s="8" t="n"/>
      <c r="AG12" s="121" t="n"/>
      <c r="AH12" s="121" t="n"/>
      <c r="AI12" s="8" t="n"/>
      <c r="AJ12" s="8" t="n"/>
      <c r="AK12" s="8" t="n"/>
      <c r="AL12" s="8" t="n"/>
      <c r="AM12" s="8" t="n"/>
      <c r="AN12" s="121" t="n"/>
      <c r="AO12" s="121" t="n"/>
      <c r="AP12" s="8" t="n"/>
      <c r="AQ12" s="8" t="n"/>
      <c r="AR12" s="8" t="n"/>
      <c r="AS12" s="8" t="n"/>
      <c r="AT12" s="43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218" t="n"/>
      <c r="Q13" s="8" t="n"/>
      <c r="R13" s="8" t="n"/>
      <c r="S13" s="121" t="n"/>
      <c r="T13" s="121" t="n"/>
      <c r="U13" s="8" t="n"/>
      <c r="V13" s="8" t="n"/>
      <c r="W13" s="8" t="n"/>
      <c r="X13" s="30" t="n"/>
      <c r="Y13" s="8" t="n"/>
      <c r="Z13" s="121" t="n"/>
      <c r="AA13" s="121" t="n"/>
      <c r="AB13" s="8" t="n"/>
      <c r="AC13" s="8" t="n"/>
      <c r="AD13" s="8" t="n"/>
      <c r="AE13" s="8" t="n"/>
      <c r="AF13" s="8" t="n"/>
      <c r="AG13" s="121" t="n"/>
      <c r="AH13" s="121" t="n"/>
      <c r="AI13" s="8" t="n"/>
      <c r="AJ13" s="8" t="n"/>
      <c r="AK13" s="8" t="n"/>
      <c r="AL13" s="8" t="n"/>
      <c r="AM13" s="8" t="n"/>
      <c r="AN13" s="121" t="n"/>
      <c r="AO13" s="121" t="n"/>
      <c r="AP13" s="8" t="n"/>
      <c r="AQ13" s="8" t="n"/>
      <c r="AR13" s="8" t="n"/>
      <c r="AS13" s="8" t="n"/>
      <c r="AT13" s="43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18" t="n"/>
      <c r="Q14" s="8" t="n"/>
      <c r="R14" s="266" t="n"/>
      <c r="S14" s="121" t="n"/>
      <c r="T14" s="121" t="n"/>
      <c r="U14" s="8" t="n"/>
      <c r="V14" s="8" t="n"/>
      <c r="W14" s="8" t="n"/>
      <c r="X14" s="8" t="n"/>
      <c r="Y14" s="8" t="n"/>
      <c r="Z14" s="121" t="n"/>
      <c r="AA14" s="121" t="n"/>
      <c r="AB14" s="8" t="n"/>
      <c r="AC14" s="8" t="n"/>
      <c r="AD14" s="8" t="n"/>
      <c r="AE14" s="8" t="n"/>
      <c r="AF14" s="8" t="n"/>
      <c r="AG14" s="121" t="n"/>
      <c r="AH14" s="121" t="n"/>
      <c r="AI14" s="8" t="n"/>
      <c r="AJ14" s="8" t="n"/>
      <c r="AK14" s="8" t="n"/>
      <c r="AL14" s="30" t="n"/>
      <c r="AM14" s="8" t="n"/>
      <c r="AN14" s="121" t="n"/>
      <c r="AO14" s="121" t="n"/>
      <c r="AP14" s="8" t="n"/>
      <c r="AQ14" s="8" t="n"/>
      <c r="AR14" s="8" t="n"/>
      <c r="AS14" s="8" t="n"/>
      <c r="AT14" s="43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218" t="n"/>
      <c r="Q15" s="8" t="n"/>
      <c r="R15" s="215" t="n"/>
      <c r="S15" s="121" t="n"/>
      <c r="T15" s="121" t="n"/>
      <c r="U15" s="8" t="n"/>
      <c r="V15" s="8" t="n"/>
      <c r="W15" s="8" t="n"/>
      <c r="X15" s="8" t="n"/>
      <c r="Y15" s="8" t="n"/>
      <c r="Z15" s="121" t="n"/>
      <c r="AA15" s="121" t="n"/>
      <c r="AB15" s="8" t="n"/>
      <c r="AC15" s="8" t="n"/>
      <c r="AD15" s="8" t="n"/>
      <c r="AE15" s="30" t="n"/>
      <c r="AF15" s="8" t="n"/>
      <c r="AG15" s="121" t="n"/>
      <c r="AH15" s="121" t="n"/>
      <c r="AI15" s="8" t="n"/>
      <c r="AJ15" s="8" t="n"/>
      <c r="AK15" s="8" t="n"/>
      <c r="AL15" s="8" t="n"/>
      <c r="AM15" s="8" t="n"/>
      <c r="AN15" s="121" t="n"/>
      <c r="AO15" s="121" t="n"/>
      <c r="AP15" s="8" t="n"/>
      <c r="AQ15" s="8" t="n"/>
      <c r="AR15" s="8" t="n"/>
      <c r="AS15" s="8" t="n"/>
      <c r="AT15" s="43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218" t="n"/>
      <c r="Q16" s="8" t="n"/>
      <c r="R16" s="215" t="n"/>
      <c r="S16" s="121" t="n"/>
      <c r="T16" s="121" t="n"/>
      <c r="U16" s="8" t="n"/>
      <c r="V16" s="8" t="n"/>
      <c r="W16" s="8" t="n"/>
      <c r="X16" s="8" t="n"/>
      <c r="Y16" s="8" t="n"/>
      <c r="Z16" s="121" t="n"/>
      <c r="AA16" s="121" t="n"/>
      <c r="AB16" s="8" t="n"/>
      <c r="AC16" s="8" t="n"/>
      <c r="AD16" s="8" t="n"/>
      <c r="AE16" s="8" t="n"/>
      <c r="AF16" s="8" t="n"/>
      <c r="AG16" s="121" t="n"/>
      <c r="AH16" s="121" t="n"/>
      <c r="AI16" s="8" t="n"/>
      <c r="AJ16" s="8" t="n"/>
      <c r="AK16" s="8" t="n"/>
      <c r="AL16" s="8" t="n"/>
      <c r="AM16" s="8" t="n"/>
      <c r="AN16" s="121" t="n"/>
      <c r="AO16" s="121" t="n"/>
      <c r="AP16" s="8" t="n"/>
      <c r="AQ16" s="8" t="n"/>
      <c r="AR16" s="8" t="n"/>
      <c r="AS16" s="8" t="n"/>
      <c r="AT16" s="43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218" t="n"/>
      <c r="Q17" s="8" t="n"/>
      <c r="R17" s="215" t="n"/>
      <c r="S17" s="121" t="n"/>
      <c r="T17" s="121" t="n"/>
      <c r="U17" s="8" t="n"/>
      <c r="V17" s="8" t="n"/>
      <c r="W17" s="8" t="n"/>
      <c r="X17" s="8" t="n"/>
      <c r="Y17" s="8" t="n"/>
      <c r="Z17" s="121" t="n"/>
      <c r="AA17" s="121" t="n"/>
      <c r="AB17" s="8" t="n"/>
      <c r="AC17" s="8" t="n"/>
      <c r="AD17" s="8" t="n"/>
      <c r="AE17" s="8" t="n"/>
      <c r="AF17" s="8" t="n"/>
      <c r="AG17" s="121" t="n"/>
      <c r="AH17" s="121" t="n"/>
      <c r="AI17" s="8" t="n"/>
      <c r="AJ17" s="8" t="n"/>
      <c r="AK17" s="8" t="n"/>
      <c r="AL17" s="30" t="n"/>
      <c r="AM17" s="8" t="n"/>
      <c r="AN17" s="121" t="n"/>
      <c r="AO17" s="121" t="n"/>
      <c r="AP17" s="8" t="n"/>
      <c r="AQ17" s="8" t="n"/>
      <c r="AR17" s="8" t="n"/>
      <c r="AS17" s="8" t="n"/>
      <c r="AT17" s="43" t="n"/>
      <c r="AU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218" t="n"/>
      <c r="Q18" s="8" t="n"/>
      <c r="R18" s="215" t="n"/>
      <c r="S18" s="121" t="n"/>
      <c r="T18" s="121" t="n"/>
      <c r="U18" s="8" t="n"/>
      <c r="V18" s="8" t="n"/>
      <c r="W18" s="8" t="n"/>
      <c r="X18" s="8" t="n"/>
      <c r="Y18" s="8" t="n"/>
      <c r="Z18" s="121" t="n"/>
      <c r="AA18" s="121" t="n"/>
      <c r="AB18" s="8" t="n"/>
      <c r="AC18" s="8" t="n"/>
      <c r="AD18" s="8" t="n"/>
      <c r="AE18" s="8" t="n"/>
      <c r="AF18" s="8" t="n"/>
      <c r="AG18" s="121" t="n"/>
      <c r="AH18" s="121" t="n"/>
      <c r="AI18" s="8" t="n"/>
      <c r="AJ18" s="8" t="n"/>
      <c r="AK18" s="8" t="n"/>
      <c r="AL18" s="8" t="n"/>
      <c r="AM18" s="8" t="n"/>
      <c r="AN18" s="121" t="n"/>
      <c r="AO18" s="121" t="n"/>
      <c r="AP18" s="8" t="n"/>
      <c r="AQ18" s="8" t="n"/>
      <c r="AR18" s="8" t="n"/>
      <c r="AS18" s="8" t="n"/>
      <c r="AT18" s="43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218" t="n"/>
      <c r="Q19" s="8" t="n"/>
      <c r="R19" s="215" t="n"/>
      <c r="S19" s="121" t="n"/>
      <c r="T19" s="121" t="n"/>
      <c r="U19" s="8" t="n"/>
      <c r="V19" s="8" t="n"/>
      <c r="W19" s="8" t="n"/>
      <c r="X19" s="30" t="n"/>
      <c r="Y19" s="8" t="n"/>
      <c r="Z19" s="121" t="n"/>
      <c r="AA19" s="121" t="n"/>
      <c r="AB19" s="8" t="n"/>
      <c r="AC19" s="8" t="n"/>
      <c r="AD19" s="8" t="n"/>
      <c r="AE19" s="8" t="n"/>
      <c r="AF19" s="8" t="n"/>
      <c r="AG19" s="121" t="n"/>
      <c r="AH19" s="121" t="n"/>
      <c r="AI19" s="8" t="n"/>
      <c r="AJ19" s="8" t="n"/>
      <c r="AK19" s="8" t="n"/>
      <c r="AL19" s="8" t="n"/>
      <c r="AM19" s="8" t="n"/>
      <c r="AN19" s="121" t="n"/>
      <c r="AO19" s="121" t="n"/>
      <c r="AP19" s="8" t="n"/>
      <c r="AQ19" s="8" t="n"/>
      <c r="AR19" s="8" t="n"/>
      <c r="AS19" s="8" t="n"/>
      <c r="AT19" s="43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9" t="n"/>
      <c r="R20" s="29" t="n"/>
      <c r="S20" s="122" t="n"/>
      <c r="T20" s="122" t="n"/>
      <c r="U20" s="29" t="n"/>
      <c r="V20" s="29" t="n"/>
      <c r="W20" s="29" t="n"/>
      <c r="X20" s="213" t="n"/>
      <c r="Y20" s="29" t="n"/>
      <c r="Z20" s="122" t="n"/>
      <c r="AA20" s="122" t="n"/>
      <c r="AB20" s="29" t="n"/>
      <c r="AC20" s="29" t="n"/>
      <c r="AD20" s="29" t="n"/>
      <c r="AE20" s="29" t="n"/>
      <c r="AF20" s="29" t="n"/>
      <c r="AG20" s="122" t="n"/>
      <c r="AH20" s="122" t="n"/>
      <c r="AI20" s="29" t="n"/>
      <c r="AJ20" s="29" t="n"/>
      <c r="AK20" s="29" t="n"/>
      <c r="AL20" s="29" t="n"/>
      <c r="AM20" s="29" t="n"/>
      <c r="AN20" s="122" t="n"/>
      <c r="AO20" s="122" t="n"/>
      <c r="AP20" s="29" t="n"/>
      <c r="AQ20" s="29" t="n"/>
      <c r="AR20" s="29" t="n"/>
      <c r="AS20" s="29" t="n"/>
      <c r="AT20" s="44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114" t="n"/>
      <c r="Q23" s="28" t="n"/>
      <c r="R23" s="28" t="n"/>
      <c r="S23" s="113" t="n"/>
      <c r="T23" s="113" t="n"/>
      <c r="U23" s="28" t="n"/>
      <c r="V23" s="28" t="n"/>
      <c r="W23" s="28" t="n"/>
      <c r="X23" s="28" t="n"/>
      <c r="Y23" s="28" t="n"/>
      <c r="Z23" s="113" t="n"/>
      <c r="AA23" s="113" t="n"/>
      <c r="AB23" s="28" t="n"/>
      <c r="AC23" s="28" t="n"/>
      <c r="AD23" s="28" t="n"/>
      <c r="AE23" s="28" t="n"/>
      <c r="AF23" s="28" t="n"/>
      <c r="AG23" s="113" t="n"/>
      <c r="AH23" s="113" t="n"/>
      <c r="AI23" s="28" t="n"/>
      <c r="AJ23" s="28" t="n"/>
      <c r="AK23" s="28" t="n"/>
      <c r="AL23" s="28" t="n"/>
      <c r="AM23" s="28" t="n"/>
      <c r="AN23" s="113" t="n"/>
      <c r="AO23" s="113" t="n"/>
      <c r="AP23" s="28" t="n"/>
      <c r="AQ23" s="28" t="n"/>
      <c r="AR23" s="28" t="n"/>
      <c r="AS23" s="28" t="n"/>
      <c r="AT23" s="42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118" t="n"/>
      <c r="Q24" s="29" t="n"/>
      <c r="R24" s="29" t="n"/>
      <c r="S24" s="122" t="n"/>
      <c r="T24" s="122" t="n"/>
      <c r="U24" s="29" t="n"/>
      <c r="V24" s="29" t="n"/>
      <c r="W24" s="29" t="n"/>
      <c r="X24" s="29" t="n"/>
      <c r="Y24" s="29" t="n"/>
      <c r="Z24" s="122" t="n"/>
      <c r="AA24" s="122" t="n"/>
      <c r="AB24" s="29" t="n"/>
      <c r="AC24" s="29" t="n"/>
      <c r="AD24" s="29" t="n"/>
      <c r="AE24" s="29" t="n"/>
      <c r="AF24" s="29" t="n"/>
      <c r="AG24" s="122" t="n"/>
      <c r="AH24" s="122" t="n"/>
      <c r="AI24" s="29" t="n"/>
      <c r="AJ24" s="29" t="n"/>
      <c r="AK24" s="29" t="n"/>
      <c r="AL24" s="29" t="n"/>
      <c r="AM24" s="29" t="n"/>
      <c r="AN24" s="122" t="n"/>
      <c r="AO24" s="122" t="n"/>
      <c r="AP24" s="29" t="n"/>
      <c r="AQ24" s="29" t="n"/>
      <c r="AR24" s="29" t="n"/>
      <c r="AS24" s="29" t="n"/>
      <c r="AT24" s="44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282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133">
        <f>COUNTIF(P26:AS26,"TP")</f>
        <v/>
      </c>
      <c r="P26" s="114" t="n"/>
      <c r="Q26" s="28" t="n"/>
      <c r="R26" s="28" t="n"/>
      <c r="S26" s="113" t="n"/>
      <c r="T26" s="113" t="n"/>
      <c r="U26" s="28" t="n"/>
      <c r="V26" s="28" t="n"/>
      <c r="W26" s="28" t="n"/>
      <c r="X26" s="28" t="n"/>
      <c r="Y26" s="28" t="n"/>
      <c r="Z26" s="113" t="n"/>
      <c r="AA26" s="113" t="n"/>
      <c r="AB26" s="28" t="n"/>
      <c r="AC26" s="28" t="n"/>
      <c r="AD26" s="28" t="n"/>
      <c r="AE26" s="28" t="n"/>
      <c r="AF26" s="28" t="n"/>
      <c r="AG26" s="113" t="n"/>
      <c r="AH26" s="113" t="n"/>
      <c r="AI26" s="28" t="n"/>
      <c r="AJ26" s="28" t="n"/>
      <c r="AK26" s="28" t="n"/>
      <c r="AL26" s="28" t="n"/>
      <c r="AM26" s="28" t="n"/>
      <c r="AN26" s="113" t="n"/>
      <c r="AO26" s="113" t="n"/>
      <c r="AP26" s="28" t="n"/>
      <c r="AQ26" s="28" t="n"/>
      <c r="AR26" s="28" t="n"/>
      <c r="AS26" s="28" t="n"/>
      <c r="AT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121" t="n"/>
      <c r="T27" s="121" t="n"/>
      <c r="U27" s="8" t="n"/>
      <c r="V27" s="8" t="n"/>
      <c r="W27" s="8" t="n"/>
      <c r="X27" s="8" t="n"/>
      <c r="Y27" s="8" t="n"/>
      <c r="Z27" s="121" t="n"/>
      <c r="AA27" s="121" t="n"/>
      <c r="AB27" s="8" t="n"/>
      <c r="AC27" s="8" t="n"/>
      <c r="AD27" s="8" t="n"/>
      <c r="AE27" s="8" t="n"/>
      <c r="AF27" s="8" t="n"/>
      <c r="AG27" s="121" t="n"/>
      <c r="AH27" s="121" t="n"/>
      <c r="AI27" s="8" t="n"/>
      <c r="AJ27" s="8" t="n"/>
      <c r="AK27" s="8" t="n"/>
      <c r="AL27" s="8" t="n"/>
      <c r="AM27" s="8" t="n"/>
      <c r="AN27" s="121" t="n"/>
      <c r="AO27" s="121" t="n"/>
      <c r="AP27" s="8" t="n"/>
      <c r="AQ27" s="8" t="n"/>
      <c r="AR27" s="8" t="n"/>
      <c r="AS27" s="8" t="n"/>
      <c r="AT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121" t="n"/>
      <c r="T28" s="121" t="n"/>
      <c r="U28" s="8" t="n"/>
      <c r="V28" s="8" t="n"/>
      <c r="W28" s="8" t="n"/>
      <c r="X28" s="8" t="n"/>
      <c r="Y28" s="8" t="n"/>
      <c r="Z28" s="121" t="n"/>
      <c r="AA28" s="121" t="n"/>
      <c r="AB28" s="8" t="n"/>
      <c r="AC28" s="8" t="n"/>
      <c r="AD28" s="8" t="n"/>
      <c r="AE28" s="8" t="n"/>
      <c r="AF28" s="8" t="n"/>
      <c r="AG28" s="121" t="n"/>
      <c r="AH28" s="121" t="n"/>
      <c r="AI28" s="8" t="n"/>
      <c r="AJ28" s="8" t="n"/>
      <c r="AK28" s="8" t="n"/>
      <c r="AL28" s="8" t="n"/>
      <c r="AM28" s="8" t="n"/>
      <c r="AN28" s="121" t="n"/>
      <c r="AO28" s="121" t="n"/>
      <c r="AP28" s="8" t="n"/>
      <c r="AQ28" s="8" t="n"/>
      <c r="AR28" s="8" t="n"/>
      <c r="AS28" s="8" t="n"/>
      <c r="AT28" s="43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67">
        <f>COUNTIF(P29:AS29,"TP")</f>
        <v/>
      </c>
      <c r="P29" s="19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  <c r="AE29" s="122" t="n"/>
      <c r="AF29" s="122" t="n"/>
      <c r="AG29" s="122" t="n"/>
      <c r="AH29" s="122" t="n"/>
      <c r="AI29" s="122" t="n"/>
      <c r="AJ29" s="122" t="n"/>
      <c r="AK29" s="122" t="n"/>
      <c r="AL29" s="122" t="n"/>
      <c r="AM29" s="122" t="n"/>
      <c r="AN29" s="122" t="n"/>
      <c r="AO29" s="122" t="n"/>
      <c r="AP29" s="122" t="n"/>
      <c r="AQ29" s="122" t="n"/>
      <c r="AR29" s="122" t="n"/>
      <c r="AS29" s="122" t="n"/>
      <c r="AT29" s="153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70" t="n"/>
      <c r="Q30" s="270" t="n"/>
      <c r="R30" s="270" t="n"/>
      <c r="S30" s="270" t="n"/>
      <c r="T30" s="270" t="n"/>
      <c r="U30" s="270" t="n"/>
      <c r="V30" s="270" t="n"/>
      <c r="W30" s="270" t="n"/>
      <c r="X30" s="270" t="n"/>
      <c r="Y30" s="270" t="n"/>
      <c r="Z30" s="270" t="n"/>
      <c r="AA30" s="270" t="n"/>
      <c r="AB30" s="270" t="n"/>
      <c r="AC30" s="270" t="n"/>
      <c r="AD30" s="270" t="n"/>
      <c r="AE30" s="270" t="n"/>
      <c r="AF30" s="270" t="n"/>
      <c r="AG30" s="270" t="n"/>
      <c r="AH30" s="270" t="n"/>
      <c r="AI30" s="270" t="n"/>
      <c r="AJ30" s="270" t="n"/>
      <c r="AK30" s="270" t="n"/>
      <c r="AL30" s="270" t="n"/>
      <c r="AM30" s="270" t="n"/>
      <c r="AN30" s="270" t="n"/>
      <c r="AO30" s="270" t="n"/>
      <c r="AP30" s="270" t="n"/>
      <c r="AQ30" s="271" t="n"/>
      <c r="AR30" s="271" t="n"/>
      <c r="AS30" s="271" t="n"/>
      <c r="AT30" s="271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117" t="n"/>
      <c r="Q31" s="8" t="n"/>
      <c r="R31" s="8" t="n"/>
      <c r="S31" s="121" t="n"/>
      <c r="T31" s="121" t="n"/>
      <c r="U31" s="8" t="n"/>
      <c r="V31" s="8" t="n"/>
      <c r="W31" s="8" t="n"/>
      <c r="X31" s="8" t="n"/>
      <c r="Y31" s="8" t="n"/>
      <c r="Z31" s="121" t="n"/>
      <c r="AA31" s="121" t="n"/>
      <c r="AB31" s="8" t="n"/>
      <c r="AC31" s="8" t="n"/>
      <c r="AD31" s="8" t="n"/>
      <c r="AE31" s="8" t="n"/>
      <c r="AF31" s="8" t="n"/>
      <c r="AG31" s="121" t="n"/>
      <c r="AH31" s="121" t="n"/>
      <c r="AI31" s="8" t="n"/>
      <c r="AJ31" s="8" t="n"/>
      <c r="AK31" s="8" t="n"/>
      <c r="AL31" s="8" t="n"/>
      <c r="AM31" s="8" t="n"/>
      <c r="AN31" s="121" t="n"/>
      <c r="AO31" s="121" t="n"/>
      <c r="AP31" s="8" t="n"/>
      <c r="AQ31" s="8" t="n"/>
      <c r="AR31" s="8" t="n"/>
      <c r="AS31" s="8" t="n"/>
      <c r="AT31" s="43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117" t="n"/>
      <c r="Q32" s="8" t="n"/>
      <c r="R32" s="8" t="n"/>
      <c r="S32" s="121" t="n"/>
      <c r="T32" s="121" t="n"/>
      <c r="U32" s="8" t="n"/>
      <c r="V32" s="8" t="n"/>
      <c r="W32" s="8" t="n"/>
      <c r="X32" s="8" t="n"/>
      <c r="Y32" s="8" t="n"/>
      <c r="Z32" s="121" t="n"/>
      <c r="AA32" s="121" t="n"/>
      <c r="AB32" s="8" t="n"/>
      <c r="AC32" s="8" t="n"/>
      <c r="AD32" s="8" t="n"/>
      <c r="AE32" s="8" t="n"/>
      <c r="AF32" s="8" t="n"/>
      <c r="AG32" s="121" t="n"/>
      <c r="AH32" s="121" t="n"/>
      <c r="AI32" s="8" t="n"/>
      <c r="AJ32" s="8" t="n"/>
      <c r="AK32" s="8" t="n"/>
      <c r="AL32" s="8" t="n"/>
      <c r="AM32" s="8" t="n"/>
      <c r="AN32" s="121" t="n"/>
      <c r="AO32" s="121" t="n"/>
      <c r="AP32" s="8" t="n"/>
      <c r="AQ32" s="8" t="n"/>
      <c r="AR32" s="8" t="n"/>
      <c r="AS32" s="8" t="n"/>
      <c r="AT32" s="43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117" t="n"/>
      <c r="Q33" s="8" t="n"/>
      <c r="R33" s="8" t="n"/>
      <c r="S33" s="121" t="n"/>
      <c r="T33" s="121" t="n"/>
      <c r="U33" s="8" t="n"/>
      <c r="V33" s="8" t="n"/>
      <c r="W33" s="8" t="n"/>
      <c r="X33" s="8" t="n"/>
      <c r="Y33" s="8" t="n"/>
      <c r="Z33" s="121" t="n"/>
      <c r="AA33" s="121" t="n"/>
      <c r="AB33" s="8" t="n"/>
      <c r="AC33" s="8" t="n"/>
      <c r="AD33" s="8" t="n"/>
      <c r="AE33" s="8" t="n"/>
      <c r="AF33" s="8" t="n"/>
      <c r="AG33" s="121" t="n"/>
      <c r="AH33" s="121" t="n"/>
      <c r="AI33" s="8" t="n"/>
      <c r="AJ33" s="8" t="n"/>
      <c r="AK33" s="8" t="n"/>
      <c r="AL33" s="8" t="n"/>
      <c r="AM33" s="8" t="n"/>
      <c r="AN33" s="121" t="n"/>
      <c r="AO33" s="121" t="n"/>
      <c r="AP33" s="8" t="n"/>
      <c r="AQ33" s="8" t="n"/>
      <c r="AR33" s="8" t="n"/>
      <c r="AS33" s="8" t="n"/>
      <c r="AT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117" t="n"/>
      <c r="Q34" s="8" t="n"/>
      <c r="R34" s="8" t="n"/>
      <c r="S34" s="121" t="n"/>
      <c r="T34" s="121" t="n"/>
      <c r="U34" s="8" t="n"/>
      <c r="V34" s="8" t="n"/>
      <c r="W34" s="8" t="n"/>
      <c r="X34" s="8" t="n"/>
      <c r="Y34" s="8" t="n"/>
      <c r="Z34" s="121" t="n"/>
      <c r="AA34" s="121" t="n"/>
      <c r="AB34" s="8" t="n"/>
      <c r="AC34" s="8" t="n"/>
      <c r="AD34" s="8" t="n"/>
      <c r="AE34" s="8" t="n"/>
      <c r="AF34" s="8" t="n"/>
      <c r="AG34" s="121" t="n"/>
      <c r="AH34" s="121" t="n"/>
      <c r="AI34" s="8" t="n"/>
      <c r="AJ34" s="8" t="n"/>
      <c r="AK34" s="8" t="n"/>
      <c r="AL34" s="8" t="n"/>
      <c r="AM34" s="8" t="n"/>
      <c r="AN34" s="121" t="n"/>
      <c r="AO34" s="121" t="n"/>
      <c r="AP34" s="8" t="n"/>
      <c r="AQ34" s="8" t="n"/>
      <c r="AR34" s="8" t="n"/>
      <c r="AS34" s="8" t="n"/>
      <c r="AT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117" t="n"/>
      <c r="Q35" s="8" t="n"/>
      <c r="R35" s="8" t="n"/>
      <c r="S35" s="121" t="n"/>
      <c r="T35" s="121" t="n"/>
      <c r="U35" s="8" t="n"/>
      <c r="V35" s="8" t="n"/>
      <c r="W35" s="8" t="n"/>
      <c r="X35" s="8" t="n"/>
      <c r="Y35" s="8" t="n"/>
      <c r="Z35" s="121" t="n"/>
      <c r="AA35" s="121" t="n"/>
      <c r="AB35" s="8" t="n"/>
      <c r="AC35" s="8" t="n"/>
      <c r="AD35" s="8" t="n"/>
      <c r="AE35" s="8" t="n"/>
      <c r="AF35" s="8" t="n"/>
      <c r="AG35" s="121" t="n"/>
      <c r="AH35" s="121" t="n"/>
      <c r="AI35" s="8" t="n"/>
      <c r="AJ35" s="8" t="n"/>
      <c r="AK35" s="8" t="n"/>
      <c r="AL35" s="8" t="n"/>
      <c r="AM35" s="8" t="n"/>
      <c r="AN35" s="121" t="n"/>
      <c r="AO35" s="121" t="n"/>
      <c r="AP35" s="8" t="n"/>
      <c r="AQ35" s="8" t="n"/>
      <c r="AR35" s="8" t="n"/>
      <c r="AS35" s="8" t="n"/>
      <c r="AT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117" t="n"/>
      <c r="Q36" s="8" t="n"/>
      <c r="R36" s="8" t="n"/>
      <c r="S36" s="121" t="n"/>
      <c r="T36" s="121" t="n"/>
      <c r="U36" s="8" t="n"/>
      <c r="V36" s="8" t="n"/>
      <c r="W36" s="8" t="n"/>
      <c r="X36" s="8" t="n"/>
      <c r="Y36" s="8" t="n"/>
      <c r="Z36" s="121" t="n"/>
      <c r="AA36" s="121" t="n"/>
      <c r="AB36" s="8" t="n"/>
      <c r="AC36" s="8" t="n"/>
      <c r="AD36" s="8" t="n"/>
      <c r="AE36" s="8" t="n"/>
      <c r="AF36" s="8" t="n"/>
      <c r="AG36" s="121" t="n"/>
      <c r="AH36" s="121" t="n"/>
      <c r="AI36" s="8" t="n"/>
      <c r="AJ36" s="8" t="n"/>
      <c r="AK36" s="8" t="n"/>
      <c r="AL36" s="8" t="n"/>
      <c r="AM36" s="8" t="n"/>
      <c r="AN36" s="121" t="n"/>
      <c r="AO36" s="121" t="n"/>
      <c r="AP36" s="8" t="n"/>
      <c r="AQ36" s="8" t="n"/>
      <c r="AR36" s="8" t="n"/>
      <c r="AS36" s="8" t="n"/>
      <c r="AT36" s="43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14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13" t="n"/>
      <c r="AT39" s="151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121" t="n"/>
      <c r="T40" s="121" t="n"/>
      <c r="U40" s="8" t="n"/>
      <c r="V40" s="8" t="n"/>
      <c r="W40" s="8" t="n"/>
      <c r="X40" s="8" t="n"/>
      <c r="Y40" s="8" t="n"/>
      <c r="Z40" s="121" t="n"/>
      <c r="AA40" s="121" t="n"/>
      <c r="AB40" s="8" t="n"/>
      <c r="AC40" s="8" t="n"/>
      <c r="AD40" s="8" t="n"/>
      <c r="AE40" s="8" t="n"/>
      <c r="AF40" s="8" t="n"/>
      <c r="AG40" s="121" t="n"/>
      <c r="AH40" s="121" t="n"/>
      <c r="AI40" s="8" t="n"/>
      <c r="AJ40" s="8" t="n"/>
      <c r="AK40" s="8" t="n"/>
      <c r="AL40" s="8" t="n"/>
      <c r="AM40" s="8" t="n"/>
      <c r="AN40" s="121" t="n"/>
      <c r="AO40" s="121" t="n"/>
      <c r="AP40" s="8" t="n"/>
      <c r="AQ40" s="8" t="n"/>
      <c r="AR40" s="8" t="n"/>
      <c r="AS40" s="8" t="n"/>
      <c r="AT40" s="43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121" t="n"/>
      <c r="T41" s="121" t="n"/>
      <c r="U41" s="8" t="n"/>
      <c r="V41" s="8" t="n"/>
      <c r="W41" s="8" t="n"/>
      <c r="X41" s="8" t="n"/>
      <c r="Y41" s="8" t="n"/>
      <c r="Z41" s="121" t="n"/>
      <c r="AA41" s="121" t="n"/>
      <c r="AB41" s="8" t="n"/>
      <c r="AC41" s="8" t="n"/>
      <c r="AD41" s="8" t="n"/>
      <c r="AE41" s="8" t="n"/>
      <c r="AF41" s="8" t="n"/>
      <c r="AG41" s="121" t="n"/>
      <c r="AH41" s="121" t="n"/>
      <c r="AI41" s="8" t="n"/>
      <c r="AJ41" s="8" t="n"/>
      <c r="AK41" s="8" t="n"/>
      <c r="AL41" s="8" t="n"/>
      <c r="AM41" s="8" t="n"/>
      <c r="AN41" s="121" t="n"/>
      <c r="AO41" s="121" t="n"/>
      <c r="AP41" s="8" t="n"/>
      <c r="AQ41" s="8" t="n"/>
      <c r="AR41" s="8" t="n"/>
      <c r="AS41" s="8" t="n"/>
      <c r="AT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121" t="n"/>
      <c r="T42" s="121" t="n"/>
      <c r="U42" s="8" t="n"/>
      <c r="V42" s="8" t="n"/>
      <c r="W42" s="8" t="n"/>
      <c r="X42" s="8" t="n"/>
      <c r="Y42" s="8" t="n"/>
      <c r="Z42" s="121" t="n"/>
      <c r="AA42" s="121" t="n"/>
      <c r="AB42" s="8" t="n"/>
      <c r="AC42" s="8" t="n"/>
      <c r="AD42" s="8" t="n"/>
      <c r="AE42" s="8" t="n"/>
      <c r="AF42" s="8" t="n"/>
      <c r="AG42" s="121" t="n"/>
      <c r="AH42" s="121" t="n"/>
      <c r="AI42" s="8" t="n"/>
      <c r="AJ42" s="8" t="n"/>
      <c r="AK42" s="8" t="n"/>
      <c r="AL42" s="8" t="n"/>
      <c r="AM42" s="8" t="n"/>
      <c r="AN42" s="121" t="n"/>
      <c r="AO42" s="121" t="n"/>
      <c r="AP42" s="8" t="n"/>
      <c r="AQ42" s="8" t="n"/>
      <c r="AR42" s="8" t="n"/>
      <c r="AS42" s="8" t="n"/>
      <c r="AT42" s="43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121" t="n"/>
      <c r="T43" s="121" t="n"/>
      <c r="U43" s="8" t="n"/>
      <c r="V43" s="8" t="n"/>
      <c r="W43" s="8" t="n"/>
      <c r="X43" s="8" t="n"/>
      <c r="Y43" s="8" t="n"/>
      <c r="Z43" s="121" t="n"/>
      <c r="AA43" s="121" t="n"/>
      <c r="AB43" s="8" t="n"/>
      <c r="AC43" s="8" t="n"/>
      <c r="AD43" s="8" t="n"/>
      <c r="AE43" s="8" t="n"/>
      <c r="AF43" s="8" t="n"/>
      <c r="AG43" s="121" t="n"/>
      <c r="AH43" s="121" t="n"/>
      <c r="AI43" s="8" t="n"/>
      <c r="AJ43" s="8" t="n"/>
      <c r="AK43" s="8" t="n"/>
      <c r="AL43" s="8" t="n"/>
      <c r="AM43" s="8" t="n"/>
      <c r="AN43" s="121" t="n"/>
      <c r="AO43" s="121" t="n"/>
      <c r="AP43" s="8" t="n"/>
      <c r="AQ43" s="8" t="n"/>
      <c r="AR43" s="8" t="n"/>
      <c r="AS43" s="8" t="n"/>
      <c r="AT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121" t="n"/>
      <c r="T44" s="121" t="n"/>
      <c r="U44" s="8" t="n"/>
      <c r="V44" s="8" t="n"/>
      <c r="W44" s="8" t="n"/>
      <c r="X44" s="8" t="n"/>
      <c r="Y44" s="8" t="n"/>
      <c r="Z44" s="121" t="n"/>
      <c r="AA44" s="121" t="n"/>
      <c r="AB44" s="8" t="n"/>
      <c r="AC44" s="8" t="n"/>
      <c r="AD44" s="8" t="n"/>
      <c r="AE44" s="8" t="n"/>
      <c r="AF44" s="8" t="n"/>
      <c r="AG44" s="121" t="n"/>
      <c r="AH44" s="121" t="n"/>
      <c r="AI44" s="8" t="n"/>
      <c r="AJ44" s="8" t="n"/>
      <c r="AK44" s="8" t="n"/>
      <c r="AL44" s="8" t="n"/>
      <c r="AM44" s="8" t="n"/>
      <c r="AN44" s="121" t="n"/>
      <c r="AO44" s="121" t="n"/>
      <c r="AP44" s="8" t="n"/>
      <c r="AQ44" s="8" t="n"/>
      <c r="AR44" s="8" t="n"/>
      <c r="AS44" s="8" t="n"/>
      <c r="AT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inlineStr">
        <is>
          <t>AT</t>
        </is>
      </c>
      <c r="Q45" s="8" t="inlineStr">
        <is>
          <t>AT</t>
        </is>
      </c>
      <c r="R45" s="8" t="inlineStr">
        <is>
          <t>AT</t>
        </is>
      </c>
      <c r="S45" s="8" t="inlineStr">
        <is>
          <t>AT</t>
        </is>
      </c>
      <c r="T45" s="8" t="inlineStr">
        <is>
          <t>AT</t>
        </is>
      </c>
      <c r="U45" s="8" t="inlineStr">
        <is>
          <t>AT</t>
        </is>
      </c>
      <c r="V45" s="8" t="inlineStr">
        <is>
          <t>AT</t>
        </is>
      </c>
      <c r="W45" s="8" t="inlineStr">
        <is>
          <t>AT</t>
        </is>
      </c>
      <c r="X45" s="8" t="inlineStr">
        <is>
          <t>AT</t>
        </is>
      </c>
      <c r="Y45" s="8" t="inlineStr">
        <is>
          <t>AT</t>
        </is>
      </c>
      <c r="Z45" s="8" t="inlineStr">
        <is>
          <t>AT</t>
        </is>
      </c>
      <c r="AA45" s="8" t="inlineStr">
        <is>
          <t>AT</t>
        </is>
      </c>
      <c r="AB45" s="8" t="inlineStr">
        <is>
          <t>AT</t>
        </is>
      </c>
      <c r="AC45" s="8" t="inlineStr">
        <is>
          <t>AT</t>
        </is>
      </c>
      <c r="AD45" s="8" t="inlineStr">
        <is>
          <t>AT</t>
        </is>
      </c>
      <c r="AE45" s="8" t="inlineStr">
        <is>
          <t>AT</t>
        </is>
      </c>
      <c r="AF45" s="8" t="inlineStr">
        <is>
          <t>AT</t>
        </is>
      </c>
      <c r="AG45" s="8" t="inlineStr">
        <is>
          <t>AT</t>
        </is>
      </c>
      <c r="AH45" s="8" t="inlineStr">
        <is>
          <t>AT</t>
        </is>
      </c>
      <c r="AI45" s="8" t="inlineStr">
        <is>
          <t>AT</t>
        </is>
      </c>
      <c r="AJ45" s="8" t="inlineStr">
        <is>
          <t>AT</t>
        </is>
      </c>
      <c r="AK45" s="8" t="inlineStr">
        <is>
          <t>AT</t>
        </is>
      </c>
      <c r="AL45" s="8" t="inlineStr">
        <is>
          <t>AT</t>
        </is>
      </c>
      <c r="AM45" s="8" t="inlineStr">
        <is>
          <t>AT</t>
        </is>
      </c>
      <c r="AN45" s="8" t="inlineStr">
        <is>
          <t>AT</t>
        </is>
      </c>
      <c r="AO45" s="8" t="inlineStr">
        <is>
          <t>AT</t>
        </is>
      </c>
      <c r="AP45" s="8" t="inlineStr">
        <is>
          <t>AT</t>
        </is>
      </c>
      <c r="AQ45" s="8" t="inlineStr">
        <is>
          <t>AT</t>
        </is>
      </c>
      <c r="AR45" s="8" t="inlineStr">
        <is>
          <t>AT</t>
        </is>
      </c>
      <c r="AS45" s="8" t="inlineStr">
        <is>
          <t>AT</t>
        </is>
      </c>
      <c r="AT45" s="43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121" t="n"/>
      <c r="T46" s="121" t="n"/>
      <c r="U46" s="8" t="n"/>
      <c r="V46" s="8" t="n"/>
      <c r="W46" s="8" t="n"/>
      <c r="X46" s="8" t="n"/>
      <c r="Y46" s="8" t="n"/>
      <c r="Z46" s="121" t="n"/>
      <c r="AA46" s="121" t="n"/>
      <c r="AB46" s="8" t="n"/>
      <c r="AC46" s="8" t="n"/>
      <c r="AD46" s="8" t="n"/>
      <c r="AE46" s="8" t="n"/>
      <c r="AF46" s="8" t="n"/>
      <c r="AG46" s="121" t="n"/>
      <c r="AH46" s="121" t="n"/>
      <c r="AI46" s="8" t="n"/>
      <c r="AJ46" s="8" t="n"/>
      <c r="AK46" s="8" t="n"/>
      <c r="AL46" s="8" t="n"/>
      <c r="AM46" s="8" t="n"/>
      <c r="AN46" s="121" t="n"/>
      <c r="AO46" s="121" t="n"/>
      <c r="AP46" s="8" t="n"/>
      <c r="AQ46" s="8" t="n"/>
      <c r="AR46" s="8" t="n"/>
      <c r="AS46" s="8" t="n"/>
      <c r="AT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121" t="n"/>
      <c r="T47" s="121" t="n"/>
      <c r="U47" s="8" t="n"/>
      <c r="V47" s="8" t="n"/>
      <c r="W47" s="8" t="n"/>
      <c r="X47" s="8" t="n"/>
      <c r="Y47" s="8" t="n"/>
      <c r="Z47" s="121" t="n"/>
      <c r="AA47" s="121" t="n"/>
      <c r="AB47" s="8" t="n"/>
      <c r="AC47" s="8" t="n"/>
      <c r="AD47" s="8" t="n"/>
      <c r="AE47" s="8" t="n"/>
      <c r="AF47" s="8" t="n"/>
      <c r="AG47" s="121" t="n"/>
      <c r="AH47" s="121" t="n"/>
      <c r="AI47" s="8" t="n"/>
      <c r="AJ47" s="8" t="n"/>
      <c r="AK47" s="8" t="n"/>
      <c r="AL47" s="8" t="n"/>
      <c r="AM47" s="8" t="n"/>
      <c r="AN47" s="121" t="n"/>
      <c r="AO47" s="121" t="n"/>
      <c r="AP47" s="8" t="n"/>
      <c r="AQ47" s="8" t="n"/>
      <c r="AR47" s="8" t="n"/>
      <c r="AS47" s="8" t="n"/>
      <c r="AT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121" t="n"/>
      <c r="T48" s="121" t="n"/>
      <c r="U48" s="8" t="n"/>
      <c r="V48" s="8" t="n"/>
      <c r="W48" s="8" t="n"/>
      <c r="X48" s="8" t="n"/>
      <c r="Y48" s="8" t="n"/>
      <c r="Z48" s="121" t="n"/>
      <c r="AA48" s="121" t="n"/>
      <c r="AB48" s="8" t="n"/>
      <c r="AC48" s="8" t="n"/>
      <c r="AD48" s="8" t="n"/>
      <c r="AE48" s="8" t="n"/>
      <c r="AF48" s="8" t="n"/>
      <c r="AG48" s="121" t="n"/>
      <c r="AH48" s="121" t="n"/>
      <c r="AI48" s="8" t="n"/>
      <c r="AJ48" s="8" t="n"/>
      <c r="AK48" s="8" t="n"/>
      <c r="AL48" s="8" t="n"/>
      <c r="AM48" s="8" t="n"/>
      <c r="AN48" s="121" t="n"/>
      <c r="AO48" s="121" t="n"/>
      <c r="AP48" s="8" t="n"/>
      <c r="AQ48" s="8" t="n"/>
      <c r="AR48" s="8" t="n"/>
      <c r="AS48" s="8" t="n"/>
      <c r="AT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8" t="n"/>
      <c r="Q49" s="29" t="n"/>
      <c r="R49" s="29" t="n"/>
      <c r="S49" s="122" t="n"/>
      <c r="T49" s="122" t="n"/>
      <c r="U49" s="29" t="n"/>
      <c r="V49" s="29" t="n"/>
      <c r="W49" s="29" t="n"/>
      <c r="X49" s="29" t="n"/>
      <c r="Y49" s="29" t="n"/>
      <c r="Z49" s="122" t="n"/>
      <c r="AA49" s="122" t="n"/>
      <c r="AB49" s="29" t="n"/>
      <c r="AC49" s="29" t="n"/>
      <c r="AD49" s="29" t="n"/>
      <c r="AE49" s="29" t="n"/>
      <c r="AF49" s="29" t="n"/>
      <c r="AG49" s="122" t="n"/>
      <c r="AH49" s="122" t="n"/>
      <c r="AI49" s="29" t="n"/>
      <c r="AJ49" s="29" t="n"/>
      <c r="AK49" s="29" t="n"/>
      <c r="AL49" s="29" t="n"/>
      <c r="AM49" s="29" t="n"/>
      <c r="AN49" s="122" t="n"/>
      <c r="AO49" s="122" t="n"/>
      <c r="AP49" s="29" t="n"/>
      <c r="AQ49" s="29" t="n"/>
      <c r="AR49" s="29" t="n"/>
      <c r="AS49" s="29" t="n"/>
      <c r="AT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1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114" t="n"/>
      <c r="Q51" s="28" t="n"/>
      <c r="R51" s="28" t="n"/>
      <c r="S51" s="113" t="n"/>
      <c r="T51" s="113" t="n"/>
      <c r="U51" s="28" t="n"/>
      <c r="V51" s="28" t="n"/>
      <c r="W51" s="28" t="n"/>
      <c r="X51" s="28" t="n"/>
      <c r="Y51" s="28" t="n"/>
      <c r="Z51" s="113" t="n"/>
      <c r="AA51" s="113" t="n"/>
      <c r="AB51" s="28" t="n"/>
      <c r="AC51" s="28" t="n"/>
      <c r="AD51" s="28" t="n"/>
      <c r="AE51" s="28" t="n"/>
      <c r="AF51" s="28" t="n"/>
      <c r="AG51" s="113" t="n"/>
      <c r="AH51" s="113" t="n"/>
      <c r="AI51" s="28" t="n"/>
      <c r="AJ51" s="28" t="n"/>
      <c r="AK51" s="28" t="n"/>
      <c r="AL51" s="28" t="n"/>
      <c r="AM51" s="28" t="n"/>
      <c r="AN51" s="113" t="n"/>
      <c r="AO51" s="113" t="n"/>
      <c r="AP51" s="28" t="n"/>
      <c r="AQ51" s="28" t="n"/>
      <c r="AR51" s="28" t="n"/>
      <c r="AS51" s="28" t="n"/>
      <c r="AT51" s="42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121" t="n"/>
      <c r="T52" s="121" t="n"/>
      <c r="U52" s="8" t="n"/>
      <c r="V52" s="8" t="n"/>
      <c r="W52" s="8" t="n"/>
      <c r="X52" s="8" t="n"/>
      <c r="Y52" s="8" t="n"/>
      <c r="Z52" s="121" t="n"/>
      <c r="AA52" s="121" t="n"/>
      <c r="AB52" s="8" t="n"/>
      <c r="AC52" s="8" t="n"/>
      <c r="AD52" s="8" t="n"/>
      <c r="AE52" s="8" t="n"/>
      <c r="AF52" s="8" t="n"/>
      <c r="AG52" s="121" t="n"/>
      <c r="AH52" s="121" t="n"/>
      <c r="AI52" s="8" t="n"/>
      <c r="AJ52" s="8" t="n"/>
      <c r="AK52" s="8" t="n"/>
      <c r="AL52" s="8" t="n"/>
      <c r="AM52" s="8" t="n"/>
      <c r="AN52" s="121" t="n"/>
      <c r="AO52" s="121" t="n"/>
      <c r="AP52" s="8" t="n"/>
      <c r="AQ52" s="8" t="n"/>
      <c r="AR52" s="8" t="n"/>
      <c r="AS52" s="8" t="n"/>
      <c r="AT52" s="43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121" t="n"/>
      <c r="T53" s="121" t="n"/>
      <c r="U53" s="8" t="n"/>
      <c r="V53" s="8" t="n"/>
      <c r="W53" s="8" t="n"/>
      <c r="X53" s="8" t="n"/>
      <c r="Y53" s="8" t="n"/>
      <c r="Z53" s="121" t="n"/>
      <c r="AA53" s="121" t="n"/>
      <c r="AB53" s="8" t="n"/>
      <c r="AC53" s="8" t="n"/>
      <c r="AD53" s="8" t="n"/>
      <c r="AE53" s="8" t="n"/>
      <c r="AF53" s="8" t="n"/>
      <c r="AG53" s="121" t="n"/>
      <c r="AH53" s="121" t="n"/>
      <c r="AI53" s="8" t="n"/>
      <c r="AJ53" s="8" t="n"/>
      <c r="AK53" s="8" t="n"/>
      <c r="AL53" s="8" t="n"/>
      <c r="AM53" s="8" t="n"/>
      <c r="AN53" s="121" t="n"/>
      <c r="AO53" s="121" t="n"/>
      <c r="AP53" s="8" t="n"/>
      <c r="AQ53" s="8" t="n"/>
      <c r="AR53" s="8" t="n"/>
      <c r="AS53" s="8" t="n"/>
      <c r="AT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121" t="n"/>
      <c r="T54" s="121" t="n"/>
      <c r="U54" s="8" t="n"/>
      <c r="V54" s="8" t="n"/>
      <c r="W54" s="8" t="n"/>
      <c r="X54" s="8" t="n"/>
      <c r="Y54" s="8" t="n"/>
      <c r="Z54" s="121" t="n"/>
      <c r="AA54" s="121" t="n"/>
      <c r="AB54" s="8" t="n"/>
      <c r="AC54" s="8" t="n"/>
      <c r="AD54" s="8" t="n"/>
      <c r="AE54" s="8" t="n"/>
      <c r="AF54" s="8" t="n"/>
      <c r="AG54" s="121" t="n"/>
      <c r="AH54" s="121" t="n"/>
      <c r="AI54" s="8" t="n"/>
      <c r="AJ54" s="8" t="n"/>
      <c r="AK54" s="8" t="n"/>
      <c r="AL54" s="8" t="n"/>
      <c r="AM54" s="8" t="n"/>
      <c r="AN54" s="121" t="n"/>
      <c r="AO54" s="121" t="n"/>
      <c r="AP54" s="8" t="n"/>
      <c r="AQ54" s="8" t="n"/>
      <c r="AR54" s="8" t="n"/>
      <c r="AS54" s="8" t="n"/>
      <c r="AT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121" t="n"/>
      <c r="T55" s="121" t="n"/>
      <c r="U55" s="8" t="n"/>
      <c r="V55" s="8" t="n"/>
      <c r="W55" s="8" t="n"/>
      <c r="X55" s="8" t="n"/>
      <c r="Y55" s="8" t="n"/>
      <c r="Z55" s="121" t="n"/>
      <c r="AA55" s="121" t="n"/>
      <c r="AB55" s="8" t="n"/>
      <c r="AC55" s="8" t="n"/>
      <c r="AD55" s="8" t="n"/>
      <c r="AE55" s="8" t="n"/>
      <c r="AF55" s="8" t="n"/>
      <c r="AG55" s="121" t="n"/>
      <c r="AH55" s="121" t="n"/>
      <c r="AI55" s="8" t="n"/>
      <c r="AJ55" s="8" t="n"/>
      <c r="AK55" s="8" t="n"/>
      <c r="AL55" s="8" t="n"/>
      <c r="AM55" s="8" t="n"/>
      <c r="AN55" s="121" t="n"/>
      <c r="AO55" s="121" t="n"/>
      <c r="AP55" s="8" t="n"/>
      <c r="AQ55" s="8" t="n"/>
      <c r="AR55" s="8" t="n"/>
      <c r="AS55" s="8" t="n"/>
      <c r="AT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121" t="n"/>
      <c r="T56" s="121" t="n"/>
      <c r="U56" s="8" t="n"/>
      <c r="V56" s="8" t="n"/>
      <c r="W56" s="8" t="n"/>
      <c r="X56" s="8" t="n"/>
      <c r="Y56" s="8" t="n"/>
      <c r="Z56" s="121" t="n"/>
      <c r="AA56" s="121" t="n"/>
      <c r="AB56" s="8" t="n"/>
      <c r="AC56" s="8" t="n"/>
      <c r="AD56" s="8" t="n"/>
      <c r="AE56" s="8" t="n"/>
      <c r="AF56" s="8" t="n"/>
      <c r="AG56" s="121" t="n"/>
      <c r="AH56" s="121" t="n"/>
      <c r="AI56" s="8" t="n"/>
      <c r="AJ56" s="8" t="n"/>
      <c r="AK56" s="8" t="n"/>
      <c r="AL56" s="8" t="n"/>
      <c r="AM56" s="8" t="n"/>
      <c r="AN56" s="121" t="n"/>
      <c r="AO56" s="121" t="n"/>
      <c r="AP56" s="8" t="n"/>
      <c r="AQ56" s="8" t="n"/>
      <c r="AR56" s="8" t="n"/>
      <c r="AS56" s="8" t="n"/>
      <c r="AT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121" t="n"/>
      <c r="T57" s="121" t="n"/>
      <c r="U57" s="8" t="n"/>
      <c r="V57" s="8" t="n"/>
      <c r="W57" s="8" t="n"/>
      <c r="X57" s="8" t="n"/>
      <c r="Y57" s="8" t="n"/>
      <c r="Z57" s="121" t="n"/>
      <c r="AA57" s="121" t="n"/>
      <c r="AB57" s="8" t="n"/>
      <c r="AC57" s="8" t="n"/>
      <c r="AD57" s="8" t="n"/>
      <c r="AE57" s="8" t="n"/>
      <c r="AF57" s="8" t="n"/>
      <c r="AG57" s="121" t="n"/>
      <c r="AH57" s="121" t="n"/>
      <c r="AI57" s="8" t="n"/>
      <c r="AJ57" s="8" t="n"/>
      <c r="AK57" s="8" t="n"/>
      <c r="AL57" s="8" t="n"/>
      <c r="AM57" s="8" t="n"/>
      <c r="AN57" s="121" t="n"/>
      <c r="AO57" s="121" t="n"/>
      <c r="AP57" s="8" t="n"/>
      <c r="AQ57" s="8" t="n"/>
      <c r="AR57" s="8" t="n"/>
      <c r="AS57" s="8" t="n"/>
      <c r="AT57" s="43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121" t="n"/>
      <c r="T58" s="121" t="n"/>
      <c r="U58" s="8" t="n"/>
      <c r="V58" s="8" t="n"/>
      <c r="W58" s="8" t="n"/>
      <c r="X58" s="8" t="n"/>
      <c r="Y58" s="8" t="n"/>
      <c r="Z58" s="121" t="n"/>
      <c r="AA58" s="121" t="n"/>
      <c r="AB58" s="8" t="n"/>
      <c r="AC58" s="8" t="n"/>
      <c r="AD58" s="8" t="n"/>
      <c r="AE58" s="8" t="n"/>
      <c r="AF58" s="8" t="n"/>
      <c r="AG58" s="121" t="n"/>
      <c r="AH58" s="121" t="n"/>
      <c r="AI58" s="8" t="n"/>
      <c r="AJ58" s="8" t="n"/>
      <c r="AK58" s="8" t="n"/>
      <c r="AL58" s="8" t="n"/>
      <c r="AM58" s="8" t="n"/>
      <c r="AN58" s="121" t="n"/>
      <c r="AO58" s="121" t="n"/>
      <c r="AP58" s="8" t="n"/>
      <c r="AQ58" s="8" t="n"/>
      <c r="AR58" s="8" t="n"/>
      <c r="AS58" s="8" t="n"/>
      <c r="AT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121" t="n"/>
      <c r="T59" s="121" t="n"/>
      <c r="U59" s="8" t="n"/>
      <c r="V59" s="8" t="n"/>
      <c r="W59" s="8" t="n"/>
      <c r="X59" s="8" t="n"/>
      <c r="Y59" s="8" t="n"/>
      <c r="Z59" s="121" t="n"/>
      <c r="AA59" s="121" t="n"/>
      <c r="AB59" s="8" t="n"/>
      <c r="AC59" s="8" t="n"/>
      <c r="AD59" s="8" t="n"/>
      <c r="AE59" s="8" t="n"/>
      <c r="AF59" s="8" t="n"/>
      <c r="AG59" s="121" t="n"/>
      <c r="AH59" s="121" t="n"/>
      <c r="AI59" s="8" t="n"/>
      <c r="AJ59" s="8" t="n"/>
      <c r="AK59" s="8" t="n"/>
      <c r="AL59" s="8" t="n"/>
      <c r="AM59" s="8" t="n"/>
      <c r="AN59" s="121" t="n"/>
      <c r="AO59" s="121" t="n"/>
      <c r="AP59" s="8" t="n"/>
      <c r="AQ59" s="8" t="n"/>
      <c r="AR59" s="8" t="n"/>
      <c r="AS59" s="8" t="n"/>
      <c r="AT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121" t="n"/>
      <c r="T60" s="121" t="n"/>
      <c r="U60" s="8" t="n"/>
      <c r="V60" s="8" t="n"/>
      <c r="W60" s="8" t="n"/>
      <c r="X60" s="8" t="n"/>
      <c r="Y60" s="8" t="n"/>
      <c r="Z60" s="121" t="n"/>
      <c r="AA60" s="121" t="n"/>
      <c r="AB60" s="8" t="n"/>
      <c r="AC60" s="8" t="n"/>
      <c r="AD60" s="8" t="n"/>
      <c r="AE60" s="8" t="n"/>
      <c r="AF60" s="8" t="n"/>
      <c r="AG60" s="121" t="n"/>
      <c r="AH60" s="121" t="n"/>
      <c r="AI60" s="8" t="n"/>
      <c r="AJ60" s="8" t="n"/>
      <c r="AK60" s="8" t="n"/>
      <c r="AL60" s="8" t="n"/>
      <c r="AM60" s="8" t="n"/>
      <c r="AN60" s="121" t="n"/>
      <c r="AO60" s="121" t="n"/>
      <c r="AP60" s="8" t="n"/>
      <c r="AQ60" s="8" t="n"/>
      <c r="AR60" s="8" t="n"/>
      <c r="AS60" s="8" t="n"/>
      <c r="AT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121" t="n"/>
      <c r="T61" s="121" t="n"/>
      <c r="U61" s="8" t="n"/>
      <c r="V61" s="8" t="n"/>
      <c r="W61" s="8" t="n"/>
      <c r="X61" s="8" t="n"/>
      <c r="Y61" s="8" t="n"/>
      <c r="Z61" s="121" t="n"/>
      <c r="AA61" s="121" t="n"/>
      <c r="AB61" s="8" t="n"/>
      <c r="AC61" s="8" t="n"/>
      <c r="AD61" s="8" t="n"/>
      <c r="AE61" s="8" t="n"/>
      <c r="AF61" s="8" t="n"/>
      <c r="AG61" s="121" t="n"/>
      <c r="AH61" s="121" t="n"/>
      <c r="AI61" s="8" t="n"/>
      <c r="AJ61" s="8" t="n"/>
      <c r="AK61" s="8" t="n"/>
      <c r="AL61" s="8" t="n"/>
      <c r="AM61" s="8" t="n"/>
      <c r="AN61" s="121" t="n"/>
      <c r="AO61" s="121" t="n"/>
      <c r="AP61" s="8" t="n"/>
      <c r="AQ61" s="8" t="n"/>
      <c r="AR61" s="8" t="n"/>
      <c r="AS61" s="8" t="n"/>
      <c r="AT61" s="43" t="n"/>
    </row>
    <row r="62" ht="20.1" customHeight="1" thickBot="1">
      <c r="A62" s="232" t="n"/>
      <c r="B62" s="232" t="n"/>
      <c r="C62" s="233" t="n"/>
      <c r="D62" s="234">
        <f>COUNTIF(P62:AS62,"p")</f>
        <v/>
      </c>
      <c r="E62" s="235">
        <f>COUNTIF(P62:AS62,"PC")</f>
        <v/>
      </c>
      <c r="F62" s="235">
        <f>COUNTIF(P62:AS62,"f")</f>
        <v/>
      </c>
      <c r="G62" s="235">
        <f>COUNTIF(P62:AS62,"ast")</f>
        <v/>
      </c>
      <c r="H62" s="235">
        <f>COUNTIF(P62:AS62,"cA")</f>
        <v/>
      </c>
      <c r="I62" s="235">
        <f>COUNTIF(P62:AS62,"rtt")</f>
        <v/>
      </c>
      <c r="J62" s="235">
        <f>COUNTIF(P62:AS62,"cex")</f>
        <v/>
      </c>
      <c r="K62" s="235">
        <f>COUNTIF(P62:AS62,"res")</f>
        <v/>
      </c>
      <c r="L62" s="235">
        <f>COUNTIF(P62:AS62,"mA")</f>
        <v/>
      </c>
      <c r="M62" s="235">
        <f>COUNTIF(P62:AS62,"at")</f>
        <v/>
      </c>
      <c r="N62" s="235">
        <f>COUNTIF(P62:AS62,"TAD")</f>
        <v/>
      </c>
      <c r="O62" s="236">
        <f>COUNTIF(P62:AS62,"TP")</f>
        <v/>
      </c>
      <c r="P62" s="237" t="n"/>
      <c r="Q62" s="238" t="n"/>
      <c r="R62" s="238" t="n"/>
      <c r="S62" s="238" t="n"/>
      <c r="T62" s="238" t="n"/>
      <c r="U62" s="238" t="n"/>
      <c r="V62" s="238" t="n"/>
      <c r="W62" s="238" t="n"/>
      <c r="X62" s="238" t="n"/>
      <c r="Y62" s="238" t="n"/>
      <c r="Z62" s="238" t="n"/>
      <c r="AA62" s="238" t="n"/>
      <c r="AB62" s="238" t="n"/>
      <c r="AC62" s="238" t="n"/>
      <c r="AD62" s="238" t="n"/>
      <c r="AE62" s="238" t="n"/>
      <c r="AF62" s="238" t="n"/>
      <c r="AG62" s="238" t="n"/>
      <c r="AH62" s="238" t="n"/>
      <c r="AI62" s="238" t="n"/>
      <c r="AJ62" s="238" t="n"/>
      <c r="AK62" s="238" t="n"/>
      <c r="AL62" s="238" t="n"/>
      <c r="AM62" s="238" t="n"/>
      <c r="AN62" s="238" t="n"/>
      <c r="AO62" s="238" t="n"/>
      <c r="AP62" s="238" t="n"/>
      <c r="AQ62" s="238" t="n"/>
      <c r="AR62" s="238" t="n"/>
      <c r="AS62" s="238" t="n"/>
      <c r="AT62" s="239" t="n"/>
    </row>
    <row r="63" ht="20.1" customHeight="1" thickBot="1">
      <c r="A63" s="350">
        <f>IFERROR(IF(config!E55="","",config!E55),"")</f>
        <v/>
      </c>
      <c r="B63" s="351" t="n"/>
      <c r="C63" s="351" t="n"/>
      <c r="D63" s="351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  <c r="AK63" s="351" t="n"/>
      <c r="AL63" s="351" t="n"/>
      <c r="AM63" s="351" t="n"/>
      <c r="AN63" s="351" t="n"/>
      <c r="AO63" s="351" t="n"/>
      <c r="AP63" s="351" t="n"/>
      <c r="AQ63" s="351" t="n"/>
      <c r="AR63" s="351" t="n"/>
      <c r="AS63" s="351" t="n"/>
      <c r="AT63" s="352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113" t="n"/>
      <c r="T64" s="113" t="n"/>
      <c r="U64" s="28" t="n"/>
      <c r="V64" s="28" t="n"/>
      <c r="W64" s="28" t="n"/>
      <c r="X64" s="28" t="n"/>
      <c r="Y64" s="28" t="n"/>
      <c r="Z64" s="113" t="n"/>
      <c r="AA64" s="113" t="n"/>
      <c r="AB64" s="28" t="n"/>
      <c r="AC64" s="28" t="n"/>
      <c r="AD64" s="28" t="n"/>
      <c r="AE64" s="28" t="n"/>
      <c r="AF64" s="28" t="n"/>
      <c r="AG64" s="113" t="n"/>
      <c r="AH64" s="113" t="n"/>
      <c r="AI64" s="28" t="n"/>
      <c r="AJ64" s="28" t="n"/>
      <c r="AK64" s="28" t="n"/>
      <c r="AL64" s="28" t="n"/>
      <c r="AM64" s="28" t="n"/>
      <c r="AN64" s="113" t="n"/>
      <c r="AO64" s="113" t="n"/>
      <c r="AP64" s="28" t="n"/>
      <c r="AQ64" s="28" t="n"/>
      <c r="AR64" s="28" t="n"/>
      <c r="AS64" s="28" t="n"/>
      <c r="AT64" s="42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121" t="n"/>
      <c r="T65" s="121" t="n"/>
      <c r="U65" s="8" t="n"/>
      <c r="V65" s="8" t="n"/>
      <c r="W65" s="8" t="n"/>
      <c r="X65" s="8" t="n"/>
      <c r="Y65" s="8" t="n"/>
      <c r="Z65" s="121" t="n"/>
      <c r="AA65" s="121" t="n"/>
      <c r="AB65" s="8" t="n"/>
      <c r="AC65" s="8" t="n"/>
      <c r="AD65" s="8" t="n"/>
      <c r="AE65" s="8" t="n"/>
      <c r="AF65" s="8" t="n"/>
      <c r="AG65" s="121" t="n"/>
      <c r="AH65" s="121" t="n"/>
      <c r="AI65" s="8" t="n"/>
      <c r="AJ65" s="8" t="n"/>
      <c r="AK65" s="8" t="n"/>
      <c r="AL65" s="8" t="n"/>
      <c r="AM65" s="8" t="n"/>
      <c r="AN65" s="121" t="n"/>
      <c r="AO65" s="121" t="n"/>
      <c r="AP65" s="8" t="n"/>
      <c r="AQ65" s="8" t="n"/>
      <c r="AR65" s="8" t="n"/>
      <c r="AS65" s="8" t="n"/>
      <c r="AT65" s="43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121" t="n"/>
      <c r="T66" s="121" t="n"/>
      <c r="U66" s="8" t="n"/>
      <c r="V66" s="8" t="n"/>
      <c r="W66" s="8" t="n"/>
      <c r="X66" s="8" t="n"/>
      <c r="Y66" s="8" t="n"/>
      <c r="Z66" s="121" t="n"/>
      <c r="AA66" s="121" t="n"/>
      <c r="AB66" s="8" t="n"/>
      <c r="AC66" s="8" t="n"/>
      <c r="AD66" s="8" t="n"/>
      <c r="AE66" s="8" t="n"/>
      <c r="AF66" s="8" t="n"/>
      <c r="AG66" s="121" t="n"/>
      <c r="AH66" s="121" t="n"/>
      <c r="AI66" s="8" t="n"/>
      <c r="AJ66" s="8" t="n"/>
      <c r="AK66" s="8" t="n"/>
      <c r="AL66" s="8" t="n"/>
      <c r="AM66" s="8" t="n"/>
      <c r="AN66" s="121" t="n"/>
      <c r="AO66" s="121" t="n"/>
      <c r="AP66" s="8" t="n"/>
      <c r="AQ66" s="8" t="n"/>
      <c r="AR66" s="8" t="n"/>
      <c r="AS66" s="8" t="n"/>
      <c r="AT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17" t="n"/>
      <c r="Q67" s="8" t="n"/>
      <c r="R67" s="8" t="n"/>
      <c r="S67" s="121" t="n"/>
      <c r="T67" s="121" t="n"/>
      <c r="U67" s="8" t="n"/>
      <c r="V67" s="8" t="n"/>
      <c r="W67" s="8" t="n"/>
      <c r="X67" s="8" t="n"/>
      <c r="Y67" s="8" t="n"/>
      <c r="Z67" s="121" t="n"/>
      <c r="AA67" s="121" t="n"/>
      <c r="AB67" s="8" t="n"/>
      <c r="AC67" s="8" t="n"/>
      <c r="AD67" s="8" t="n"/>
      <c r="AE67" s="8" t="n"/>
      <c r="AF67" s="8" t="n"/>
      <c r="AG67" s="121" t="n"/>
      <c r="AH67" s="121" t="n"/>
      <c r="AI67" s="8" t="n"/>
      <c r="AJ67" s="8" t="n"/>
      <c r="AK67" s="8" t="n"/>
      <c r="AL67" s="8" t="n"/>
      <c r="AM67" s="8" t="n"/>
      <c r="AN67" s="121" t="n"/>
      <c r="AO67" s="121" t="n"/>
      <c r="AP67" s="8" t="n"/>
      <c r="AQ67" s="8" t="n"/>
      <c r="AR67" s="8" t="n"/>
      <c r="AS67" s="8" t="n"/>
      <c r="AT67" s="43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17" t="n"/>
      <c r="Q68" s="8" t="n"/>
      <c r="R68" s="8" t="n"/>
      <c r="S68" s="121" t="n"/>
      <c r="T68" s="121" t="n"/>
      <c r="U68" s="8" t="n"/>
      <c r="V68" s="8" t="n"/>
      <c r="W68" s="8" t="n"/>
      <c r="X68" s="8" t="n"/>
      <c r="Y68" s="8" t="n"/>
      <c r="Z68" s="121" t="n"/>
      <c r="AA68" s="121" t="n"/>
      <c r="AB68" s="8" t="n"/>
      <c r="AC68" s="8" t="n"/>
      <c r="AD68" s="8" t="n"/>
      <c r="AE68" s="8" t="n"/>
      <c r="AF68" s="8" t="n"/>
      <c r="AG68" s="121" t="n"/>
      <c r="AH68" s="121" t="n"/>
      <c r="AI68" s="8" t="n"/>
      <c r="AJ68" s="8" t="n"/>
      <c r="AK68" s="8" t="n"/>
      <c r="AL68" s="8" t="n"/>
      <c r="AM68" s="8" t="n"/>
      <c r="AN68" s="121" t="n"/>
      <c r="AO68" s="121" t="n"/>
      <c r="AP68" s="8" t="n"/>
      <c r="AQ68" s="8" t="n"/>
      <c r="AR68" s="8" t="n"/>
      <c r="AS68" s="8" t="n"/>
      <c r="AT68" s="43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118" t="n"/>
      <c r="Q69" s="29" t="n"/>
      <c r="R69" s="29" t="n"/>
      <c r="S69" s="122" t="n"/>
      <c r="T69" s="122" t="n"/>
      <c r="U69" s="29" t="n"/>
      <c r="V69" s="29" t="n"/>
      <c r="W69" s="29" t="n"/>
      <c r="X69" s="29" t="n"/>
      <c r="Y69" s="29" t="n"/>
      <c r="Z69" s="122" t="n"/>
      <c r="AA69" s="122" t="n"/>
      <c r="AB69" s="29" t="n"/>
      <c r="AC69" s="29" t="n"/>
      <c r="AD69" s="29" t="n"/>
      <c r="AE69" s="29" t="n"/>
      <c r="AF69" s="29" t="n"/>
      <c r="AG69" s="122" t="n"/>
      <c r="AH69" s="122" t="n"/>
      <c r="AI69" s="29" t="n"/>
      <c r="AJ69" s="29" t="n"/>
      <c r="AK69" s="29" t="n"/>
      <c r="AL69" s="29" t="n"/>
      <c r="AM69" s="29" t="n"/>
      <c r="AN69" s="122" t="n"/>
      <c r="AO69" s="122" t="n"/>
      <c r="AP69" s="29" t="n"/>
      <c r="AQ69" s="29" t="n"/>
      <c r="AR69" s="29" t="n"/>
      <c r="AS69" s="29" t="n"/>
      <c r="AT69" s="44" t="n"/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565" operator="equal" dxfId="55">
      <formula>"repos"</formula>
    </cfRule>
    <cfRule type="cellIs" priority="566" operator="equal" dxfId="53">
      <formula>"permanence"</formula>
    </cfRule>
    <cfRule type="cellIs" priority="567" operator="equal" dxfId="53">
      <formula>"dimanche"</formula>
    </cfRule>
    <cfRule type="cellIs" priority="568" operator="equal" dxfId="52">
      <formula>"formation"</formula>
    </cfRule>
    <cfRule type="cellIs" priority="569" operator="equal" dxfId="6">
      <formula>"conges exc"</formula>
    </cfRule>
    <cfRule type="cellIs" priority="570" operator="equal" dxfId="4">
      <formula>"conges"</formula>
    </cfRule>
    <cfRule type="cellIs" priority="571" operator="equal" dxfId="5">
      <formula>"asa"</formula>
    </cfRule>
    <cfRule type="cellIs" priority="572" operator="equal" dxfId="8">
      <formula>"maladie / at"</formula>
    </cfRule>
    <cfRule type="cellIs" priority="573" operator="equal" dxfId="0">
      <formula>"presence"</formula>
    </cfRule>
  </conditionalFormatting>
  <conditionalFormatting sqref="D11:O20 D23:O24 D26:O29 D31:O36 D39:O49 D51:O62 D64:O69">
    <cfRule type="cellIs" priority="574" operator="equal" dxfId="46">
      <formula>0</formula>
    </cfRule>
  </conditionalFormatting>
  <conditionalFormatting sqref="P9:AT9">
    <cfRule type="expression" priority="576" dxfId="44">
      <formula>OR(P$9=1, P$9=7)</formula>
    </cfRule>
  </conditionalFormatting>
  <conditionalFormatting sqref="P9:AT10">
    <cfRule type="expression" priority="575" dxfId="44">
      <formula>OR(P$9=1,P$9=7)</formula>
    </cfRule>
  </conditionalFormatting>
  <conditionalFormatting sqref="P26:AT29 P31:AT36">
    <cfRule type="containsText" priority="1" operator="containsText" dxfId="10" text="TP">
      <formula>NOT(ISERROR(SEARCH("TP",P26)))</formula>
    </cfRule>
    <cfRule type="containsText" priority="2" operator="containsText" text="TAD">
      <formula>NOT(ISERROR(SEARCH("TAD",P26)))</formula>
    </cfRule>
    <cfRule type="containsText" priority="3" operator="containsText" dxfId="9" text="AT">
      <formula>NOT(ISERROR(SEARCH("AT",P26)))</formula>
    </cfRule>
    <cfRule type="containsText" priority="4" operator="containsText" dxfId="8" text="MA">
      <formula>NOT(ISERROR(SEARCH("MA",P26)))</formula>
    </cfRule>
    <cfRule type="containsText" priority="5" operator="containsText" dxfId="7" text="RES">
      <formula>NOT(ISERROR(SEARCH("RES",P26)))</formula>
    </cfRule>
    <cfRule type="containsText" priority="6" operator="containsText" dxfId="6" text="CEX">
      <formula>NOT(ISERROR(SEARCH("CEX",P26)))</formula>
    </cfRule>
    <cfRule type="containsText" priority="7" operator="containsText" dxfId="5" text="RTT">
      <formula>NOT(ISERROR(SEARCH("RTT",P26)))</formula>
    </cfRule>
    <cfRule type="beginsWith" priority="8" operator="beginsWith" dxfId="4" text="CA">
      <formula>LEFT(P26,LEN("CA"))="CA"</formula>
    </cfRule>
    <cfRule type="containsText" priority="9" operator="containsText" dxfId="3" text="AST">
      <formula>NOT(ISERROR(SEARCH("AST",P26)))</formula>
    </cfRule>
    <cfRule type="containsText" priority="10" operator="containsText" dxfId="2" text="F">
      <formula>NOT(ISERROR(SEARCH("F",P26)))</formula>
    </cfRule>
    <cfRule type="containsText" priority="11" operator="containsText" dxfId="1" text="PC">
      <formula>NOT(ISERROR(SEARCH("PC",P26)))</formula>
    </cfRule>
    <cfRule type="containsText" priority="12" operator="containsText" dxfId="0" text="P">
      <formula>NOT(ISERROR(SEARCH("P",P26)))</formula>
    </cfRule>
  </conditionalFormatting>
  <conditionalFormatting sqref="P51:AT62">
    <cfRule type="containsText" priority="13" operator="containsText" dxfId="10" text="TP">
      <formula>NOT(ISERROR(SEARCH("TP",P51)))</formula>
    </cfRule>
    <cfRule type="containsText" priority="14" operator="containsText" text="TAD">
      <formula>NOT(ISERROR(SEARCH("TAD",P51)))</formula>
    </cfRule>
    <cfRule type="containsText" priority="15" operator="containsText" dxfId="9" text="AT">
      <formula>NOT(ISERROR(SEARCH("AT",P51)))</formula>
    </cfRule>
    <cfRule type="containsText" priority="16" operator="containsText" dxfId="8" text="MA">
      <formula>NOT(ISERROR(SEARCH("MA",P51)))</formula>
    </cfRule>
    <cfRule type="containsText" priority="17" operator="containsText" dxfId="7" text="RES">
      <formula>NOT(ISERROR(SEARCH("RES",P51)))</formula>
    </cfRule>
    <cfRule type="containsText" priority="18" operator="containsText" dxfId="6" text="CEX">
      <formula>NOT(ISERROR(SEARCH("CEX",P51)))</formula>
    </cfRule>
    <cfRule type="containsText" priority="19" operator="containsText" dxfId="5" text="RTT">
      <formula>NOT(ISERROR(SEARCH("RTT",P51)))</formula>
    </cfRule>
    <cfRule type="beginsWith" priority="20" operator="beginsWith" dxfId="4" text="CA">
      <formula>LEFT(P51,LEN("CA"))="CA"</formula>
    </cfRule>
    <cfRule type="containsText" priority="21" operator="containsText" dxfId="3" text="AST">
      <formula>NOT(ISERROR(SEARCH("AST",P51)))</formula>
    </cfRule>
    <cfRule type="containsText" priority="22" operator="containsText" dxfId="2" text="F">
      <formula>NOT(ISERROR(SEARCH("F",P51)))</formula>
    </cfRule>
    <cfRule type="containsText" priority="23" operator="containsText" dxfId="1" text="PC">
      <formula>NOT(ISERROR(SEARCH("PC",P51)))</formula>
    </cfRule>
    <cfRule type="containsText" priority="24" operator="containsText" dxfId="0" text="P">
      <formula>NOT(ISERROR(SEARCH("P",P51)))</formula>
    </cfRule>
  </conditionalFormatting>
  <conditionalFormatting sqref="P64:AT69">
    <cfRule type="containsText" priority="37" operator="containsText" dxfId="10" text="TP">
      <formula>NOT(ISERROR(SEARCH("TP",P64)))</formula>
    </cfRule>
    <cfRule type="containsText" priority="38" operator="containsText" text="TAD">
      <formula>NOT(ISERROR(SEARCH("TAD",P64)))</formula>
    </cfRule>
    <cfRule type="containsText" priority="39" operator="containsText" dxfId="9" text="AT">
      <formula>NOT(ISERROR(SEARCH("AT",P64)))</formula>
    </cfRule>
    <cfRule type="containsText" priority="40" operator="containsText" dxfId="8" text="MA">
      <formula>NOT(ISERROR(SEARCH("MA",P64)))</formula>
    </cfRule>
    <cfRule type="containsText" priority="41" operator="containsText" dxfId="7" text="RES">
      <formula>NOT(ISERROR(SEARCH("RES",P64)))</formula>
    </cfRule>
    <cfRule type="containsText" priority="42" operator="containsText" dxfId="6" text="CEX">
      <formula>NOT(ISERROR(SEARCH("CEX",P64)))</formula>
    </cfRule>
    <cfRule type="containsText" priority="43" operator="containsText" dxfId="5" text="RTT">
      <formula>NOT(ISERROR(SEARCH("RTT",P64)))</formula>
    </cfRule>
    <cfRule type="beginsWith" priority="44" operator="beginsWith" dxfId="4" text="CA">
      <formula>LEFT(P64,LEN("CA"))="CA"</formula>
    </cfRule>
    <cfRule type="containsText" priority="45" operator="containsText" dxfId="3" text="AST">
      <formula>NOT(ISERROR(SEARCH("AST",P64)))</formula>
    </cfRule>
    <cfRule type="containsText" priority="46" operator="containsText" dxfId="2" text="F">
      <formula>NOT(ISERROR(SEARCH("F",P64)))</formula>
    </cfRule>
    <cfRule type="containsText" priority="47" operator="containsText" dxfId="1" text="PC">
      <formula>NOT(ISERROR(SEARCH("PC",P64)))</formula>
    </cfRule>
    <cfRule type="containsText" priority="48" operator="containsText" dxfId="0" text="P">
      <formula>NOT(ISERROR(SEARCH("P",P64)))</formula>
    </cfRule>
  </conditionalFormatting>
  <conditionalFormatting sqref="P11:AU20 P23:AT24 P39:AT49">
    <cfRule type="containsText" priority="229" operator="containsText" dxfId="10" text="TP">
      <formula>NOT(ISERROR(SEARCH("TP",P11)))</formula>
    </cfRule>
    <cfRule type="containsText" priority="230" operator="containsText" text="TAD">
      <formula>NOT(ISERROR(SEARCH("TAD",P11)))</formula>
    </cfRule>
    <cfRule type="containsText" priority="231" operator="containsText" dxfId="9" text="AT">
      <formula>NOT(ISERROR(SEARCH("AT",P11)))</formula>
    </cfRule>
    <cfRule type="containsText" priority="232" operator="containsText" dxfId="8" text="MA">
      <formula>NOT(ISERROR(SEARCH("MA",P11)))</formula>
    </cfRule>
    <cfRule type="containsText" priority="233" operator="containsText" dxfId="7" text="RES">
      <formula>NOT(ISERROR(SEARCH("RES",P11)))</formula>
    </cfRule>
    <cfRule type="containsText" priority="234" operator="containsText" dxfId="6" text="CEX">
      <formula>NOT(ISERROR(SEARCH("CEX",P11)))</formula>
    </cfRule>
    <cfRule type="containsText" priority="235" operator="containsText" dxfId="5" text="RTT">
      <formula>NOT(ISERROR(SEARCH("RTT",P11)))</formula>
    </cfRule>
    <cfRule type="beginsWith" priority="236" operator="beginsWith" dxfId="4" text="CA">
      <formula>LEFT(P11,LEN("CA"))="CA"</formula>
    </cfRule>
    <cfRule type="containsText" priority="237" operator="containsText" dxfId="3" text="AST">
      <formula>NOT(ISERROR(SEARCH("AST",P11)))</formula>
    </cfRule>
    <cfRule type="containsText" priority="238" operator="containsText" dxfId="2" text="F">
      <formula>NOT(ISERROR(SEARCH("F",P11)))</formula>
    </cfRule>
    <cfRule type="containsText" priority="239" operator="containsText" dxfId="1" text="PC">
      <formula>NOT(ISERROR(SEARCH("PC",P11)))</formula>
    </cfRule>
    <cfRule type="containsText" priority="240" operator="containsText" dxfId="0" text="P">
      <formula>NOT(ISERROR(SEARCH("P",P11)))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ySplit="10" topLeftCell="A31" activePane="bottomLeft" state="frozen"/>
      <selection pane="bottomLef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config!B9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config!C9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15.75" customHeight="1">
      <c r="A5" s="325">
        <f>TEXT(A1,"mmmmmmmmmmmm")</f>
        <v/>
      </c>
      <c r="AT5" s="325" t="n"/>
    </row>
    <row r="6" ht="24.95" customHeight="1">
      <c r="AT6" s="325" t="n"/>
    </row>
    <row r="7" hidden="1" ht="15" customHeight="1">
      <c r="AT7" s="325" t="n"/>
    </row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35" t="inlineStr">
        <is>
          <t>FERIE</t>
        </is>
      </c>
      <c r="Q8" s="26" t="n"/>
      <c r="R8" s="26" t="n"/>
      <c r="S8" s="26" t="n"/>
      <c r="T8" s="26" t="n"/>
      <c r="U8" s="26" t="n"/>
      <c r="V8" s="26" t="n"/>
      <c r="W8" s="135" t="inlineStr">
        <is>
          <t>FERIE</t>
        </is>
      </c>
      <c r="X8" s="26" t="n"/>
      <c r="Y8" s="26" t="n"/>
      <c r="Z8" s="26" t="n"/>
      <c r="AA8" s="26" t="n"/>
      <c r="AB8" s="26" t="n"/>
      <c r="AC8" s="135" t="inlineStr">
        <is>
          <t>FERIE</t>
        </is>
      </c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35" t="inlineStr">
        <is>
          <t>FERIE</t>
        </is>
      </c>
      <c r="AO8" s="148" t="n"/>
      <c r="AP8" s="148" t="n"/>
      <c r="AQ8" s="148" t="n"/>
      <c r="AR8" s="193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13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36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36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55">
        <f>IFERROR(WEEKDAY(AM4),"")</f>
        <v/>
      </c>
      <c r="AN9" s="136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137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7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7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1">
        <f>DAY(AM4)</f>
        <v/>
      </c>
      <c r="AN10" s="137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44" t="n"/>
      <c r="Q11" s="113" t="n"/>
      <c r="R11" s="113" t="n"/>
      <c r="S11" s="28" t="n"/>
      <c r="T11" s="28" t="n"/>
      <c r="U11" s="28" t="n"/>
      <c r="V11" s="28" t="n"/>
      <c r="W11" s="138" t="n"/>
      <c r="X11" s="113" t="n"/>
      <c r="Y11" s="113" t="n"/>
      <c r="Z11" s="28" t="n"/>
      <c r="AA11" s="28" t="n"/>
      <c r="AB11" s="28" t="n"/>
      <c r="AC11" s="138" t="n"/>
      <c r="AD11" s="28" t="n"/>
      <c r="AE11" s="113" t="n"/>
      <c r="AF11" s="113" t="n"/>
      <c r="AG11" s="28" t="n"/>
      <c r="AH11" s="28" t="n"/>
      <c r="AI11" s="28" t="n"/>
      <c r="AJ11" s="28" t="n"/>
      <c r="AK11" s="28" t="n"/>
      <c r="AL11" s="113" t="n"/>
      <c r="AM11" s="113" t="n"/>
      <c r="AN11" s="138" t="n"/>
      <c r="AO11" s="28" t="n"/>
      <c r="AP11" s="28" t="n"/>
      <c r="AQ11" s="28" t="n"/>
      <c r="AR11" s="28" t="n"/>
      <c r="AS11" s="113" t="n"/>
      <c r="AT11" s="15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45" t="n"/>
      <c r="Q12" s="121" t="n"/>
      <c r="R12" s="121" t="n"/>
      <c r="S12" s="8" t="n"/>
      <c r="T12" s="8" t="n"/>
      <c r="U12" s="8" t="n"/>
      <c r="V12" s="8" t="n"/>
      <c r="W12" s="139" t="n"/>
      <c r="X12" s="121" t="n"/>
      <c r="Y12" s="121" t="n"/>
      <c r="Z12" s="8" t="n"/>
      <c r="AA12" s="8" t="n"/>
      <c r="AB12" s="8" t="n"/>
      <c r="AC12" s="139" t="n"/>
      <c r="AD12" s="8" t="inlineStr">
        <is>
          <t>PC</t>
        </is>
      </c>
      <c r="AE12" s="121" t="n"/>
      <c r="AF12" s="121" t="n"/>
      <c r="AG12" s="8" t="n"/>
      <c r="AH12" s="8" t="n"/>
      <c r="AI12" s="8" t="n"/>
      <c r="AJ12" s="8" t="n"/>
      <c r="AK12" s="8" t="n"/>
      <c r="AL12" s="121" t="n"/>
      <c r="AM12" s="121" t="n"/>
      <c r="AN12" s="139" t="n"/>
      <c r="AO12" s="8" t="n"/>
      <c r="AP12" s="8" t="n"/>
      <c r="AQ12" s="8" t="n"/>
      <c r="AR12" s="8" t="n"/>
      <c r="AS12" s="121" t="n"/>
      <c r="AT12" s="152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45" t="n"/>
      <c r="Q13" s="121" t="n"/>
      <c r="R13" s="121" t="n"/>
      <c r="S13" s="8" t="n"/>
      <c r="T13" s="8" t="n"/>
      <c r="U13" s="8" t="n"/>
      <c r="V13" s="8" t="n"/>
      <c r="W13" s="139" t="n"/>
      <c r="X13" s="121" t="n"/>
      <c r="Y13" s="121" t="n"/>
      <c r="Z13" s="8" t="n"/>
      <c r="AA13" s="8" t="n"/>
      <c r="AB13" s="8" t="n"/>
      <c r="AC13" s="139" t="n"/>
      <c r="AD13" s="8" t="n"/>
      <c r="AE13" s="121" t="n"/>
      <c r="AF13" s="121" t="n"/>
      <c r="AG13" s="8" t="n"/>
      <c r="AH13" s="8" t="n"/>
      <c r="AI13" s="8" t="n"/>
      <c r="AJ13" s="8" t="n"/>
      <c r="AK13" s="8" t="n"/>
      <c r="AL13" s="121" t="n"/>
      <c r="AM13" s="121" t="n"/>
      <c r="AN13" s="139" t="n"/>
      <c r="AO13" s="8" t="n"/>
      <c r="AP13" s="8" t="n"/>
      <c r="AQ13" s="8" t="n"/>
      <c r="AR13" s="8" t="n"/>
      <c r="AS13" s="121" t="n"/>
      <c r="AT13" s="152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45" t="n"/>
      <c r="Q14" s="121" t="n"/>
      <c r="R14" s="121" t="n"/>
      <c r="S14" s="8" t="n"/>
      <c r="T14" s="8" t="n"/>
      <c r="U14" s="8" t="n"/>
      <c r="V14" s="8" t="n"/>
      <c r="W14" s="139" t="n"/>
      <c r="X14" s="121" t="n"/>
      <c r="Y14" s="121" t="n"/>
      <c r="Z14" s="8" t="n"/>
      <c r="AA14" s="8" t="n"/>
      <c r="AB14" s="8" t="n"/>
      <c r="AC14" s="139" t="n"/>
      <c r="AD14" s="8" t="n"/>
      <c r="AE14" s="121" t="n"/>
      <c r="AF14" s="121" t="n"/>
      <c r="AG14" s="8" t="n"/>
      <c r="AH14" s="8" t="n"/>
      <c r="AI14" s="8" t="n"/>
      <c r="AJ14" s="8" t="n"/>
      <c r="AK14" s="8" t="n"/>
      <c r="AL14" s="121" t="n"/>
      <c r="AM14" s="121" t="n"/>
      <c r="AN14" s="139" t="n"/>
      <c r="AO14" s="8" t="n"/>
      <c r="AP14" s="8" t="n"/>
      <c r="AQ14" s="8" t="n"/>
      <c r="AR14" s="8" t="n"/>
      <c r="AS14" s="121" t="n"/>
      <c r="AT14" s="152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45" t="n"/>
      <c r="Q15" s="121" t="n"/>
      <c r="R15" s="121" t="n"/>
      <c r="S15" s="8" t="n"/>
      <c r="T15" s="8" t="n"/>
      <c r="U15" s="8" t="n"/>
      <c r="V15" s="8" t="n"/>
      <c r="W15" s="139" t="n"/>
      <c r="X15" s="121" t="n"/>
      <c r="Y15" s="121" t="n"/>
      <c r="Z15" s="8" t="n"/>
      <c r="AA15" s="8" t="n"/>
      <c r="AB15" s="8" t="n"/>
      <c r="AC15" s="139" t="n"/>
      <c r="AD15" s="8" t="n"/>
      <c r="AE15" s="121" t="n"/>
      <c r="AF15" s="121" t="n"/>
      <c r="AG15" s="8" t="n"/>
      <c r="AH15" s="8" t="n"/>
      <c r="AI15" s="8" t="n"/>
      <c r="AJ15" s="8" t="n"/>
      <c r="AK15" s="8" t="n"/>
      <c r="AL15" s="121" t="n"/>
      <c r="AM15" s="121" t="n"/>
      <c r="AN15" s="139" t="n"/>
      <c r="AO15" s="8" t="n"/>
      <c r="AP15" s="8" t="n"/>
      <c r="AQ15" s="8" t="n"/>
      <c r="AR15" s="8" t="n"/>
      <c r="AS15" s="121" t="n"/>
      <c r="AT15" s="152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45" t="n"/>
      <c r="Q16" s="121" t="n"/>
      <c r="R16" s="121" t="n"/>
      <c r="S16" s="8" t="n"/>
      <c r="T16" s="8" t="n"/>
      <c r="U16" s="8" t="n"/>
      <c r="V16" s="8" t="n"/>
      <c r="W16" s="139" t="n"/>
      <c r="X16" s="121" t="n"/>
      <c r="Y16" s="121" t="n"/>
      <c r="Z16" s="8" t="n"/>
      <c r="AA16" s="8" t="n"/>
      <c r="AB16" s="8" t="n"/>
      <c r="AC16" s="139" t="n"/>
      <c r="AD16" s="8" t="n"/>
      <c r="AE16" s="121" t="n"/>
      <c r="AF16" s="121" t="n"/>
      <c r="AG16" s="8" t="n"/>
      <c r="AH16" s="8" t="n"/>
      <c r="AI16" s="8" t="n"/>
      <c r="AJ16" s="8" t="n"/>
      <c r="AK16" s="8" t="n"/>
      <c r="AL16" s="121" t="n"/>
      <c r="AM16" s="121" t="n"/>
      <c r="AN16" s="139" t="n"/>
      <c r="AO16" s="8" t="n"/>
      <c r="AP16" s="8" t="n"/>
      <c r="AQ16" s="8" t="n"/>
      <c r="AR16" s="8" t="n"/>
      <c r="AS16" s="121" t="n"/>
      <c r="AT16" s="152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45" t="n"/>
      <c r="Q17" s="121" t="n"/>
      <c r="R17" s="121" t="n"/>
      <c r="S17" s="8" t="n"/>
      <c r="T17" s="8" t="n"/>
      <c r="U17" s="8" t="n"/>
      <c r="V17" s="8" t="n"/>
      <c r="W17" s="139" t="n"/>
      <c r="X17" s="121" t="n"/>
      <c r="Y17" s="121" t="n"/>
      <c r="Z17" s="8" t="n"/>
      <c r="AA17" s="8" t="n"/>
      <c r="AB17" s="8" t="n"/>
      <c r="AC17" s="139" t="n"/>
      <c r="AD17" s="8" t="n"/>
      <c r="AE17" s="121" t="n"/>
      <c r="AF17" s="121" t="n"/>
      <c r="AG17" s="8" t="n"/>
      <c r="AH17" s="8" t="n"/>
      <c r="AI17" s="8" t="n"/>
      <c r="AJ17" s="8" t="n"/>
      <c r="AK17" s="8" t="n"/>
      <c r="AL17" s="121" t="n"/>
      <c r="AM17" s="121" t="n"/>
      <c r="AN17" s="139" t="n"/>
      <c r="AO17" s="8" t="n"/>
      <c r="AP17" s="8" t="n"/>
      <c r="AQ17" s="8" t="n"/>
      <c r="AR17" s="8" t="n"/>
      <c r="AS17" s="121" t="n"/>
      <c r="AT17" s="152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245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54" t="n"/>
      <c r="AA18" s="154" t="n"/>
      <c r="AB18" s="154" t="n"/>
      <c r="AC18" s="154" t="n"/>
      <c r="AD18" s="8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154" t="n"/>
      <c r="AO18" s="154" t="n"/>
      <c r="AP18" s="154" t="n"/>
      <c r="AQ18" s="154" t="n"/>
      <c r="AR18" s="154" t="n"/>
      <c r="AS18" s="154" t="n"/>
      <c r="AT18" s="156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45" t="n"/>
      <c r="Q19" s="121" t="n"/>
      <c r="R19" s="121" t="n"/>
      <c r="S19" s="8" t="n"/>
      <c r="T19" s="8" t="n"/>
      <c r="U19" s="8" t="n"/>
      <c r="V19" s="8" t="n"/>
      <c r="W19" s="139" t="n"/>
      <c r="X19" s="121" t="n"/>
      <c r="Y19" s="121" t="n"/>
      <c r="Z19" s="8" t="n"/>
      <c r="AA19" s="8" t="n"/>
      <c r="AB19" s="8" t="n"/>
      <c r="AC19" s="139" t="n"/>
      <c r="AD19" s="8" t="n"/>
      <c r="AE19" s="121" t="n"/>
      <c r="AF19" s="121" t="n"/>
      <c r="AG19" s="8" t="n"/>
      <c r="AH19" s="8" t="n"/>
      <c r="AI19" s="8" t="n"/>
      <c r="AJ19" s="8" t="n"/>
      <c r="AK19" s="8" t="n"/>
      <c r="AL19" s="121" t="n"/>
      <c r="AM19" s="121" t="n"/>
      <c r="AN19" s="139" t="n"/>
      <c r="AO19" s="8" t="n"/>
      <c r="AP19" s="8" t="n"/>
      <c r="AQ19" s="8" t="n"/>
      <c r="AR19" s="8" t="n"/>
      <c r="AS19" s="121" t="n"/>
      <c r="AT19" s="152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46" t="n"/>
      <c r="Q20" s="122" t="n"/>
      <c r="R20" s="122" t="n"/>
      <c r="S20" s="29" t="n"/>
      <c r="T20" s="29" t="n"/>
      <c r="U20" s="29" t="n"/>
      <c r="V20" s="29" t="n"/>
      <c r="W20" s="140" t="n"/>
      <c r="X20" s="122" t="n"/>
      <c r="Y20" s="122" t="n"/>
      <c r="Z20" s="29" t="n"/>
      <c r="AA20" s="29" t="n"/>
      <c r="AB20" s="29" t="n"/>
      <c r="AC20" s="140" t="n"/>
      <c r="AD20" s="29" t="n"/>
      <c r="AE20" s="122" t="n"/>
      <c r="AF20" s="122" t="n"/>
      <c r="AG20" s="29" t="n"/>
      <c r="AH20" s="29" t="n"/>
      <c r="AI20" s="29" t="n"/>
      <c r="AJ20" s="29" t="n"/>
      <c r="AK20" s="29" t="n"/>
      <c r="AL20" s="122" t="n"/>
      <c r="AM20" s="122" t="n"/>
      <c r="AN20" s="140" t="n"/>
      <c r="AO20" s="29" t="n"/>
      <c r="AP20" s="29" t="n"/>
      <c r="AQ20" s="29" t="n"/>
      <c r="AR20" s="29" t="n"/>
      <c r="AS20" s="122" t="n"/>
      <c r="AT20" s="153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  <c r="AT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45" t="n"/>
      <c r="Q23" s="121" t="n"/>
      <c r="R23" s="121" t="n"/>
      <c r="S23" s="8" t="n"/>
      <c r="T23" s="8" t="n"/>
      <c r="U23" s="8" t="n"/>
      <c r="V23" s="8" t="n"/>
      <c r="W23" s="139" t="n"/>
      <c r="X23" s="121" t="n"/>
      <c r="Y23" s="121" t="n"/>
      <c r="Z23" s="8" t="n"/>
      <c r="AA23" s="8" t="n"/>
      <c r="AB23" s="8" t="n"/>
      <c r="AC23" s="139" t="n"/>
      <c r="AD23" s="8" t="n"/>
      <c r="AE23" s="121" t="n"/>
      <c r="AF23" s="121" t="n"/>
      <c r="AG23" s="8" t="n"/>
      <c r="AH23" s="8" t="n"/>
      <c r="AI23" s="8" t="n"/>
      <c r="AJ23" s="8" t="n"/>
      <c r="AK23" s="8" t="n"/>
      <c r="AL23" s="121" t="n"/>
      <c r="AM23" s="121" t="n"/>
      <c r="AN23" s="139" t="n"/>
      <c r="AO23" s="8" t="n"/>
      <c r="AP23" s="8" t="n"/>
      <c r="AQ23" s="8" t="n"/>
      <c r="AR23" s="8" t="n"/>
      <c r="AS23" s="121" t="n"/>
      <c r="AT23" s="15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145" t="n"/>
      <c r="Q24" s="121" t="n"/>
      <c r="R24" s="121" t="n"/>
      <c r="S24" s="8" t="n"/>
      <c r="T24" s="8" t="n"/>
      <c r="U24" s="8" t="n"/>
      <c r="V24" s="8" t="n"/>
      <c r="W24" s="139" t="n"/>
      <c r="X24" s="121" t="n"/>
      <c r="Y24" s="121" t="n"/>
      <c r="Z24" s="8" t="n"/>
      <c r="AA24" s="8" t="n"/>
      <c r="AB24" s="8" t="n"/>
      <c r="AC24" s="139" t="n"/>
      <c r="AD24" s="8" t="n"/>
      <c r="AE24" s="121" t="n"/>
      <c r="AF24" s="121" t="n"/>
      <c r="AG24" s="8" t="n"/>
      <c r="AH24" s="8" t="n"/>
      <c r="AI24" s="8" t="n"/>
      <c r="AJ24" s="8" t="n"/>
      <c r="AK24" s="8" t="n"/>
      <c r="AL24" s="121" t="n"/>
      <c r="AM24" s="121" t="n"/>
      <c r="AN24" s="139" t="n"/>
      <c r="AO24" s="8" t="n"/>
      <c r="AP24" s="8" t="n"/>
      <c r="AQ24" s="8" t="n"/>
      <c r="AR24" s="8" t="n"/>
      <c r="AS24" s="121" t="n"/>
      <c r="AT24" s="152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45" t="n"/>
      <c r="Q26" s="121" t="n"/>
      <c r="R26" s="121" t="n"/>
      <c r="S26" s="8" t="n"/>
      <c r="T26" s="8" t="n"/>
      <c r="U26" s="8" t="n"/>
      <c r="V26" s="8" t="n"/>
      <c r="W26" s="139" t="n"/>
      <c r="X26" s="121" t="n"/>
      <c r="Y26" s="121" t="n"/>
      <c r="Z26" s="8" t="n"/>
      <c r="AA26" s="8" t="n"/>
      <c r="AB26" s="8" t="n"/>
      <c r="AC26" s="139" t="n"/>
      <c r="AD26" s="8" t="n"/>
      <c r="AE26" s="121" t="n"/>
      <c r="AF26" s="121" t="n"/>
      <c r="AG26" s="8" t="n"/>
      <c r="AH26" s="8" t="n"/>
      <c r="AI26" s="8" t="n"/>
      <c r="AJ26" s="8" t="n"/>
      <c r="AK26" s="8" t="n"/>
      <c r="AL26" s="121" t="n"/>
      <c r="AM26" s="121" t="n"/>
      <c r="AN26" s="139" t="n"/>
      <c r="AO26" s="8" t="n"/>
      <c r="AP26" s="8" t="n"/>
      <c r="AQ26" s="8" t="n"/>
      <c r="AR26" s="8" t="n"/>
      <c r="AS26" s="121" t="n"/>
      <c r="AT26" s="15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5" t="n"/>
      <c r="Q27" s="121" t="n"/>
      <c r="R27" s="121" t="n"/>
      <c r="S27" s="8" t="n"/>
      <c r="T27" s="8" t="n"/>
      <c r="U27" s="8" t="n"/>
      <c r="V27" s="8" t="n"/>
      <c r="W27" s="139" t="n"/>
      <c r="X27" s="121" t="n"/>
      <c r="Y27" s="121" t="n"/>
      <c r="Z27" s="8" t="n"/>
      <c r="AA27" s="8" t="n"/>
      <c r="AB27" s="8" t="n"/>
      <c r="AC27" s="139" t="n"/>
      <c r="AD27" s="8" t="n"/>
      <c r="AE27" s="121" t="n"/>
      <c r="AF27" s="121" t="n"/>
      <c r="AG27" s="8" t="n"/>
      <c r="AH27" s="8" t="n"/>
      <c r="AI27" s="8" t="n"/>
      <c r="AJ27" s="8" t="n"/>
      <c r="AK27" s="8" t="n"/>
      <c r="AL27" s="121" t="n"/>
      <c r="AM27" s="121" t="n"/>
      <c r="AN27" s="139" t="n"/>
      <c r="AO27" s="8" t="n"/>
      <c r="AP27" s="8" t="n"/>
      <c r="AQ27" s="8" t="n"/>
      <c r="AR27" s="8" t="n"/>
      <c r="AS27" s="121" t="n"/>
      <c r="AT27" s="152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5" t="n"/>
      <c r="Q28" s="121" t="n"/>
      <c r="R28" s="121" t="n"/>
      <c r="S28" s="8" t="n"/>
      <c r="T28" s="8" t="n"/>
      <c r="U28" s="8" t="n"/>
      <c r="V28" s="8" t="n"/>
      <c r="W28" s="139" t="n"/>
      <c r="X28" s="121" t="n"/>
      <c r="Y28" s="121" t="n"/>
      <c r="Z28" s="8" t="n"/>
      <c r="AA28" s="8" t="n"/>
      <c r="AB28" s="8" t="n"/>
      <c r="AC28" s="139" t="n"/>
      <c r="AD28" s="8" t="n"/>
      <c r="AE28" s="121" t="n"/>
      <c r="AF28" s="121" t="n"/>
      <c r="AG28" s="8" t="n"/>
      <c r="AH28" s="8" t="n"/>
      <c r="AI28" s="8" t="n"/>
      <c r="AJ28" s="8" t="n"/>
      <c r="AK28" s="8" t="n"/>
      <c r="AL28" s="121" t="n"/>
      <c r="AM28" s="121" t="n"/>
      <c r="AN28" s="139" t="n"/>
      <c r="AO28" s="8" t="n"/>
      <c r="AP28" s="8" t="n"/>
      <c r="AQ28" s="8" t="n"/>
      <c r="AR28" s="8" t="n"/>
      <c r="AS28" s="121" t="n"/>
      <c r="AT28" s="152" t="n"/>
    </row>
    <row r="29" ht="20.1" customHeight="1" thickBot="1">
      <c r="A29" s="267">
        <f>IFERROR(IF(config!E21="","",config!E21),"")</f>
        <v/>
      </c>
      <c r="B29" s="268">
        <f>IFERROR(IF(config!F21="","",config!F21),"")</f>
        <v/>
      </c>
      <c r="C29" s="269">
        <f>IFERROR(IF(config!G21="","",config!G21),"")</f>
        <v/>
      </c>
      <c r="D29" s="114">
        <f>COUNTIF(P29:AS29,"p")</f>
        <v/>
      </c>
      <c r="E29" s="28">
        <f>COUNTIF(P29:AS29,"PC")</f>
        <v/>
      </c>
      <c r="F29" s="28">
        <f>COUNTIF(P29:AS29,"f")</f>
        <v/>
      </c>
      <c r="G29" s="28">
        <f>COUNTIF(P29:AS29,"ast")</f>
        <v/>
      </c>
      <c r="H29" s="28">
        <f>COUNTIF(P29:AS29,"cA")</f>
        <v/>
      </c>
      <c r="I29" s="28">
        <f>COUNTIF(P29:AS29,"rtt")</f>
        <v/>
      </c>
      <c r="J29" s="28">
        <f>COUNTIF(P29:AS29,"cex")</f>
        <v/>
      </c>
      <c r="K29" s="28">
        <f>COUNTIF(P29:AS29,"res")</f>
        <v/>
      </c>
      <c r="L29" s="28">
        <f>COUNTIF(P29:AS29,"mA")</f>
        <v/>
      </c>
      <c r="M29" s="28">
        <f>COUNTIF(P29:AS29,"at")</f>
        <v/>
      </c>
      <c r="N29" s="28">
        <f>COUNTIF(P29:AS29,"TAD")</f>
        <v/>
      </c>
      <c r="O29" s="28">
        <f>COUNTIF(P29:AS29,"TP")</f>
        <v/>
      </c>
      <c r="P29" s="149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  <c r="AR29" s="121" t="n"/>
      <c r="AS29" s="121" t="n"/>
      <c r="AT29" s="152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70" t="n"/>
      <c r="Q30" s="270" t="n"/>
      <c r="R30" s="270" t="n"/>
      <c r="S30" s="270" t="n"/>
      <c r="T30" s="270" t="n"/>
      <c r="U30" s="270" t="n"/>
      <c r="V30" s="270" t="n"/>
      <c r="W30" s="270" t="n"/>
      <c r="X30" s="270" t="n"/>
      <c r="Y30" s="270" t="n"/>
      <c r="Z30" s="270" t="n"/>
      <c r="AA30" s="270" t="n"/>
      <c r="AB30" s="270" t="n"/>
      <c r="AC30" s="270" t="n"/>
      <c r="AD30" s="270" t="n"/>
      <c r="AE30" s="270" t="n"/>
      <c r="AF30" s="270" t="n"/>
      <c r="AG30" s="270" t="n"/>
      <c r="AH30" s="270" t="n"/>
      <c r="AI30" s="270" t="n"/>
      <c r="AJ30" s="270" t="n"/>
      <c r="AK30" s="270" t="n"/>
      <c r="AL30" s="270" t="n"/>
      <c r="AM30" s="270" t="n"/>
      <c r="AN30" s="270" t="n"/>
      <c r="AO30" s="270" t="n"/>
      <c r="AP30" s="270" t="n"/>
      <c r="AQ30" s="271" t="n"/>
      <c r="AR30" s="271" t="n"/>
      <c r="AS30" s="271" t="n"/>
      <c r="AT30" s="271" t="n"/>
    </row>
    <row r="31" ht="20.1" customHeight="1" thickBot="1">
      <c r="A31" s="38">
        <f>IFERROR(IF(config!E23="","",config!E23),"")</f>
        <v/>
      </c>
      <c r="B31" s="50">
        <f>IFERROR(IF(config!F23="","",config!F23),"")</f>
        <v/>
      </c>
      <c r="C31" s="95">
        <f>IFERROR(IF(config!G23="","",config!G23),"")</f>
        <v/>
      </c>
      <c r="D31" s="114">
        <f>COUNTIF(P31:AS31,"p")</f>
        <v/>
      </c>
      <c r="E31" s="28">
        <f>COUNTIF(P31:AS31,"PC")</f>
        <v/>
      </c>
      <c r="F31" s="28">
        <f>COUNTIF(P31:AS31,"f")</f>
        <v/>
      </c>
      <c r="G31" s="28">
        <f>COUNTIF(P31:AS31,"ast")</f>
        <v/>
      </c>
      <c r="H31" s="28">
        <f>COUNTIF(P31:AS31,"cA")</f>
        <v/>
      </c>
      <c r="I31" s="28">
        <f>COUNTIF(P31:AS31,"rtt")</f>
        <v/>
      </c>
      <c r="J31" s="28">
        <f>COUNTIF(P31:AS31,"cex")</f>
        <v/>
      </c>
      <c r="K31" s="28">
        <f>COUNTIF(P31:AS31,"res")</f>
        <v/>
      </c>
      <c r="L31" s="28">
        <f>COUNTIF(P31:AS31,"mA")</f>
        <v/>
      </c>
      <c r="M31" s="28">
        <f>COUNTIF(P31:AS31,"at")</f>
        <v/>
      </c>
      <c r="N31" s="28">
        <f>COUNTIF(P31:AS31,"TAD")</f>
        <v/>
      </c>
      <c r="O31" s="28">
        <f>COUNTIF(P31:AS31,"TP")</f>
        <v/>
      </c>
      <c r="P31" s="145" t="n"/>
      <c r="Q31" s="121" t="n"/>
      <c r="R31" s="121" t="n"/>
      <c r="S31" s="8" t="n"/>
      <c r="T31" s="8" t="n"/>
      <c r="U31" s="8" t="n"/>
      <c r="V31" s="8" t="n"/>
      <c r="W31" s="139" t="n"/>
      <c r="X31" s="121" t="n"/>
      <c r="Y31" s="121" t="n"/>
      <c r="Z31" s="8" t="n"/>
      <c r="AA31" s="8" t="n"/>
      <c r="AB31" s="8" t="n"/>
      <c r="AC31" s="139" t="n"/>
      <c r="AD31" s="8" t="n"/>
      <c r="AE31" s="121" t="n"/>
      <c r="AF31" s="121" t="n"/>
      <c r="AG31" s="8" t="n"/>
      <c r="AH31" s="8" t="n"/>
      <c r="AI31" s="8" t="n"/>
      <c r="AJ31" s="8" t="n"/>
      <c r="AK31" s="8" t="n"/>
      <c r="AL31" s="121" t="n"/>
      <c r="AM31" s="121" t="n"/>
      <c r="AN31" s="139" t="n"/>
      <c r="AO31" s="8" t="n"/>
      <c r="AP31" s="8" t="n"/>
      <c r="AQ31" s="8" t="n"/>
      <c r="AR31" s="8" t="n"/>
      <c r="AS31" s="121" t="n"/>
      <c r="AT31" s="152" t="n"/>
    </row>
    <row r="32" ht="20.1" customHeight="1" thickBot="1">
      <c r="A32" s="38">
        <f>IFERROR(IF(config!E24="","",config!E24),"")</f>
        <v/>
      </c>
      <c r="B32" s="50">
        <f>IFERROR(IF(config!F24="","",config!F24),"")</f>
        <v/>
      </c>
      <c r="C32" s="95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28">
        <f>COUNTIF(P32:AS32,"TP")</f>
        <v/>
      </c>
      <c r="P32" s="145" t="n"/>
      <c r="Q32" s="121" t="n"/>
      <c r="R32" s="121" t="n"/>
      <c r="S32" s="8" t="n"/>
      <c r="T32" s="8" t="n"/>
      <c r="U32" s="8" t="n"/>
      <c r="V32" s="8" t="n"/>
      <c r="W32" s="139" t="n"/>
      <c r="X32" s="121" t="n"/>
      <c r="Y32" s="121" t="n"/>
      <c r="Z32" s="8" t="n"/>
      <c r="AA32" s="8" t="n"/>
      <c r="AB32" s="8" t="n"/>
      <c r="AC32" s="139" t="n"/>
      <c r="AD32" s="8" t="n"/>
      <c r="AE32" s="121" t="n"/>
      <c r="AF32" s="121" t="n"/>
      <c r="AG32" s="8" t="n"/>
      <c r="AH32" s="8" t="n"/>
      <c r="AI32" s="8" t="n"/>
      <c r="AJ32" s="8" t="n"/>
      <c r="AK32" s="8" t="n"/>
      <c r="AL32" s="121" t="n"/>
      <c r="AM32" s="121" t="n"/>
      <c r="AN32" s="139" t="n"/>
      <c r="AO32" s="8" t="n"/>
      <c r="AP32" s="8" t="n"/>
      <c r="AQ32" s="8" t="n"/>
      <c r="AR32" s="8" t="n"/>
      <c r="AS32" s="121" t="n"/>
      <c r="AT32" s="152" t="n"/>
    </row>
    <row r="33" ht="20.1" customHeight="1" thickBot="1">
      <c r="A33" s="38">
        <f>IFERROR(IF(config!E25="","",config!E25),"")</f>
        <v/>
      </c>
      <c r="B33" s="50">
        <f>IFERROR(IF(config!F25="","",config!F25),"")</f>
        <v/>
      </c>
      <c r="C33" s="95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28">
        <f>COUNTIF(P33:AS33,"TP")</f>
        <v/>
      </c>
      <c r="P33" s="145" t="n"/>
      <c r="Q33" s="121" t="n"/>
      <c r="R33" s="121" t="n"/>
      <c r="S33" s="8" t="n"/>
      <c r="T33" s="8" t="n"/>
      <c r="U33" s="8" t="n"/>
      <c r="V33" s="8" t="n"/>
      <c r="W33" s="139" t="n"/>
      <c r="X33" s="121" t="n"/>
      <c r="Y33" s="121" t="n"/>
      <c r="Z33" s="8" t="n"/>
      <c r="AA33" s="8" t="n"/>
      <c r="AB33" s="8" t="n"/>
      <c r="AC33" s="139" t="n"/>
      <c r="AD33" s="8" t="n"/>
      <c r="AE33" s="121" t="n"/>
      <c r="AF33" s="121" t="n"/>
      <c r="AG33" s="8" t="n"/>
      <c r="AH33" s="8" t="n"/>
      <c r="AI33" s="8" t="n"/>
      <c r="AJ33" s="8" t="n"/>
      <c r="AK33" s="8" t="n"/>
      <c r="AL33" s="121" t="n"/>
      <c r="AM33" s="121" t="n"/>
      <c r="AN33" s="139" t="n"/>
      <c r="AO33" s="8" t="n"/>
      <c r="AP33" s="8" t="n"/>
      <c r="AQ33" s="8" t="n"/>
      <c r="AR33" s="8" t="n"/>
      <c r="AS33" s="121" t="n"/>
      <c r="AT33" s="152" t="n"/>
    </row>
    <row r="34" ht="20.1" customHeight="1" thickBot="1">
      <c r="A34" s="38">
        <f>IFERROR(IF(config!E26="","",config!E26),"")</f>
        <v/>
      </c>
      <c r="B34" s="50">
        <f>IFERROR(IF(config!F26="","",config!F26),"")</f>
        <v/>
      </c>
      <c r="C34" s="95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28">
        <f>COUNTIF(P34:AS34,"TP")</f>
        <v/>
      </c>
      <c r="P34" s="145" t="n"/>
      <c r="Q34" s="121" t="n"/>
      <c r="R34" s="121" t="n"/>
      <c r="S34" s="8" t="n"/>
      <c r="T34" s="8" t="n"/>
      <c r="U34" s="8" t="n"/>
      <c r="V34" s="8" t="n"/>
      <c r="W34" s="139" t="n"/>
      <c r="X34" s="121" t="n"/>
      <c r="Y34" s="121" t="n"/>
      <c r="Z34" s="8" t="n"/>
      <c r="AA34" s="8" t="n"/>
      <c r="AB34" s="8" t="n"/>
      <c r="AC34" s="139" t="n"/>
      <c r="AD34" s="8" t="n"/>
      <c r="AE34" s="121" t="n"/>
      <c r="AF34" s="121" t="n"/>
      <c r="AG34" s="8" t="n"/>
      <c r="AH34" s="8" t="n"/>
      <c r="AI34" s="8" t="n"/>
      <c r="AJ34" s="8" t="n"/>
      <c r="AK34" s="8" t="n"/>
      <c r="AL34" s="121" t="n"/>
      <c r="AM34" s="121" t="n"/>
      <c r="AN34" s="139" t="n"/>
      <c r="AO34" s="8" t="n"/>
      <c r="AP34" s="8" t="n"/>
      <c r="AQ34" s="8" t="n"/>
      <c r="AR34" s="8" t="n"/>
      <c r="AS34" s="121" t="n"/>
      <c r="AT34" s="152" t="n"/>
    </row>
    <row r="35" ht="20.1" customHeight="1" thickBot="1">
      <c r="A35" s="38">
        <f>IFERROR(IF(config!E27="","",config!E27),"")</f>
        <v/>
      </c>
      <c r="B35" s="50">
        <f>IFERROR(IF(config!F27="","",config!F27),"")</f>
        <v/>
      </c>
      <c r="C35" s="95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28">
        <f>COUNTIF(P35:AS35,"TP")</f>
        <v/>
      </c>
      <c r="P35" s="145" t="n"/>
      <c r="Q35" s="121" t="n"/>
      <c r="R35" s="121" t="n"/>
      <c r="S35" s="8" t="n"/>
      <c r="T35" s="8" t="n"/>
      <c r="U35" s="8" t="n"/>
      <c r="V35" s="8" t="n"/>
      <c r="W35" s="139" t="n"/>
      <c r="X35" s="121" t="n"/>
      <c r="Y35" s="121" t="n"/>
      <c r="Z35" s="8" t="n"/>
      <c r="AA35" s="8" t="n"/>
      <c r="AB35" s="8" t="n"/>
      <c r="AC35" s="139" t="n"/>
      <c r="AD35" s="8" t="n"/>
      <c r="AE35" s="121" t="n"/>
      <c r="AF35" s="121" t="n"/>
      <c r="AG35" s="8" t="n"/>
      <c r="AH35" s="8" t="n"/>
      <c r="AI35" s="8" t="n"/>
      <c r="AJ35" s="8" t="n"/>
      <c r="AK35" s="8" t="n"/>
      <c r="AL35" s="121" t="n"/>
      <c r="AM35" s="121" t="n"/>
      <c r="AN35" s="139" t="n"/>
      <c r="AO35" s="8" t="n"/>
      <c r="AP35" s="8" t="n"/>
      <c r="AQ35" s="8" t="n"/>
      <c r="AR35" s="8" t="n"/>
      <c r="AS35" s="121" t="n"/>
      <c r="AT35" s="152" t="n"/>
    </row>
    <row r="36" ht="20.1" customHeight="1" thickBot="1">
      <c r="A36" s="38">
        <f>IFERROR(IF(config!E28="","",config!E28),"")</f>
        <v/>
      </c>
      <c r="B36" s="50">
        <f>IFERROR(IF(config!F28="","",config!F28),"")</f>
        <v/>
      </c>
      <c r="C36" s="95">
        <f>IFERROR(IF(config!G28="","",config!G28),"")</f>
        <v/>
      </c>
      <c r="D36" s="114">
        <f>COUNTIF(P36:AS36,"p")</f>
        <v/>
      </c>
      <c r="E36" s="28">
        <f>COUNTIF(P36:AS36,"PC")</f>
        <v/>
      </c>
      <c r="F36" s="28">
        <f>COUNTIF(P36:AS36,"f")</f>
        <v/>
      </c>
      <c r="G36" s="28">
        <f>COUNTIF(P36:AS36,"ast")</f>
        <v/>
      </c>
      <c r="H36" s="28">
        <f>COUNTIF(P36:AS36,"cA")</f>
        <v/>
      </c>
      <c r="I36" s="28">
        <f>COUNTIF(P36:AS36,"rtt")</f>
        <v/>
      </c>
      <c r="J36" s="28">
        <f>COUNTIF(P36:AS36,"cex")</f>
        <v/>
      </c>
      <c r="K36" s="28">
        <f>COUNTIF(P36:AS36,"res")</f>
        <v/>
      </c>
      <c r="L36" s="28">
        <f>COUNTIF(P36:AS36,"mA")</f>
        <v/>
      </c>
      <c r="M36" s="28">
        <f>COUNTIF(P36:AS36,"at")</f>
        <v/>
      </c>
      <c r="N36" s="28">
        <f>COUNTIF(P36:AS36,"TAD")</f>
        <v/>
      </c>
      <c r="O36" s="28">
        <f>COUNTIF(P36:AS36,"TP")</f>
        <v/>
      </c>
      <c r="P36" s="145" t="n"/>
      <c r="Q36" s="121" t="n"/>
      <c r="R36" s="121" t="n"/>
      <c r="S36" s="8" t="n"/>
      <c r="T36" s="8" t="n"/>
      <c r="U36" s="8" t="n"/>
      <c r="V36" s="8" t="n"/>
      <c r="W36" s="139" t="n"/>
      <c r="X36" s="121" t="n"/>
      <c r="Y36" s="121" t="n"/>
      <c r="Z36" s="8" t="n"/>
      <c r="AA36" s="8" t="n"/>
      <c r="AB36" s="8" t="n"/>
      <c r="AC36" s="139" t="n"/>
      <c r="AD36" s="8" t="n"/>
      <c r="AE36" s="121" t="n"/>
      <c r="AF36" s="121" t="n"/>
      <c r="AG36" s="8" t="n"/>
      <c r="AH36" s="8" t="n"/>
      <c r="AI36" s="8" t="n"/>
      <c r="AJ36" s="8" t="n"/>
      <c r="AK36" s="8" t="n"/>
      <c r="AL36" s="121" t="n"/>
      <c r="AM36" s="121" t="n"/>
      <c r="AN36" s="139" t="n"/>
      <c r="AO36" s="8" t="n"/>
      <c r="AP36" s="8" t="n"/>
      <c r="AQ36" s="8" t="n"/>
      <c r="AR36" s="8" t="n"/>
      <c r="AS36" s="121" t="n"/>
      <c r="AT36" s="152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14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13" t="n"/>
      <c r="AT39" s="15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5" t="n"/>
      <c r="Q40" s="121" t="n"/>
      <c r="R40" s="121" t="n"/>
      <c r="S40" s="8" t="n"/>
      <c r="T40" s="8" t="n"/>
      <c r="U40" s="8" t="n"/>
      <c r="V40" s="8" t="n"/>
      <c r="W40" s="139" t="n"/>
      <c r="X40" s="121" t="n"/>
      <c r="Y40" s="121" t="n"/>
      <c r="Z40" s="8" t="n"/>
      <c r="AA40" s="8" t="n"/>
      <c r="AB40" s="8" t="n"/>
      <c r="AC40" s="139" t="n"/>
      <c r="AD40" s="8" t="n"/>
      <c r="AE40" s="121" t="n"/>
      <c r="AF40" s="121" t="n"/>
      <c r="AG40" s="8" t="n"/>
      <c r="AH40" s="8" t="n"/>
      <c r="AI40" s="8" t="n"/>
      <c r="AJ40" s="8" t="n"/>
      <c r="AK40" s="8" t="n"/>
      <c r="AL40" s="121" t="n"/>
      <c r="AM40" s="121" t="n"/>
      <c r="AN40" s="139" t="n"/>
      <c r="AO40" s="8" t="n"/>
      <c r="AP40" s="8" t="n"/>
      <c r="AQ40" s="8" t="n"/>
      <c r="AR40" s="8" t="n"/>
      <c r="AS40" s="121" t="n"/>
      <c r="AT40" s="152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5" t="n"/>
      <c r="Q41" s="121" t="n"/>
      <c r="R41" s="121" t="n"/>
      <c r="S41" s="8" t="n"/>
      <c r="T41" s="8" t="n"/>
      <c r="U41" s="8" t="n"/>
      <c r="V41" s="8" t="n"/>
      <c r="W41" s="139" t="n"/>
      <c r="X41" s="121" t="n"/>
      <c r="Y41" s="121" t="n"/>
      <c r="Z41" s="8" t="n"/>
      <c r="AA41" s="8" t="n"/>
      <c r="AB41" s="8" t="n"/>
      <c r="AC41" s="139" t="n"/>
      <c r="AD41" s="8" t="n"/>
      <c r="AE41" s="121" t="n"/>
      <c r="AF41" s="121" t="n"/>
      <c r="AG41" s="8" t="n"/>
      <c r="AH41" s="8" t="n"/>
      <c r="AI41" s="8" t="n"/>
      <c r="AJ41" s="8" t="n"/>
      <c r="AK41" s="8" t="n"/>
      <c r="AL41" s="121" t="n"/>
      <c r="AM41" s="121" t="n"/>
      <c r="AN41" s="139" t="n"/>
      <c r="AO41" s="8" t="n"/>
      <c r="AP41" s="8" t="n"/>
      <c r="AQ41" s="8" t="n"/>
      <c r="AR41" s="8" t="n"/>
      <c r="AS41" s="121" t="n"/>
      <c r="AT41" s="152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5" t="n"/>
      <c r="Q42" s="121" t="n"/>
      <c r="R42" s="121" t="n"/>
      <c r="S42" s="8" t="n"/>
      <c r="T42" s="8" t="n"/>
      <c r="U42" s="8" t="n"/>
      <c r="V42" s="8" t="n"/>
      <c r="W42" s="139" t="n"/>
      <c r="X42" s="121" t="n"/>
      <c r="Y42" s="121" t="n"/>
      <c r="Z42" s="8" t="n"/>
      <c r="AA42" s="8" t="n"/>
      <c r="AB42" s="8" t="n"/>
      <c r="AC42" s="139" t="n"/>
      <c r="AD42" s="8" t="n"/>
      <c r="AE42" s="121" t="n"/>
      <c r="AF42" s="121" t="n"/>
      <c r="AG42" s="8" t="n"/>
      <c r="AH42" s="8" t="n"/>
      <c r="AI42" s="8" t="n"/>
      <c r="AJ42" s="8" t="n"/>
      <c r="AK42" s="8" t="n"/>
      <c r="AL42" s="121" t="n"/>
      <c r="AM42" s="121" t="n"/>
      <c r="AN42" s="139" t="n"/>
      <c r="AO42" s="8" t="n"/>
      <c r="AP42" s="8" t="n"/>
      <c r="AQ42" s="8" t="n"/>
      <c r="AR42" s="8" t="n"/>
      <c r="AS42" s="121" t="n"/>
      <c r="AT42" s="152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5" t="n"/>
      <c r="Q43" s="121" t="n"/>
      <c r="R43" s="121" t="n"/>
      <c r="S43" s="8" t="n"/>
      <c r="T43" s="8" t="n"/>
      <c r="U43" s="8" t="n"/>
      <c r="V43" s="8" t="n"/>
      <c r="W43" s="139" t="n"/>
      <c r="X43" s="121" t="n"/>
      <c r="Y43" s="121" t="n"/>
      <c r="Z43" s="8" t="n"/>
      <c r="AA43" s="8" t="n"/>
      <c r="AB43" s="8" t="n"/>
      <c r="AC43" s="139" t="n"/>
      <c r="AD43" s="8" t="n"/>
      <c r="AE43" s="121" t="n"/>
      <c r="AF43" s="121" t="n"/>
      <c r="AG43" s="8" t="n"/>
      <c r="AH43" s="8" t="n"/>
      <c r="AI43" s="8" t="n"/>
      <c r="AJ43" s="8" t="n"/>
      <c r="AK43" s="8" t="n"/>
      <c r="AL43" s="121" t="n"/>
      <c r="AM43" s="121" t="n"/>
      <c r="AN43" s="139" t="n"/>
      <c r="AO43" s="8" t="n"/>
      <c r="AP43" s="8" t="n"/>
      <c r="AQ43" s="8" t="n"/>
      <c r="AR43" s="8" t="n"/>
      <c r="AS43" s="121" t="n"/>
      <c r="AT43" s="152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5" t="n"/>
      <c r="Q44" s="121" t="n"/>
      <c r="R44" s="121" t="n"/>
      <c r="S44" s="8" t="n"/>
      <c r="T44" s="8" t="n"/>
      <c r="U44" s="8" t="n"/>
      <c r="V44" s="8" t="n"/>
      <c r="W44" s="139" t="n"/>
      <c r="X44" s="121" t="n"/>
      <c r="Y44" s="121" t="n"/>
      <c r="Z44" s="8" t="n"/>
      <c r="AA44" s="8" t="n"/>
      <c r="AB44" s="8" t="n"/>
      <c r="AC44" s="139" t="n"/>
      <c r="AD44" s="8" t="n"/>
      <c r="AE44" s="121" t="n"/>
      <c r="AF44" s="121" t="n"/>
      <c r="AG44" s="8" t="n"/>
      <c r="AH44" s="8" t="n"/>
      <c r="AI44" s="8" t="n"/>
      <c r="AJ44" s="8" t="n"/>
      <c r="AK44" s="8" t="n"/>
      <c r="AL44" s="121" t="n"/>
      <c r="AM44" s="121" t="n"/>
      <c r="AN44" s="139" t="n"/>
      <c r="AO44" s="8" t="n"/>
      <c r="AP44" s="8" t="n"/>
      <c r="AQ44" s="8" t="n"/>
      <c r="AR44" s="8" t="n"/>
      <c r="AS44" s="121" t="n"/>
      <c r="AT44" s="152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5" t="inlineStr">
        <is>
          <t>AT</t>
        </is>
      </c>
      <c r="Q45" s="139" t="inlineStr">
        <is>
          <t>AT</t>
        </is>
      </c>
      <c r="R45" s="139" t="inlineStr">
        <is>
          <t>AT</t>
        </is>
      </c>
      <c r="S45" s="139" t="inlineStr">
        <is>
          <t>AT</t>
        </is>
      </c>
      <c r="T45" s="139" t="inlineStr">
        <is>
          <t>AT</t>
        </is>
      </c>
      <c r="U45" s="139" t="inlineStr">
        <is>
          <t>AT</t>
        </is>
      </c>
      <c r="V45" s="139" t="inlineStr">
        <is>
          <t>AT</t>
        </is>
      </c>
      <c r="W45" s="139" t="inlineStr">
        <is>
          <t>AT</t>
        </is>
      </c>
      <c r="X45" s="139" t="inlineStr">
        <is>
          <t>AT</t>
        </is>
      </c>
      <c r="Y45" s="139" t="inlineStr">
        <is>
          <t>AT</t>
        </is>
      </c>
      <c r="Z45" s="139" t="inlineStr">
        <is>
          <t>AT</t>
        </is>
      </c>
      <c r="AA45" s="139" t="inlineStr">
        <is>
          <t>AT</t>
        </is>
      </c>
      <c r="AB45" s="139" t="inlineStr">
        <is>
          <t>AT</t>
        </is>
      </c>
      <c r="AC45" s="139" t="inlineStr">
        <is>
          <t>AT</t>
        </is>
      </c>
      <c r="AD45" s="139" t="inlineStr">
        <is>
          <t>AT</t>
        </is>
      </c>
      <c r="AE45" s="139" t="inlineStr">
        <is>
          <t>AT</t>
        </is>
      </c>
      <c r="AF45" s="139" t="inlineStr">
        <is>
          <t>AT</t>
        </is>
      </c>
      <c r="AG45" s="139" t="inlineStr">
        <is>
          <t>AT</t>
        </is>
      </c>
      <c r="AH45" s="139" t="inlineStr">
        <is>
          <t>AT</t>
        </is>
      </c>
      <c r="AI45" s="139" t="inlineStr">
        <is>
          <t>AT</t>
        </is>
      </c>
      <c r="AJ45" s="139" t="inlineStr">
        <is>
          <t>AT</t>
        </is>
      </c>
      <c r="AK45" s="139" t="inlineStr">
        <is>
          <t>AT</t>
        </is>
      </c>
      <c r="AL45" s="139" t="inlineStr">
        <is>
          <t>AT</t>
        </is>
      </c>
      <c r="AM45" s="139" t="inlineStr">
        <is>
          <t>AT</t>
        </is>
      </c>
      <c r="AN45" s="139" t="inlineStr">
        <is>
          <t>AT</t>
        </is>
      </c>
      <c r="AO45" s="139" t="inlineStr">
        <is>
          <t>AT</t>
        </is>
      </c>
      <c r="AP45" s="139" t="inlineStr">
        <is>
          <t>AT</t>
        </is>
      </c>
      <c r="AQ45" s="139" t="inlineStr">
        <is>
          <t>AT</t>
        </is>
      </c>
      <c r="AR45" s="139" t="inlineStr">
        <is>
          <t>AT</t>
        </is>
      </c>
      <c r="AS45" s="139" t="inlineStr">
        <is>
          <t>AT</t>
        </is>
      </c>
      <c r="AT45" s="311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5" t="n"/>
      <c r="Q46" s="121" t="n"/>
      <c r="R46" s="121" t="n"/>
      <c r="S46" s="8" t="n"/>
      <c r="T46" s="8" t="n"/>
      <c r="U46" s="8" t="n"/>
      <c r="V46" s="8" t="n"/>
      <c r="W46" s="139" t="n"/>
      <c r="X46" s="121" t="n"/>
      <c r="Y46" s="121" t="n"/>
      <c r="Z46" s="8" t="n"/>
      <c r="AA46" s="8" t="n"/>
      <c r="AB46" s="8" t="n"/>
      <c r="AC46" s="139" t="n"/>
      <c r="AD46" s="8" t="n"/>
      <c r="AE46" s="121" t="n"/>
      <c r="AF46" s="121" t="n"/>
      <c r="AG46" s="8" t="n"/>
      <c r="AH46" s="8" t="n"/>
      <c r="AI46" s="8" t="n"/>
      <c r="AJ46" s="8" t="n"/>
      <c r="AK46" s="8" t="n"/>
      <c r="AL46" s="121" t="n"/>
      <c r="AM46" s="121" t="n"/>
      <c r="AN46" s="139" t="n"/>
      <c r="AO46" s="8" t="n"/>
      <c r="AP46" s="8" t="n"/>
      <c r="AQ46" s="8" t="n"/>
      <c r="AR46" s="8" t="n"/>
      <c r="AS46" s="121" t="n"/>
      <c r="AT46" s="152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5" t="n"/>
      <c r="Q47" s="121" t="n"/>
      <c r="R47" s="121" t="n"/>
      <c r="S47" s="8" t="n"/>
      <c r="T47" s="8" t="n"/>
      <c r="U47" s="8" t="n"/>
      <c r="V47" s="8" t="n"/>
      <c r="W47" s="139" t="n"/>
      <c r="X47" s="121" t="n"/>
      <c r="Y47" s="121" t="n"/>
      <c r="Z47" s="8" t="n"/>
      <c r="AA47" s="8" t="n"/>
      <c r="AB47" s="8" t="n"/>
      <c r="AC47" s="139" t="n"/>
      <c r="AD47" s="8" t="n"/>
      <c r="AE47" s="121" t="n"/>
      <c r="AF47" s="121" t="n"/>
      <c r="AG47" s="8" t="n"/>
      <c r="AH47" s="8" t="n"/>
      <c r="AI47" s="8" t="n"/>
      <c r="AJ47" s="8" t="n"/>
      <c r="AK47" s="8" t="n"/>
      <c r="AL47" s="121" t="n"/>
      <c r="AM47" s="121" t="n"/>
      <c r="AN47" s="139" t="n"/>
      <c r="AO47" s="8" t="n"/>
      <c r="AP47" s="8" t="n"/>
      <c r="AQ47" s="8" t="n"/>
      <c r="AR47" s="8" t="n"/>
      <c r="AS47" s="121" t="n"/>
      <c r="AT47" s="152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5" t="n"/>
      <c r="Q48" s="121" t="n"/>
      <c r="R48" s="121" t="n"/>
      <c r="S48" s="8" t="n"/>
      <c r="T48" s="8" t="n"/>
      <c r="U48" s="8" t="n"/>
      <c r="V48" s="8" t="n"/>
      <c r="W48" s="139" t="n"/>
      <c r="X48" s="121" t="n"/>
      <c r="Y48" s="121" t="n"/>
      <c r="Z48" s="8" t="n"/>
      <c r="AA48" s="8" t="n"/>
      <c r="AB48" s="8" t="n"/>
      <c r="AC48" s="139" t="n"/>
      <c r="AD48" s="8" t="n"/>
      <c r="AE48" s="121" t="n"/>
      <c r="AF48" s="121" t="n"/>
      <c r="AG48" s="8" t="n"/>
      <c r="AH48" s="8" t="n"/>
      <c r="AI48" s="8" t="n"/>
      <c r="AJ48" s="8" t="n"/>
      <c r="AK48" s="8" t="n"/>
      <c r="AL48" s="121" t="n"/>
      <c r="AM48" s="121" t="n"/>
      <c r="AN48" s="139" t="n"/>
      <c r="AO48" s="8" t="n"/>
      <c r="AP48" s="8" t="n"/>
      <c r="AQ48" s="8" t="n"/>
      <c r="AR48" s="8" t="n"/>
      <c r="AS48" s="121" t="n"/>
      <c r="AT48" s="152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46" t="n"/>
      <c r="Q49" s="122" t="n"/>
      <c r="R49" s="122" t="n"/>
      <c r="S49" s="29" t="n"/>
      <c r="T49" s="29" t="n"/>
      <c r="U49" s="29" t="n"/>
      <c r="V49" s="29" t="n"/>
      <c r="W49" s="140" t="n"/>
      <c r="X49" s="122" t="n"/>
      <c r="Y49" s="122" t="n"/>
      <c r="Z49" s="29" t="n"/>
      <c r="AA49" s="29" t="n"/>
      <c r="AB49" s="29" t="n"/>
      <c r="AC49" s="140" t="n"/>
      <c r="AD49" s="29" t="n"/>
      <c r="AE49" s="122" t="n"/>
      <c r="AF49" s="122" t="n"/>
      <c r="AG49" s="29" t="n"/>
      <c r="AH49" s="29" t="n"/>
      <c r="AI49" s="29" t="n"/>
      <c r="AJ49" s="29" t="n"/>
      <c r="AK49" s="29" t="n"/>
      <c r="AL49" s="122" t="n"/>
      <c r="AM49" s="122" t="n"/>
      <c r="AN49" s="140" t="n"/>
      <c r="AO49" s="29" t="n"/>
      <c r="AP49" s="29" t="n"/>
      <c r="AQ49" s="29" t="n"/>
      <c r="AR49" s="29" t="n"/>
      <c r="AS49" s="122" t="n"/>
      <c r="AT49" s="153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0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44" t="n"/>
      <c r="Q51" s="113" t="n"/>
      <c r="R51" s="113" t="n"/>
      <c r="S51" s="28" t="n"/>
      <c r="T51" s="28" t="n"/>
      <c r="U51" s="28" t="n"/>
      <c r="V51" s="28" t="n"/>
      <c r="W51" s="138" t="n"/>
      <c r="X51" s="227" t="n"/>
      <c r="Y51" s="227" t="n"/>
      <c r="Z51" s="28" t="n"/>
      <c r="AA51" s="28" t="n"/>
      <c r="AB51" s="28" t="n"/>
      <c r="AC51" s="138" t="n"/>
      <c r="AD51" s="150" t="n"/>
      <c r="AE51" s="227" t="n"/>
      <c r="AF51" s="227" t="n"/>
      <c r="AG51" s="28" t="n"/>
      <c r="AH51" s="28" t="n"/>
      <c r="AI51" s="28" t="n"/>
      <c r="AJ51" s="28" t="n"/>
      <c r="AK51" s="28" t="n"/>
      <c r="AL51" s="113" t="n"/>
      <c r="AM51" s="113" t="n"/>
      <c r="AN51" s="138" t="n"/>
      <c r="AO51" s="28" t="n"/>
      <c r="AP51" s="28" t="n"/>
      <c r="AQ51" s="28" t="n"/>
      <c r="AR51" s="28" t="n"/>
      <c r="AS51" s="113" t="n"/>
      <c r="AT51" s="151" t="n"/>
      <c r="AV51" s="15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5" t="n"/>
      <c r="Q52" s="121" t="n"/>
      <c r="R52" s="121" t="n"/>
      <c r="S52" s="8" t="n"/>
      <c r="T52" s="8" t="n"/>
      <c r="U52" s="8" t="n"/>
      <c r="V52" s="8" t="n"/>
      <c r="W52" s="139" t="n"/>
      <c r="X52" s="121" t="n"/>
      <c r="Y52" s="121" t="n"/>
      <c r="Z52" s="8" t="n"/>
      <c r="AA52" s="8" t="n"/>
      <c r="AB52" s="8" t="n"/>
      <c r="AC52" s="139" t="n"/>
      <c r="AD52" s="8" t="n"/>
      <c r="AE52" s="121" t="n"/>
      <c r="AF52" s="121" t="n"/>
      <c r="AG52" s="8" t="n"/>
      <c r="AH52" s="8" t="n"/>
      <c r="AI52" s="8" t="n"/>
      <c r="AJ52" s="8" t="n"/>
      <c r="AK52" s="8" t="n"/>
      <c r="AL52" s="121" t="n"/>
      <c r="AM52" s="121" t="n"/>
      <c r="AN52" s="139" t="n"/>
      <c r="AO52" s="8" t="n"/>
      <c r="AP52" s="8" t="n"/>
      <c r="AQ52" s="8" t="n"/>
      <c r="AR52" s="8" t="n"/>
      <c r="AS52" s="121" t="n"/>
      <c r="AT52" s="152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5" t="n"/>
      <c r="Q53" s="121" t="n"/>
      <c r="R53" s="121" t="n"/>
      <c r="S53" s="8" t="n"/>
      <c r="T53" s="8" t="n"/>
      <c r="U53" s="8" t="n"/>
      <c r="V53" s="8" t="n"/>
      <c r="W53" s="139" t="n"/>
      <c r="X53" s="121" t="n"/>
      <c r="Y53" s="121" t="n"/>
      <c r="Z53" s="8" t="n"/>
      <c r="AA53" s="8" t="n"/>
      <c r="AB53" s="8" t="n"/>
      <c r="AC53" s="139" t="n"/>
      <c r="AD53" s="8" t="n"/>
      <c r="AE53" s="121" t="n"/>
      <c r="AF53" s="121" t="n"/>
      <c r="AG53" s="8" t="n"/>
      <c r="AH53" s="8" t="n"/>
      <c r="AI53" s="8" t="n"/>
      <c r="AJ53" s="8" t="n"/>
      <c r="AK53" s="8" t="n"/>
      <c r="AL53" s="121" t="n"/>
      <c r="AM53" s="121" t="n"/>
      <c r="AN53" s="139" t="n"/>
      <c r="AO53" s="8" t="n"/>
      <c r="AP53" s="8" t="n"/>
      <c r="AQ53" s="8" t="n"/>
      <c r="AR53" s="8" t="n"/>
      <c r="AS53" s="121" t="n"/>
      <c r="AT53" s="152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5" t="n"/>
      <c r="Q54" s="121" t="n"/>
      <c r="R54" s="121" t="n"/>
      <c r="S54" s="8" t="n"/>
      <c r="T54" s="8" t="n"/>
      <c r="U54" s="8" t="n"/>
      <c r="V54" s="8" t="n"/>
      <c r="W54" s="139" t="n"/>
      <c r="X54" s="121" t="n"/>
      <c r="Y54" s="121" t="n"/>
      <c r="Z54" s="8" t="n"/>
      <c r="AA54" s="8" t="n"/>
      <c r="AB54" s="8" t="n"/>
      <c r="AC54" s="139" t="n"/>
      <c r="AD54" s="8" t="n"/>
      <c r="AE54" s="121" t="n"/>
      <c r="AF54" s="121" t="n"/>
      <c r="AG54" s="8" t="n"/>
      <c r="AH54" s="8" t="n"/>
      <c r="AI54" s="8" t="n"/>
      <c r="AJ54" s="8" t="n"/>
      <c r="AK54" s="8" t="n"/>
      <c r="AL54" s="121" t="n"/>
      <c r="AM54" s="121" t="n"/>
      <c r="AN54" s="139" t="n"/>
      <c r="AO54" s="8" t="n"/>
      <c r="AP54" s="8" t="n"/>
      <c r="AQ54" s="8" t="n"/>
      <c r="AR54" s="8" t="n"/>
      <c r="AS54" s="121" t="n"/>
      <c r="AT54" s="152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5" t="n"/>
      <c r="Q55" s="121" t="n"/>
      <c r="R55" s="121" t="n"/>
      <c r="S55" s="8" t="n"/>
      <c r="T55" s="8" t="n"/>
      <c r="U55" s="8" t="n"/>
      <c r="V55" s="8" t="n"/>
      <c r="W55" s="139" t="n"/>
      <c r="X55" s="121" t="n"/>
      <c r="Y55" s="121" t="n"/>
      <c r="Z55" s="8" t="n"/>
      <c r="AA55" s="8" t="n"/>
      <c r="AB55" s="8" t="n"/>
      <c r="AC55" s="139" t="n"/>
      <c r="AD55" s="8" t="n"/>
      <c r="AE55" s="121" t="n"/>
      <c r="AF55" s="121" t="n"/>
      <c r="AG55" s="8" t="n"/>
      <c r="AH55" s="8" t="n"/>
      <c r="AI55" s="8" t="n"/>
      <c r="AJ55" s="8" t="n"/>
      <c r="AK55" s="8" t="n"/>
      <c r="AL55" s="121" t="n"/>
      <c r="AM55" s="121" t="n"/>
      <c r="AN55" s="139" t="n"/>
      <c r="AO55" s="8" t="n"/>
      <c r="AP55" s="8" t="n"/>
      <c r="AQ55" s="8" t="n"/>
      <c r="AR55" s="8" t="n"/>
      <c r="AS55" s="121" t="n"/>
      <c r="AT55" s="152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5" t="n"/>
      <c r="Q56" s="121" t="n"/>
      <c r="R56" s="121" t="n"/>
      <c r="S56" s="8" t="n"/>
      <c r="T56" s="8" t="n"/>
      <c r="U56" s="8" t="n"/>
      <c r="V56" s="8" t="n"/>
      <c r="W56" s="139" t="n"/>
      <c r="X56" s="121" t="n"/>
      <c r="Y56" s="121" t="n"/>
      <c r="Z56" s="8" t="n"/>
      <c r="AA56" s="8" t="n"/>
      <c r="AB56" s="8" t="n"/>
      <c r="AC56" s="139" t="n"/>
      <c r="AD56" s="8" t="n"/>
      <c r="AE56" s="121" t="n"/>
      <c r="AF56" s="121" t="n"/>
      <c r="AG56" s="8" t="n"/>
      <c r="AH56" s="8" t="n"/>
      <c r="AI56" s="8" t="n"/>
      <c r="AJ56" s="8" t="n"/>
      <c r="AK56" s="8" t="n"/>
      <c r="AL56" s="121" t="n"/>
      <c r="AM56" s="121" t="n"/>
      <c r="AN56" s="139" t="n"/>
      <c r="AO56" s="8" t="n"/>
      <c r="AP56" s="8" t="n"/>
      <c r="AQ56" s="8" t="n"/>
      <c r="AR56" s="8" t="n"/>
      <c r="AS56" s="121" t="n"/>
      <c r="AT56" s="152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5" t="n"/>
      <c r="Q57" s="121" t="n"/>
      <c r="R57" s="121" t="n"/>
      <c r="S57" s="8" t="n"/>
      <c r="T57" s="8" t="n"/>
      <c r="U57" s="8" t="n"/>
      <c r="V57" s="8" t="n"/>
      <c r="W57" s="139" t="n"/>
      <c r="X57" s="121" t="n"/>
      <c r="Y57" s="121" t="n"/>
      <c r="Z57" s="8" t="n"/>
      <c r="AA57" s="8" t="n"/>
      <c r="AB57" s="8" t="n"/>
      <c r="AC57" s="139" t="n"/>
      <c r="AD57" s="8" t="n"/>
      <c r="AE57" s="121" t="n"/>
      <c r="AF57" s="121" t="n"/>
      <c r="AG57" s="8" t="n"/>
      <c r="AH57" s="8" t="n"/>
      <c r="AI57" s="8" t="n"/>
      <c r="AJ57" s="8" t="n"/>
      <c r="AK57" s="8" t="n"/>
      <c r="AL57" s="121" t="n"/>
      <c r="AM57" s="121" t="n"/>
      <c r="AN57" s="139" t="n"/>
      <c r="AO57" s="8" t="n"/>
      <c r="AP57" s="8" t="n"/>
      <c r="AQ57" s="8" t="n"/>
      <c r="AR57" s="8" t="n"/>
      <c r="AS57" s="121" t="n"/>
      <c r="AT57" s="152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5" t="n"/>
      <c r="Q58" s="121" t="n"/>
      <c r="R58" s="121" t="n"/>
      <c r="S58" s="8" t="n"/>
      <c r="T58" s="8" t="n"/>
      <c r="U58" s="8" t="n"/>
      <c r="V58" s="8" t="n"/>
      <c r="W58" s="139" t="n"/>
      <c r="X58" s="121" t="n"/>
      <c r="Y58" s="121" t="n"/>
      <c r="Z58" s="8" t="n"/>
      <c r="AA58" s="8" t="n"/>
      <c r="AB58" s="8" t="n"/>
      <c r="AC58" s="139" t="n"/>
      <c r="AD58" s="8" t="n"/>
      <c r="AE58" s="121" t="n"/>
      <c r="AF58" s="121" t="n"/>
      <c r="AG58" s="8" t="n"/>
      <c r="AH58" s="8" t="n"/>
      <c r="AI58" s="8" t="n"/>
      <c r="AJ58" s="8" t="n"/>
      <c r="AK58" s="8" t="n"/>
      <c r="AL58" s="121" t="n"/>
      <c r="AM58" s="121" t="n"/>
      <c r="AN58" s="139" t="n"/>
      <c r="AO58" s="8" t="n"/>
      <c r="AP58" s="8" t="n"/>
      <c r="AQ58" s="8" t="n"/>
      <c r="AR58" s="8" t="n"/>
      <c r="AS58" s="121" t="n"/>
      <c r="AT58" s="152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5" t="n"/>
      <c r="Q59" s="121" t="n"/>
      <c r="R59" s="121" t="n"/>
      <c r="S59" s="8" t="n"/>
      <c r="T59" s="8" t="n"/>
      <c r="U59" s="8" t="n"/>
      <c r="V59" s="8" t="n"/>
      <c r="W59" s="139" t="n"/>
      <c r="X59" s="121" t="n"/>
      <c r="Y59" s="121" t="n"/>
      <c r="Z59" s="8" t="n"/>
      <c r="AA59" s="8" t="n"/>
      <c r="AB59" s="8" t="n"/>
      <c r="AC59" s="139" t="n"/>
      <c r="AD59" s="8" t="n"/>
      <c r="AE59" s="121" t="n"/>
      <c r="AF59" s="121" t="n"/>
      <c r="AG59" s="8" t="n"/>
      <c r="AH59" s="8" t="n"/>
      <c r="AI59" s="8" t="n"/>
      <c r="AJ59" s="8" t="n"/>
      <c r="AK59" s="8" t="n"/>
      <c r="AL59" s="121" t="n"/>
      <c r="AM59" s="121" t="n"/>
      <c r="AN59" s="139" t="n"/>
      <c r="AO59" s="8" t="n"/>
      <c r="AP59" s="8" t="n"/>
      <c r="AQ59" s="8" t="n"/>
      <c r="AR59" s="8" t="n"/>
      <c r="AS59" s="121" t="n"/>
      <c r="AT59" s="152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5" t="n"/>
      <c r="Q60" s="121" t="n"/>
      <c r="R60" s="121" t="n"/>
      <c r="S60" s="8" t="n"/>
      <c r="T60" s="8" t="n"/>
      <c r="U60" s="8" t="n"/>
      <c r="V60" s="8" t="n"/>
      <c r="W60" s="139" t="n"/>
      <c r="X60" s="121" t="n"/>
      <c r="Y60" s="121" t="n"/>
      <c r="Z60" s="8" t="n"/>
      <c r="AA60" s="8" t="n"/>
      <c r="AB60" s="8" t="n"/>
      <c r="AC60" s="139" t="n"/>
      <c r="AD60" s="8" t="n"/>
      <c r="AE60" s="121" t="n"/>
      <c r="AF60" s="121" t="n"/>
      <c r="AG60" s="8" t="n"/>
      <c r="AH60" s="8" t="n"/>
      <c r="AI60" s="8" t="n"/>
      <c r="AJ60" s="8" t="n"/>
      <c r="AK60" s="8" t="n"/>
      <c r="AL60" s="121" t="n"/>
      <c r="AM60" s="121" t="n"/>
      <c r="AN60" s="139" t="n"/>
      <c r="AO60" s="8" t="n"/>
      <c r="AP60" s="8" t="n"/>
      <c r="AQ60" s="8" t="n"/>
      <c r="AR60" s="8" t="n"/>
      <c r="AS60" s="121" t="n"/>
      <c r="AT60" s="152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5" t="n"/>
      <c r="Q61" s="121" t="n"/>
      <c r="R61" s="121" t="n"/>
      <c r="S61" s="8" t="n"/>
      <c r="T61" s="8" t="n"/>
      <c r="U61" s="8" t="n"/>
      <c r="V61" s="8" t="n"/>
      <c r="W61" s="139" t="n"/>
      <c r="X61" s="121" t="n"/>
      <c r="Y61" s="121" t="n"/>
      <c r="Z61" s="8" t="n"/>
      <c r="AA61" s="8" t="n"/>
      <c r="AB61" s="8" t="n"/>
      <c r="AC61" s="139" t="n"/>
      <c r="AD61" s="8" t="n"/>
      <c r="AE61" s="121" t="n"/>
      <c r="AF61" s="121" t="n"/>
      <c r="AG61" s="8" t="n"/>
      <c r="AH61" s="8" t="n"/>
      <c r="AI61" s="8" t="n"/>
      <c r="AJ61" s="8" t="n"/>
      <c r="AK61" s="8" t="n"/>
      <c r="AL61" s="121" t="n"/>
      <c r="AM61" s="121" t="n"/>
      <c r="AN61" s="139" t="n"/>
      <c r="AO61" s="8" t="n"/>
      <c r="AP61" s="8" t="n"/>
      <c r="AQ61" s="8" t="n"/>
      <c r="AR61" s="8" t="n"/>
      <c r="AS61" s="121" t="n"/>
      <c r="AT61" s="152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46" t="n"/>
      <c r="Q62" s="122" t="n"/>
      <c r="R62" s="122" t="n"/>
      <c r="S62" s="29" t="n"/>
      <c r="T62" s="29" t="n"/>
      <c r="U62" s="29" t="n"/>
      <c r="V62" s="29" t="n"/>
      <c r="W62" s="140" t="n"/>
      <c r="X62" s="122" t="n"/>
      <c r="Y62" s="122" t="n"/>
      <c r="Z62" s="29" t="n"/>
      <c r="AA62" s="29" t="n"/>
      <c r="AB62" s="29" t="n"/>
      <c r="AC62" s="140" t="n"/>
      <c r="AD62" s="29" t="n"/>
      <c r="AE62" s="122" t="n"/>
      <c r="AF62" s="122" t="n"/>
      <c r="AG62" s="29" t="n"/>
      <c r="AH62" s="29" t="n"/>
      <c r="AI62" s="29" t="n"/>
      <c r="AJ62" s="29" t="n"/>
      <c r="AK62" s="29" t="n"/>
      <c r="AL62" s="122" t="n"/>
      <c r="AM62" s="122" t="n"/>
      <c r="AN62" s="140" t="n"/>
      <c r="AO62" s="29" t="n"/>
      <c r="AP62" s="29" t="n"/>
      <c r="AQ62" s="29" t="n"/>
      <c r="AR62" s="29" t="n"/>
      <c r="AS62" s="122" t="n"/>
      <c r="AT62" s="153" t="n"/>
    </row>
    <row r="63" ht="20.1" customHeight="1" thickBot="1">
      <c r="A63" s="319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8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44" t="n"/>
      <c r="Q64" s="113" t="n"/>
      <c r="R64" s="113" t="n"/>
      <c r="S64" s="28" t="n"/>
      <c r="T64" s="28" t="n"/>
      <c r="U64" s="28" t="n"/>
      <c r="V64" s="28" t="n"/>
      <c r="W64" s="138" t="n"/>
      <c r="X64" s="113" t="n"/>
      <c r="Y64" s="113" t="n"/>
      <c r="Z64" s="28" t="n"/>
      <c r="AA64" s="28" t="n"/>
      <c r="AB64" s="28" t="n"/>
      <c r="AC64" s="138" t="n"/>
      <c r="AD64" s="28" t="n"/>
      <c r="AE64" s="113" t="n"/>
      <c r="AF64" s="113" t="n"/>
      <c r="AG64" s="28" t="n"/>
      <c r="AH64" s="28" t="n"/>
      <c r="AI64" s="28" t="n"/>
      <c r="AJ64" s="28" t="n"/>
      <c r="AK64" s="28" t="n"/>
      <c r="AL64" s="113" t="n"/>
      <c r="AM64" s="113" t="n"/>
      <c r="AN64" s="138" t="n"/>
      <c r="AO64" s="28" t="n"/>
      <c r="AP64" s="28" t="n"/>
      <c r="AQ64" s="28" t="n"/>
      <c r="AR64" s="28" t="n"/>
      <c r="AS64" s="113" t="n"/>
      <c r="AT64" s="151" t="n"/>
      <c r="AV64" s="15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45" t="n"/>
      <c r="Q65" s="121" t="n"/>
      <c r="R65" s="121" t="n"/>
      <c r="S65" s="8" t="n"/>
      <c r="T65" s="8" t="n"/>
      <c r="U65" s="8" t="n"/>
      <c r="V65" s="8" t="n"/>
      <c r="W65" s="139" t="n"/>
      <c r="X65" s="121" t="n"/>
      <c r="Y65" s="121" t="n"/>
      <c r="Z65" s="8" t="n"/>
      <c r="AA65" s="8" t="n"/>
      <c r="AB65" s="8" t="n"/>
      <c r="AC65" s="139" t="n"/>
      <c r="AD65" s="8" t="n"/>
      <c r="AE65" s="121" t="n"/>
      <c r="AF65" s="121" t="n"/>
      <c r="AG65" s="8" t="n"/>
      <c r="AH65" s="8" t="n"/>
      <c r="AI65" s="8" t="n"/>
      <c r="AJ65" s="8" t="n"/>
      <c r="AK65" s="8" t="n"/>
      <c r="AL65" s="121" t="n"/>
      <c r="AM65" s="121" t="n"/>
      <c r="AN65" s="139" t="n"/>
      <c r="AO65" s="8" t="n"/>
      <c r="AP65" s="8" t="n"/>
      <c r="AQ65" s="8" t="n"/>
      <c r="AR65" s="8" t="n"/>
      <c r="AS65" s="121" t="n"/>
      <c r="AT65" s="152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39" t="n"/>
      <c r="Q66" s="121" t="n"/>
      <c r="R66" s="121" t="n"/>
      <c r="S66" s="8" t="n"/>
      <c r="T66" s="8" t="n"/>
      <c r="U66" s="8" t="n"/>
      <c r="V66" s="8" t="n"/>
      <c r="W66" s="139" t="n"/>
      <c r="X66" s="121" t="n"/>
      <c r="Y66" s="121" t="n"/>
      <c r="Z66" s="8" t="n"/>
      <c r="AA66" s="8" t="n"/>
      <c r="AB66" s="8" t="n"/>
      <c r="AC66" s="139" t="n"/>
      <c r="AD66" s="8" t="n"/>
      <c r="AE66" s="121" t="n"/>
      <c r="AF66" s="121" t="n"/>
      <c r="AG66" s="8" t="n"/>
      <c r="AH66" s="8" t="n"/>
      <c r="AI66" s="8" t="n"/>
      <c r="AJ66" s="8" t="n"/>
      <c r="AK66" s="8" t="n"/>
      <c r="AL66" s="121" t="n"/>
      <c r="AM66" s="121" t="n"/>
      <c r="AN66" s="139" t="n"/>
      <c r="AO66" s="8" t="n"/>
      <c r="AP66" s="8" t="n"/>
      <c r="AQ66" s="8" t="n"/>
      <c r="AR66" s="8" t="n"/>
      <c r="AS66" s="121" t="n"/>
      <c r="AT66" s="152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5" t="n"/>
      <c r="Q67" s="121" t="n"/>
      <c r="R67" s="121" t="n"/>
      <c r="S67" s="8" t="n"/>
      <c r="T67" s="8" t="n"/>
      <c r="U67" s="8" t="n"/>
      <c r="V67" s="8" t="n"/>
      <c r="W67" s="139" t="n"/>
      <c r="X67" s="121" t="n"/>
      <c r="Y67" s="121" t="n"/>
      <c r="Z67" s="8" t="n"/>
      <c r="AA67" s="8" t="n"/>
      <c r="AB67" s="8" t="n"/>
      <c r="AC67" s="139" t="n"/>
      <c r="AD67" s="8" t="n"/>
      <c r="AE67" s="121" t="n"/>
      <c r="AF67" s="121" t="n"/>
      <c r="AG67" s="8" t="n"/>
      <c r="AH67" s="8" t="n"/>
      <c r="AI67" s="8" t="n"/>
      <c r="AJ67" s="8" t="n"/>
      <c r="AK67" s="8" t="n"/>
      <c r="AL67" s="121" t="n"/>
      <c r="AM67" s="121" t="n"/>
      <c r="AN67" s="139" t="n"/>
      <c r="AO67" s="8" t="n"/>
      <c r="AP67" s="8" t="n"/>
      <c r="AQ67" s="8" t="n"/>
      <c r="AR67" s="8" t="n"/>
      <c r="AS67" s="121" t="n"/>
      <c r="AT67" s="152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17" t="n"/>
      <c r="Q68" s="121" t="n"/>
      <c r="R68" s="121" t="n"/>
      <c r="S68" s="8" t="n"/>
      <c r="T68" s="8" t="n"/>
      <c r="U68" s="8" t="n"/>
      <c r="V68" s="8" t="n"/>
      <c r="W68" s="8" t="n"/>
      <c r="X68" s="121" t="n"/>
      <c r="Y68" s="121" t="n"/>
      <c r="Z68" s="8" t="n"/>
      <c r="AA68" s="8" t="n"/>
      <c r="AB68" s="8" t="n"/>
      <c r="AC68" s="8" t="n"/>
      <c r="AD68" s="8" t="n"/>
      <c r="AE68" s="121" t="n"/>
      <c r="AF68" s="121" t="n"/>
      <c r="AG68" s="8" t="n"/>
      <c r="AH68" s="8" t="n"/>
      <c r="AI68" s="8" t="n"/>
      <c r="AJ68" s="8" t="n"/>
      <c r="AK68" s="8" t="n"/>
      <c r="AL68" s="121" t="n"/>
      <c r="AM68" s="121" t="n"/>
      <c r="AN68" s="8" t="n"/>
      <c r="AO68" s="8" t="n"/>
      <c r="AP68" s="8" t="n"/>
      <c r="AQ68" s="8" t="n"/>
      <c r="AR68" s="8" t="n"/>
      <c r="AS68" s="121" t="n"/>
      <c r="AT68" s="152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119">
        <f>COUNTIF(P69:AS69,"TP")</f>
        <v/>
      </c>
      <c r="P69" s="118" t="n"/>
      <c r="Q69" s="122" t="n"/>
      <c r="R69" s="122" t="n"/>
      <c r="S69" s="29" t="n"/>
      <c r="T69" s="29" t="n"/>
      <c r="U69" s="29" t="n"/>
      <c r="V69" s="29" t="n"/>
      <c r="W69" s="29" t="n"/>
      <c r="X69" s="122" t="n"/>
      <c r="Y69" s="122" t="n"/>
      <c r="Z69" s="29" t="n"/>
      <c r="AA69" s="29" t="n"/>
      <c r="AB69" s="29" t="n"/>
      <c r="AC69" s="29" t="n"/>
      <c r="AD69" s="29" t="n"/>
      <c r="AE69" s="122" t="n"/>
      <c r="AF69" s="122" t="n"/>
      <c r="AG69" s="29" t="n"/>
      <c r="AH69" s="29" t="n"/>
      <c r="AI69" s="29" t="n"/>
      <c r="AJ69" s="29" t="n"/>
      <c r="AK69" s="29" t="n"/>
      <c r="AL69" s="122" t="n"/>
      <c r="AM69" s="122" t="n"/>
      <c r="AN69" s="29" t="n"/>
      <c r="AO69" s="29" t="n"/>
      <c r="AP69" s="29" t="n"/>
      <c r="AQ69" s="29" t="n"/>
      <c r="AR69" s="29" t="n"/>
      <c r="AS69" s="122" t="n"/>
      <c r="AT69" s="153" t="n"/>
    </row>
    <row r="78">
      <c r="T78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208" operator="equal" dxfId="55">
      <formula>"repos"</formula>
    </cfRule>
    <cfRule type="cellIs" priority="209" operator="equal" dxfId="53">
      <formula>"permanence"</formula>
    </cfRule>
    <cfRule type="cellIs" priority="210" operator="equal" dxfId="53">
      <formula>"dimanche"</formula>
    </cfRule>
    <cfRule type="cellIs" priority="211" operator="equal" dxfId="52">
      <formula>"formation"</formula>
    </cfRule>
    <cfRule type="cellIs" priority="212" operator="equal" dxfId="6">
      <formula>"conges exc"</formula>
    </cfRule>
    <cfRule type="cellIs" priority="213" operator="equal" dxfId="4">
      <formula>"conges"</formula>
    </cfRule>
    <cfRule type="cellIs" priority="214" operator="equal" dxfId="5">
      <formula>"asa"</formula>
    </cfRule>
    <cfRule type="cellIs" priority="215" operator="equal" dxfId="8">
      <formula>"maladie / at"</formula>
    </cfRule>
    <cfRule type="cellIs" priority="216" operator="equal" dxfId="0">
      <formula>"presence"</formula>
    </cfRule>
  </conditionalFormatting>
  <conditionalFormatting sqref="D11:O20 D23:O24 D26:O29 D31:O36 D39:O49 D51:O62 D64:O69">
    <cfRule type="cellIs" priority="217" operator="equal" dxfId="46">
      <formula>0</formula>
    </cfRule>
  </conditionalFormatting>
  <conditionalFormatting sqref="P9:AT9">
    <cfRule type="expression" priority="219" dxfId="44">
      <formula>OR(P$9=1, P$9=7)</formula>
    </cfRule>
  </conditionalFormatting>
  <conditionalFormatting sqref="P9:AT10">
    <cfRule type="expression" priority="218" dxfId="44">
      <formula>OR(P$9=1,P$9=7)</formula>
    </cfRule>
  </conditionalFormatting>
  <conditionalFormatting sqref="P11:AT20 P26:AT29 P31:AT36 P51:AT62">
    <cfRule type="containsText" priority="61" operator="containsText" dxfId="10" text="TP">
      <formula>NOT(ISERROR(SEARCH("TP",P11)))</formula>
    </cfRule>
    <cfRule type="containsText" priority="62" operator="containsText" text="TAD">
      <formula>NOT(ISERROR(SEARCH("TAD",P11)))</formula>
    </cfRule>
    <cfRule type="containsText" priority="63" operator="containsText" dxfId="9" text="AT">
      <formula>NOT(ISERROR(SEARCH("AT",P11)))</formula>
    </cfRule>
    <cfRule type="containsText" priority="64" operator="containsText" dxfId="8" text="MA">
      <formula>NOT(ISERROR(SEARCH("MA",P11)))</formula>
    </cfRule>
    <cfRule type="containsText" priority="65" operator="containsText" dxfId="7" text="RES">
      <formula>NOT(ISERROR(SEARCH("RES",P11)))</formula>
    </cfRule>
    <cfRule type="containsText" priority="66" operator="containsText" dxfId="6" text="CEX">
      <formula>NOT(ISERROR(SEARCH("CEX",P11)))</formula>
    </cfRule>
    <cfRule type="containsText" priority="67" operator="containsText" dxfId="5" text="RTT">
      <formula>NOT(ISERROR(SEARCH("RTT",P11)))</formula>
    </cfRule>
    <cfRule type="beginsWith" priority="68" operator="beginsWith" dxfId="4" text="CA">
      <formula>LEFT(P11,LEN("CA"))="CA"</formula>
    </cfRule>
    <cfRule type="containsText" priority="69" operator="containsText" dxfId="3" text="AST">
      <formula>NOT(ISERROR(SEARCH("AST",P11)))</formula>
    </cfRule>
    <cfRule type="containsText" priority="70" operator="containsText" dxfId="2" text="F">
      <formula>NOT(ISERROR(SEARCH("F",P11)))</formula>
    </cfRule>
    <cfRule type="containsText" priority="71" operator="containsText" dxfId="1" text="PC">
      <formula>NOT(ISERROR(SEARCH("PC",P11)))</formula>
    </cfRule>
    <cfRule type="containsText" priority="72" operator="containsText" dxfId="0" text="P">
      <formula>NOT(ISERROR(SEARCH("P",P11)))</formula>
    </cfRule>
  </conditionalFormatting>
  <conditionalFormatting sqref="P23:AT24">
    <cfRule type="containsText" priority="37" operator="containsText" dxfId="10" text="TP">
      <formula>NOT(ISERROR(SEARCH("TP",P23)))</formula>
    </cfRule>
    <cfRule type="containsText" priority="38" operator="containsText" text="TAD">
      <formula>NOT(ISERROR(SEARCH("TAD",P23)))</formula>
    </cfRule>
    <cfRule type="containsText" priority="39" operator="containsText" dxfId="9" text="AT">
      <formula>NOT(ISERROR(SEARCH("AT",P23)))</formula>
    </cfRule>
    <cfRule type="containsText" priority="40" operator="containsText" dxfId="8" text="MA">
      <formula>NOT(ISERROR(SEARCH("MA",P23)))</formula>
    </cfRule>
    <cfRule type="containsText" priority="41" operator="containsText" dxfId="7" text="RES">
      <formula>NOT(ISERROR(SEARCH("RES",P23)))</formula>
    </cfRule>
    <cfRule type="containsText" priority="42" operator="containsText" dxfId="6" text="CEX">
      <formula>NOT(ISERROR(SEARCH("CEX",P23)))</formula>
    </cfRule>
    <cfRule type="containsText" priority="43" operator="containsText" dxfId="5" text="RTT">
      <formula>NOT(ISERROR(SEARCH("RTT",P23)))</formula>
    </cfRule>
    <cfRule type="beginsWith" priority="44" operator="beginsWith" dxfId="4" text="CA">
      <formula>LEFT(P23,LEN("CA"))="CA"</formula>
    </cfRule>
    <cfRule type="containsText" priority="45" operator="containsText" dxfId="3" text="AST">
      <formula>NOT(ISERROR(SEARCH("AST",P23)))</formula>
    </cfRule>
    <cfRule type="containsText" priority="46" operator="containsText" dxfId="2" text="F">
      <formula>NOT(ISERROR(SEARCH("F",P23)))</formula>
    </cfRule>
    <cfRule type="containsText" priority="47" operator="containsText" dxfId="1" text="PC">
      <formula>NOT(ISERROR(SEARCH("PC",P23)))</formula>
    </cfRule>
    <cfRule type="containsText" priority="48" operator="containsText" dxfId="0" text="P">
      <formula>NOT(ISERROR(SEARCH("P",P23)))</formula>
    </cfRule>
  </conditionalFormatting>
  <conditionalFormatting sqref="P39:AT49">
    <cfRule type="containsText" priority="25" operator="containsText" dxfId="10" text="TP">
      <formula>NOT(ISERROR(SEARCH("TP",P39)))</formula>
    </cfRule>
    <cfRule type="containsText" priority="26" operator="containsText" text="TAD">
      <formula>NOT(ISERROR(SEARCH("TAD",P39)))</formula>
    </cfRule>
    <cfRule type="containsText" priority="27" operator="containsText" dxfId="9" text="AT">
      <formula>NOT(ISERROR(SEARCH("AT",P39)))</formula>
    </cfRule>
    <cfRule type="containsText" priority="28" operator="containsText" dxfId="8" text="MA">
      <formula>NOT(ISERROR(SEARCH("MA",P39)))</formula>
    </cfRule>
    <cfRule type="containsText" priority="29" operator="containsText" dxfId="7" text="RES">
      <formula>NOT(ISERROR(SEARCH("RES",P39)))</formula>
    </cfRule>
    <cfRule type="containsText" priority="30" operator="containsText" dxfId="6" text="CEX">
      <formula>NOT(ISERROR(SEARCH("CEX",P39)))</formula>
    </cfRule>
    <cfRule type="containsText" priority="31" operator="containsText" dxfId="5" text="RTT">
      <formula>NOT(ISERROR(SEARCH("RTT",P39)))</formula>
    </cfRule>
    <cfRule type="beginsWith" priority="32" operator="beginsWith" dxfId="4" text="CA">
      <formula>LEFT(P39,LEN("CA"))="CA"</formula>
    </cfRule>
    <cfRule type="containsText" priority="33" operator="containsText" dxfId="3" text="AST">
      <formula>NOT(ISERROR(SEARCH("AST",P39)))</formula>
    </cfRule>
    <cfRule type="containsText" priority="34" operator="containsText" dxfId="2" text="F">
      <formula>NOT(ISERROR(SEARCH("F",P39)))</formula>
    </cfRule>
    <cfRule type="containsText" priority="35" operator="containsText" dxfId="1" text="PC">
      <formula>NOT(ISERROR(SEARCH("PC",P39)))</formula>
    </cfRule>
    <cfRule type="containsText" priority="36" operator="containsText" dxfId="0" text="P">
      <formula>NOT(ISERROR(SEARCH("P",P39)))</formula>
    </cfRule>
  </conditionalFormatting>
  <conditionalFormatting sqref="P64:AT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dataValidations count="3">
    <dataValidation sqref="P11:AT20 P23:AT24 P26:AT29 P31:AT36 P39:AT49 P51:AT62 P64:AT69" showDropDown="0" showInputMessage="1" showErrorMessage="1" allowBlank="1" type="list">
      <formula1>"P, PC, F, AST, CA, RTT, CEX, RES, MA, AT, TAD, TP"</formula1>
    </dataValidation>
    <dataValidation sqref="T78" showDropDown="0" showInputMessage="1" showErrorMessage="1" allowBlank="1" type="list">
      <formula1>$D$9:$O$9</formula1>
    </dataValidation>
    <dataValidation sqref="P10:AT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39" sqref="P39:AS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config!B10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config!C10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193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93" t="n"/>
      <c r="AS8" s="148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8" t="n"/>
      <c r="R11" s="28" t="n"/>
      <c r="S11" s="28" t="n"/>
      <c r="T11" s="28" t="n"/>
      <c r="U11" s="113" t="n"/>
      <c r="V11" s="113" t="n"/>
      <c r="W11" s="28" t="n"/>
      <c r="X11" s="28" t="n"/>
      <c r="Y11" s="28" t="n"/>
      <c r="Z11" s="28" t="n"/>
      <c r="AA11" s="28" t="n"/>
      <c r="AB11" s="113" t="n"/>
      <c r="AC11" s="113" t="n"/>
      <c r="AD11" s="28" t="n"/>
      <c r="AE11" s="28" t="n"/>
      <c r="AF11" s="28" t="n"/>
      <c r="AG11" s="28" t="n"/>
      <c r="AH11" s="28" t="n"/>
      <c r="AI11" s="113" t="n"/>
      <c r="AJ11" s="113" t="n"/>
      <c r="AK11" s="28" t="n"/>
      <c r="AL11" s="28" t="n"/>
      <c r="AM11" s="28" t="n"/>
      <c r="AN11" s="28" t="n"/>
      <c r="AO11" s="28" t="n"/>
      <c r="AP11" s="113" t="n"/>
      <c r="AQ11" s="113" t="n"/>
      <c r="AR11" s="28" t="n"/>
      <c r="AS11" s="42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8" t="n"/>
      <c r="S12" s="8" t="n"/>
      <c r="T12" s="8" t="n"/>
      <c r="U12" s="121" t="n"/>
      <c r="V12" s="121" t="n"/>
      <c r="W12" s="8" t="n"/>
      <c r="X12" s="8" t="n"/>
      <c r="Y12" s="8" t="n"/>
      <c r="Z12" s="8" t="n"/>
      <c r="AA12" s="8" t="n"/>
      <c r="AB12" s="121" t="n"/>
      <c r="AC12" s="121" t="n"/>
      <c r="AD12" s="8" t="n"/>
      <c r="AE12" s="8" t="n"/>
      <c r="AF12" s="8" t="n"/>
      <c r="AG12" s="8" t="n"/>
      <c r="AH12" s="8" t="n"/>
      <c r="AI12" s="121" t="n"/>
      <c r="AJ12" s="121" t="n"/>
      <c r="AK12" s="8" t="n"/>
      <c r="AL12" s="8" t="n"/>
      <c r="AM12" s="8" t="n"/>
      <c r="AN12" s="8" t="n"/>
      <c r="AO12" s="8" t="n"/>
      <c r="AP12" s="121" t="n"/>
      <c r="AQ12" s="121" t="n"/>
      <c r="AR12" s="8" t="n"/>
      <c r="AS12" s="43" t="n"/>
      <c r="AU12" s="15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8" t="n"/>
      <c r="S13" s="8" t="n"/>
      <c r="T13" s="8" t="n"/>
      <c r="U13" s="121" t="n"/>
      <c r="V13" s="121" t="n"/>
      <c r="W13" s="8" t="n"/>
      <c r="X13" s="8" t="n"/>
      <c r="Y13" s="8" t="n"/>
      <c r="Z13" s="8" t="n"/>
      <c r="AA13" s="8" t="n"/>
      <c r="AB13" s="121" t="n"/>
      <c r="AC13" s="121" t="n"/>
      <c r="AD13" s="8" t="n"/>
      <c r="AE13" s="8" t="n"/>
      <c r="AF13" s="8" t="n"/>
      <c r="AG13" s="8" t="n"/>
      <c r="AH13" s="8" t="n"/>
      <c r="AI13" s="121" t="n"/>
      <c r="AJ13" s="121" t="n"/>
      <c r="AK13" s="8" t="n"/>
      <c r="AL13" s="8" t="n"/>
      <c r="AM13" s="8" t="n"/>
      <c r="AN13" s="8" t="n"/>
      <c r="AO13" s="8" t="n"/>
      <c r="AP13" s="121" t="n"/>
      <c r="AQ13" s="121" t="n"/>
      <c r="AR13" s="8" t="n"/>
      <c r="AS13" s="43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8" t="n"/>
      <c r="S14" s="8" t="n"/>
      <c r="T14" s="8" t="n"/>
      <c r="U14" s="121" t="n"/>
      <c r="V14" s="121" t="n"/>
      <c r="W14" s="8" t="n"/>
      <c r="X14" s="8" t="n"/>
      <c r="Y14" s="8" t="n"/>
      <c r="Z14" s="8" t="n"/>
      <c r="AA14" s="8" t="n"/>
      <c r="AB14" s="121" t="n"/>
      <c r="AC14" s="121" t="n"/>
      <c r="AD14" s="8" t="n"/>
      <c r="AE14" s="8" t="n"/>
      <c r="AF14" s="8" t="n"/>
      <c r="AG14" s="8" t="n"/>
      <c r="AH14" s="8" t="n"/>
      <c r="AI14" s="121" t="n"/>
      <c r="AJ14" s="121" t="n"/>
      <c r="AK14" s="8" t="n"/>
      <c r="AL14" s="8" t="n"/>
      <c r="AM14" s="8" t="n"/>
      <c r="AN14" s="8" t="n"/>
      <c r="AO14" s="8" t="n"/>
      <c r="AP14" s="121" t="n"/>
      <c r="AQ14" s="121" t="n"/>
      <c r="AR14" s="8" t="n"/>
      <c r="AS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8" t="n"/>
      <c r="S15" s="8" t="n"/>
      <c r="T15" s="8" t="n"/>
      <c r="U15" s="121" t="n"/>
      <c r="V15" s="121" t="n"/>
      <c r="W15" s="8" t="n"/>
      <c r="X15" s="8" t="n"/>
      <c r="Y15" s="8" t="n"/>
      <c r="Z15" s="8" t="n"/>
      <c r="AA15" s="8" t="n"/>
      <c r="AB15" s="121" t="n"/>
      <c r="AC15" s="121" t="n"/>
      <c r="AD15" s="8" t="n"/>
      <c r="AE15" s="8" t="n"/>
      <c r="AF15" s="8" t="n"/>
      <c r="AG15" s="8" t="n"/>
      <c r="AH15" s="8" t="n"/>
      <c r="AI15" s="121" t="n"/>
      <c r="AJ15" s="121" t="n"/>
      <c r="AK15" s="8" t="n"/>
      <c r="AL15" s="8" t="n"/>
      <c r="AM15" s="8" t="n"/>
      <c r="AN15" s="8" t="n"/>
      <c r="AO15" s="8" t="n"/>
      <c r="AP15" s="121" t="n"/>
      <c r="AQ15" s="121" t="n"/>
      <c r="AR15" s="8" t="n"/>
      <c r="AS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8" t="n"/>
      <c r="S16" s="8" t="n"/>
      <c r="T16" s="8" t="n"/>
      <c r="U16" s="121" t="n"/>
      <c r="V16" s="121" t="n"/>
      <c r="W16" s="8" t="n"/>
      <c r="X16" s="8" t="n"/>
      <c r="Y16" s="8" t="n"/>
      <c r="Z16" s="8" t="n"/>
      <c r="AA16" s="8" t="n"/>
      <c r="AB16" s="121" t="n"/>
      <c r="AC16" s="121" t="n"/>
      <c r="AD16" s="8" t="n"/>
      <c r="AE16" s="8" t="n"/>
      <c r="AF16" s="8" t="n"/>
      <c r="AG16" s="8" t="n"/>
      <c r="AH16" s="8" t="n"/>
      <c r="AI16" s="121" t="n"/>
      <c r="AJ16" s="121" t="n"/>
      <c r="AK16" s="8" t="n"/>
      <c r="AL16" s="8" t="n"/>
      <c r="AM16" s="8" t="n"/>
      <c r="AN16" s="8" t="n"/>
      <c r="AO16" s="8" t="n"/>
      <c r="AP16" s="121" t="n"/>
      <c r="AQ16" s="121" t="n"/>
      <c r="AR16" s="8" t="n"/>
      <c r="AS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8" t="n"/>
      <c r="S17" s="8" t="n"/>
      <c r="T17" s="8" t="n"/>
      <c r="U17" s="121" t="n"/>
      <c r="V17" s="121" t="n"/>
      <c r="W17" s="8" t="n"/>
      <c r="X17" s="8" t="n"/>
      <c r="Y17" s="8" t="n"/>
      <c r="Z17" s="8" t="n"/>
      <c r="AA17" s="8" t="n"/>
      <c r="AB17" s="121" t="n"/>
      <c r="AC17" s="121" t="n"/>
      <c r="AD17" s="8" t="n"/>
      <c r="AE17" s="8" t="n"/>
      <c r="AF17" s="8" t="n"/>
      <c r="AG17" s="8" t="n"/>
      <c r="AH17" s="8" t="n"/>
      <c r="AI17" s="121" t="n"/>
      <c r="AJ17" s="121" t="n"/>
      <c r="AK17" s="8" t="n"/>
      <c r="AL17" s="8" t="n"/>
      <c r="AM17" s="8" t="n"/>
      <c r="AN17" s="8" t="n"/>
      <c r="AO17" s="8" t="n"/>
      <c r="AP17" s="121" t="n"/>
      <c r="AQ17" s="121" t="n"/>
      <c r="AR17" s="8" t="n"/>
      <c r="AS17" s="43" t="n"/>
    </row>
    <row r="18" ht="20.1" customHeight="1" thickBot="1">
      <c r="A18" s="172" t="n"/>
      <c r="B18" s="173" t="n"/>
      <c r="C18" s="174" t="n"/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5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8" t="n"/>
      <c r="S19" s="8" t="n"/>
      <c r="T19" s="8" t="n"/>
      <c r="U19" s="121" t="n"/>
      <c r="V19" s="121" t="n"/>
      <c r="W19" s="8" t="n"/>
      <c r="X19" s="8" t="n"/>
      <c r="Y19" s="8" t="n"/>
      <c r="Z19" s="8" t="n"/>
      <c r="AA19" s="8" t="n"/>
      <c r="AB19" s="121" t="n"/>
      <c r="AC19" s="121" t="n"/>
      <c r="AD19" s="8" t="n"/>
      <c r="AE19" s="8" t="n"/>
      <c r="AF19" s="8" t="n"/>
      <c r="AG19" s="8" t="n"/>
      <c r="AH19" s="8" t="n"/>
      <c r="AI19" s="121" t="n"/>
      <c r="AJ19" s="121" t="n"/>
      <c r="AK19" s="8" t="n"/>
      <c r="AL19" s="8" t="n"/>
      <c r="AM19" s="8" t="n"/>
      <c r="AN19" s="8" t="n"/>
      <c r="AO19" s="8" t="n"/>
      <c r="AP19" s="121" t="n"/>
      <c r="AQ19" s="121" t="n"/>
      <c r="AR19" s="8" t="n"/>
      <c r="AS19" s="43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9" t="n"/>
      <c r="R20" s="29" t="n"/>
      <c r="S20" s="29" t="n"/>
      <c r="T20" s="29" t="n"/>
      <c r="U20" s="121" t="n"/>
      <c r="V20" s="121" t="n"/>
      <c r="W20" s="29" t="n"/>
      <c r="X20" s="29" t="n"/>
      <c r="Y20" s="29" t="n"/>
      <c r="Z20" s="29" t="n"/>
      <c r="AA20" s="29" t="n"/>
      <c r="AB20" s="122" t="n"/>
      <c r="AC20" s="122" t="n"/>
      <c r="AD20" s="29" t="n"/>
      <c r="AE20" s="29" t="n"/>
      <c r="AF20" s="29" t="n"/>
      <c r="AG20" s="29" t="n"/>
      <c r="AH20" s="29" t="n"/>
      <c r="AI20" s="122" t="n"/>
      <c r="AJ20" s="122" t="n"/>
      <c r="AK20" s="29" t="n"/>
      <c r="AL20" s="29" t="n"/>
      <c r="AM20" s="29" t="n"/>
      <c r="AN20" s="29" t="n"/>
      <c r="AO20" s="29" t="n"/>
      <c r="AP20" s="122" t="n"/>
      <c r="AQ20" s="122" t="n"/>
      <c r="AR20" s="29" t="n"/>
      <c r="AS20" s="44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28" t="n"/>
      <c r="Q23" s="28" t="n"/>
      <c r="R23" s="28" t="n"/>
      <c r="S23" s="28" t="n"/>
      <c r="T23" s="28" t="n"/>
      <c r="U23" s="113" t="n"/>
      <c r="V23" s="113" t="n"/>
      <c r="W23" s="28" t="n"/>
      <c r="X23" s="28" t="n"/>
      <c r="Y23" s="28" t="n"/>
      <c r="Z23" s="28" t="n"/>
      <c r="AA23" s="28" t="n"/>
      <c r="AB23" s="113" t="n"/>
      <c r="AC23" s="113" t="n"/>
      <c r="AD23" s="28" t="n"/>
      <c r="AE23" s="28" t="n"/>
      <c r="AF23" s="28" t="n"/>
      <c r="AG23" s="28" t="n"/>
      <c r="AH23" s="28" t="n"/>
      <c r="AI23" s="113" t="n"/>
      <c r="AJ23" s="113" t="n"/>
      <c r="AK23" s="28" t="n"/>
      <c r="AL23" s="28" t="n"/>
      <c r="AM23" s="28" t="n"/>
      <c r="AN23" s="28" t="n"/>
      <c r="AO23" s="28" t="n"/>
      <c r="AP23" s="113" t="n"/>
      <c r="AQ23" s="113" t="n"/>
      <c r="AR23" s="28" t="n"/>
      <c r="AS23" s="28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29" t="n"/>
      <c r="Q24" s="29" t="n"/>
      <c r="R24" s="29" t="n"/>
      <c r="S24" s="29" t="n"/>
      <c r="T24" s="29" t="n"/>
      <c r="U24" s="122" t="n"/>
      <c r="V24" s="122" t="n"/>
      <c r="W24" s="29" t="n"/>
      <c r="X24" s="29" t="n"/>
      <c r="Y24" s="29" t="n"/>
      <c r="Z24" s="29" t="n"/>
      <c r="AA24" s="29" t="n"/>
      <c r="AB24" s="122" t="n"/>
      <c r="AC24" s="122" t="n"/>
      <c r="AD24" s="29" t="n"/>
      <c r="AE24" s="29" t="n"/>
      <c r="AF24" s="29" t="n"/>
      <c r="AG24" s="29" t="n"/>
      <c r="AH24" s="29" t="n"/>
      <c r="AI24" s="122" t="n"/>
      <c r="AJ24" s="122" t="n"/>
      <c r="AK24" s="29" t="n"/>
      <c r="AL24" s="29" t="n"/>
      <c r="AM24" s="29" t="n"/>
      <c r="AN24" s="29" t="n"/>
      <c r="AO24" s="29" t="n"/>
      <c r="AP24" s="122" t="n"/>
      <c r="AQ24" s="122" t="n"/>
      <c r="AR24" s="29" t="n"/>
      <c r="AS24" s="29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207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119">
        <f>COUNTIF(P26:AS26,"TP")</f>
        <v/>
      </c>
      <c r="P26" s="114" t="n"/>
      <c r="Q26" s="28" t="n"/>
      <c r="R26" s="28" t="n"/>
      <c r="S26" s="28" t="n"/>
      <c r="T26" s="28" t="n"/>
      <c r="U26" s="113" t="n"/>
      <c r="V26" s="113" t="n"/>
      <c r="W26" s="28" t="n"/>
      <c r="X26" s="28" t="n"/>
      <c r="Y26" s="28" t="n"/>
      <c r="Z26" s="28" t="n"/>
      <c r="AA26" s="28" t="n"/>
      <c r="AB26" s="113" t="n"/>
      <c r="AC26" s="113" t="n"/>
      <c r="AD26" s="28" t="n"/>
      <c r="AE26" s="28" t="n"/>
      <c r="AF26" s="28" t="n"/>
      <c r="AG26" s="28" t="n"/>
      <c r="AH26" s="28" t="n"/>
      <c r="AI26" s="113" t="n"/>
      <c r="AJ26" s="113" t="n"/>
      <c r="AK26" s="28" t="n"/>
      <c r="AL26" s="28" t="n"/>
      <c r="AM26" s="28" t="n"/>
      <c r="AN26" s="28" t="n"/>
      <c r="AO26" s="28" t="n"/>
      <c r="AP26" s="113" t="n"/>
      <c r="AQ26" s="113" t="n"/>
      <c r="AR26" s="28" t="n"/>
      <c r="AS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8" t="n"/>
      <c r="T27" s="8" t="n"/>
      <c r="U27" s="121" t="n"/>
      <c r="V27" s="121" t="n"/>
      <c r="W27" s="8" t="n"/>
      <c r="X27" s="8" t="n"/>
      <c r="Y27" s="8" t="n"/>
      <c r="Z27" s="8" t="n"/>
      <c r="AA27" s="8" t="n"/>
      <c r="AB27" s="121" t="n"/>
      <c r="AC27" s="121" t="n"/>
      <c r="AD27" s="8" t="n"/>
      <c r="AE27" s="8" t="n"/>
      <c r="AF27" s="8" t="n"/>
      <c r="AG27" s="8" t="n"/>
      <c r="AH27" s="8" t="n"/>
      <c r="AI27" s="121" t="n"/>
      <c r="AJ27" s="121" t="n"/>
      <c r="AK27" s="8" t="n"/>
      <c r="AL27" s="8" t="n"/>
      <c r="AM27" s="8" t="n"/>
      <c r="AN27" s="8" t="n"/>
      <c r="AO27" s="8" t="n"/>
      <c r="AP27" s="121" t="n"/>
      <c r="AQ27" s="121" t="n"/>
      <c r="AR27" s="8" t="n"/>
      <c r="AS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8" t="n"/>
      <c r="T28" s="8" t="n"/>
      <c r="U28" s="121" t="n"/>
      <c r="V28" s="121" t="n"/>
      <c r="W28" s="8" t="n"/>
      <c r="X28" s="8" t="n"/>
      <c r="Y28" s="8" t="n"/>
      <c r="Z28" s="8" t="n"/>
      <c r="AA28" s="8" t="n"/>
      <c r="AB28" s="121" t="n"/>
      <c r="AC28" s="121" t="n"/>
      <c r="AD28" s="8" t="n"/>
      <c r="AE28" s="8" t="n"/>
      <c r="AF28" s="8" t="n"/>
      <c r="AG28" s="8" t="n"/>
      <c r="AH28" s="8" t="n"/>
      <c r="AI28" s="121" t="n"/>
      <c r="AJ28" s="121" t="n"/>
      <c r="AK28" s="8" t="n"/>
      <c r="AL28" s="8" t="n"/>
      <c r="AM28" s="8" t="n"/>
      <c r="AN28" s="8" t="n"/>
      <c r="AO28" s="8" t="n"/>
      <c r="AP28" s="121" t="n"/>
      <c r="AQ28" s="121" t="n"/>
      <c r="AR28" s="8" t="n"/>
      <c r="AS28" s="43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67">
        <f>COUNTIF(P29:AS29,"TP")</f>
        <v/>
      </c>
      <c r="P29" s="194" t="n"/>
      <c r="Q29" s="195" t="n"/>
      <c r="R29" s="195" t="n"/>
      <c r="S29" s="195" t="n"/>
      <c r="T29" s="195" t="n"/>
      <c r="U29" s="168" t="n"/>
      <c r="V29" s="168" t="n"/>
      <c r="W29" s="195" t="n"/>
      <c r="X29" s="195" t="n"/>
      <c r="Y29" s="195" t="n"/>
      <c r="Z29" s="195" t="n"/>
      <c r="AA29" s="195" t="n"/>
      <c r="AB29" s="168" t="n"/>
      <c r="AC29" s="168" t="n"/>
      <c r="AD29" s="195" t="n"/>
      <c r="AE29" s="195" t="n"/>
      <c r="AF29" s="195" t="n"/>
      <c r="AG29" s="195" t="n"/>
      <c r="AH29" s="195" t="n"/>
      <c r="AI29" s="168" t="n"/>
      <c r="AJ29" s="168" t="n"/>
      <c r="AK29" s="195" t="n"/>
      <c r="AL29" s="195" t="n"/>
      <c r="AM29" s="195" t="n"/>
      <c r="AN29" s="195" t="n"/>
      <c r="AO29" s="195" t="n"/>
      <c r="AP29" s="168" t="n"/>
      <c r="AQ29" s="168" t="n"/>
      <c r="AR29" s="195" t="n"/>
      <c r="AS29" s="205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67">
        <f>COUNTIF(P31:AS31,"TP")</f>
        <v/>
      </c>
      <c r="P31" s="117" t="n"/>
      <c r="Q31" s="8" t="n"/>
      <c r="R31" s="8" t="n"/>
      <c r="S31" s="8" t="n"/>
      <c r="T31" s="8" t="n"/>
      <c r="U31" s="121" t="n"/>
      <c r="V31" s="121" t="n"/>
      <c r="W31" s="8" t="n"/>
      <c r="X31" s="8" t="n"/>
      <c r="Y31" s="8" t="n"/>
      <c r="Z31" s="8" t="n"/>
      <c r="AA31" s="8" t="n"/>
      <c r="AB31" s="121" t="n"/>
      <c r="AC31" s="121" t="n"/>
      <c r="AD31" s="8" t="n"/>
      <c r="AE31" s="8" t="n"/>
      <c r="AF31" s="8" t="n"/>
      <c r="AG31" s="8" t="n"/>
      <c r="AH31" s="8" t="n"/>
      <c r="AI31" s="121" t="n"/>
      <c r="AJ31" s="121" t="n"/>
      <c r="AK31" s="8" t="n"/>
      <c r="AL31" s="8" t="n"/>
      <c r="AM31" s="8" t="n"/>
      <c r="AN31" s="8" t="n"/>
      <c r="AO31" s="8" t="n"/>
      <c r="AP31" s="121" t="n"/>
      <c r="AQ31" s="121" t="n"/>
      <c r="AR31" s="8" t="n"/>
      <c r="AS31" s="43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67">
        <f>COUNTIF(P32:AS32,"TP")</f>
        <v/>
      </c>
      <c r="P32" s="117" t="n"/>
      <c r="Q32" s="8" t="n"/>
      <c r="R32" s="8" t="n"/>
      <c r="S32" s="8" t="n"/>
      <c r="T32" s="8" t="n"/>
      <c r="U32" s="121" t="n"/>
      <c r="V32" s="121" t="n"/>
      <c r="W32" s="8" t="n"/>
      <c r="X32" s="8" t="n"/>
      <c r="Y32" s="8" t="n"/>
      <c r="Z32" s="8" t="n"/>
      <c r="AA32" s="8" t="n"/>
      <c r="AB32" s="121" t="n"/>
      <c r="AC32" s="121" t="n"/>
      <c r="AD32" s="8" t="n"/>
      <c r="AE32" s="8" t="n"/>
      <c r="AF32" s="8" t="n"/>
      <c r="AG32" s="8" t="n"/>
      <c r="AH32" s="8" t="n"/>
      <c r="AI32" s="121" t="n"/>
      <c r="AJ32" s="121" t="n"/>
      <c r="AK32" s="8" t="n"/>
      <c r="AL32" s="8" t="n"/>
      <c r="AM32" s="8" t="n"/>
      <c r="AN32" s="8" t="n"/>
      <c r="AO32" s="8" t="n"/>
      <c r="AP32" s="121" t="n"/>
      <c r="AQ32" s="121" t="n"/>
      <c r="AR32" s="8" t="n"/>
      <c r="AS32" s="43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67">
        <f>COUNTIF(P33:AS33,"TP")</f>
        <v/>
      </c>
      <c r="P33" s="117" t="n"/>
      <c r="Q33" s="8" t="n"/>
      <c r="R33" s="8" t="n"/>
      <c r="S33" s="8" t="n"/>
      <c r="T33" s="8" t="n"/>
      <c r="U33" s="121" t="n"/>
      <c r="V33" s="121" t="n"/>
      <c r="W33" s="8" t="n"/>
      <c r="X33" s="8" t="n"/>
      <c r="Y33" s="8" t="n"/>
      <c r="Z33" s="8" t="n"/>
      <c r="AA33" s="8" t="n"/>
      <c r="AB33" s="121" t="n"/>
      <c r="AC33" s="121" t="n"/>
      <c r="AD33" s="8" t="n"/>
      <c r="AE33" s="8" t="n"/>
      <c r="AF33" s="8" t="n"/>
      <c r="AG33" s="8" t="n"/>
      <c r="AH33" s="8" t="n"/>
      <c r="AI33" s="121" t="n"/>
      <c r="AJ33" s="121" t="n"/>
      <c r="AK33" s="8" t="n"/>
      <c r="AL33" s="8" t="n"/>
      <c r="AM33" s="8" t="n"/>
      <c r="AN33" s="8" t="n"/>
      <c r="AO33" s="8" t="n"/>
      <c r="AP33" s="121" t="n"/>
      <c r="AQ33" s="121" t="n"/>
      <c r="AR33" s="8" t="n"/>
      <c r="AS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67">
        <f>COUNTIF(P34:AS34,"TP")</f>
        <v/>
      </c>
      <c r="P34" s="117" t="n"/>
      <c r="Q34" s="8" t="n"/>
      <c r="R34" s="8" t="n"/>
      <c r="S34" s="8" t="n"/>
      <c r="T34" s="8" t="n"/>
      <c r="U34" s="121" t="n"/>
      <c r="V34" s="121" t="n"/>
      <c r="W34" s="8" t="n"/>
      <c r="X34" s="8" t="n"/>
      <c r="Y34" s="8" t="n"/>
      <c r="Z34" s="8" t="n"/>
      <c r="AA34" s="8" t="n"/>
      <c r="AB34" s="121" t="n"/>
      <c r="AC34" s="121" t="n"/>
      <c r="AD34" s="8" t="n"/>
      <c r="AE34" s="8" t="n"/>
      <c r="AF34" s="8" t="n"/>
      <c r="AG34" s="8" t="n"/>
      <c r="AH34" s="8" t="n"/>
      <c r="AI34" s="121" t="n"/>
      <c r="AJ34" s="121" t="n"/>
      <c r="AK34" s="8" t="n"/>
      <c r="AL34" s="8" t="n"/>
      <c r="AM34" s="8" t="n"/>
      <c r="AN34" s="8" t="n"/>
      <c r="AO34" s="8" t="n"/>
      <c r="AP34" s="121" t="n"/>
      <c r="AQ34" s="121" t="n"/>
      <c r="AR34" s="8" t="n"/>
      <c r="AS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67">
        <f>COUNTIF(P35:AS35,"TP")</f>
        <v/>
      </c>
      <c r="P35" s="117" t="n"/>
      <c r="Q35" s="8" t="n"/>
      <c r="R35" s="8" t="n"/>
      <c r="S35" s="8" t="n"/>
      <c r="T35" s="8" t="n"/>
      <c r="U35" s="121" t="n"/>
      <c r="V35" s="121" t="n"/>
      <c r="W35" s="8" t="n"/>
      <c r="X35" s="8" t="n"/>
      <c r="Y35" s="8" t="n"/>
      <c r="Z35" s="8" t="n"/>
      <c r="AA35" s="8" t="n"/>
      <c r="AB35" s="121" t="n"/>
      <c r="AC35" s="121" t="n"/>
      <c r="AD35" s="8" t="n"/>
      <c r="AE35" s="8" t="n"/>
      <c r="AF35" s="8" t="n"/>
      <c r="AG35" s="8" t="n"/>
      <c r="AH35" s="8" t="n"/>
      <c r="AI35" s="121" t="n"/>
      <c r="AJ35" s="121" t="n"/>
      <c r="AK35" s="8" t="n"/>
      <c r="AL35" s="8" t="n"/>
      <c r="AM35" s="8" t="n"/>
      <c r="AN35" s="8" t="n"/>
      <c r="AO35" s="8" t="n"/>
      <c r="AP35" s="121" t="n"/>
      <c r="AQ35" s="121" t="n"/>
      <c r="AR35" s="8" t="n"/>
      <c r="AS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67">
        <f>COUNTIF(P36:AS36,"TP")</f>
        <v/>
      </c>
      <c r="P36" s="118" t="n"/>
      <c r="Q36" s="29" t="n"/>
      <c r="R36" s="29" t="n"/>
      <c r="S36" s="29" t="n"/>
      <c r="T36" s="29" t="n"/>
      <c r="U36" s="122" t="n"/>
      <c r="V36" s="122" t="n"/>
      <c r="W36" s="29" t="n"/>
      <c r="X36" s="29" t="n"/>
      <c r="Y36" s="29" t="n"/>
      <c r="Z36" s="29" t="n"/>
      <c r="AA36" s="29" t="n"/>
      <c r="AB36" s="122" t="n"/>
      <c r="AC36" s="122" t="n"/>
      <c r="AD36" s="29" t="n"/>
      <c r="AE36" s="29" t="n"/>
      <c r="AF36" s="29" t="n"/>
      <c r="AG36" s="29" t="n"/>
      <c r="AH36" s="29" t="n"/>
      <c r="AI36" s="122" t="n"/>
      <c r="AJ36" s="122" t="n"/>
      <c r="AK36" s="29" t="n"/>
      <c r="AL36" s="29" t="n"/>
      <c r="AM36" s="29" t="n"/>
      <c r="AN36" s="29" t="n"/>
      <c r="AO36" s="29" t="n"/>
      <c r="AP36" s="122" t="n"/>
      <c r="AQ36" s="122" t="n"/>
      <c r="AR36" s="29" t="n"/>
      <c r="AS36" s="44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51" t="n"/>
      <c r="AU39" s="15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8" t="n"/>
      <c r="T40" s="8" t="n"/>
      <c r="U40" s="121" t="n"/>
      <c r="V40" s="121" t="n"/>
      <c r="W40" s="8" t="n"/>
      <c r="X40" s="8" t="n"/>
      <c r="Y40" s="8" t="n"/>
      <c r="Z40" s="8" t="n"/>
      <c r="AA40" s="8" t="n"/>
      <c r="AB40" s="121" t="n"/>
      <c r="AC40" s="121" t="n"/>
      <c r="AD40" s="8" t="n"/>
      <c r="AE40" s="8" t="n"/>
      <c r="AF40" s="8" t="n"/>
      <c r="AG40" s="8" t="n"/>
      <c r="AH40" s="8" t="n"/>
      <c r="AI40" s="121" t="n"/>
      <c r="AJ40" s="121" t="n"/>
      <c r="AK40" s="8" t="n"/>
      <c r="AL40" s="8" t="n"/>
      <c r="AM40" s="8" t="n"/>
      <c r="AN40" s="8" t="n"/>
      <c r="AO40" s="8" t="n"/>
      <c r="AP40" s="121" t="n"/>
      <c r="AQ40" s="121" t="n"/>
      <c r="AR40" s="8" t="n"/>
      <c r="AS40" s="43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8" t="n"/>
      <c r="T41" s="8" t="n"/>
      <c r="U41" s="121" t="n"/>
      <c r="V41" s="121" t="n"/>
      <c r="W41" s="8" t="n"/>
      <c r="X41" s="8" t="n"/>
      <c r="Y41" s="8" t="n"/>
      <c r="Z41" s="8" t="n"/>
      <c r="AA41" s="8" t="n"/>
      <c r="AB41" s="121" t="n"/>
      <c r="AC41" s="121" t="n"/>
      <c r="AD41" s="8" t="n"/>
      <c r="AE41" s="8" t="n"/>
      <c r="AF41" s="8" t="n"/>
      <c r="AG41" s="8" t="n"/>
      <c r="AH41" s="8" t="n"/>
      <c r="AI41" s="121" t="n"/>
      <c r="AJ41" s="121" t="n"/>
      <c r="AK41" s="8" t="n"/>
      <c r="AL41" s="8" t="n"/>
      <c r="AM41" s="8" t="n"/>
      <c r="AN41" s="8" t="n"/>
      <c r="AO41" s="8" t="n"/>
      <c r="AP41" s="121" t="n"/>
      <c r="AQ41" s="121" t="n"/>
      <c r="AR41" s="8" t="n"/>
      <c r="AS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8" t="n"/>
      <c r="T42" s="8" t="n"/>
      <c r="U42" s="121" t="n"/>
      <c r="V42" s="121" t="n"/>
      <c r="W42" s="8" t="n"/>
      <c r="X42" s="8" t="n"/>
      <c r="Y42" s="8" t="n"/>
      <c r="Z42" s="8" t="n"/>
      <c r="AA42" s="8" t="n"/>
      <c r="AB42" s="121" t="n"/>
      <c r="AC42" s="121" t="n"/>
      <c r="AD42" s="8" t="n"/>
      <c r="AE42" s="8" t="n"/>
      <c r="AF42" s="8" t="n"/>
      <c r="AG42" s="8" t="n"/>
      <c r="AH42" s="8" t="n"/>
      <c r="AI42" s="121" t="n"/>
      <c r="AJ42" s="121" t="n"/>
      <c r="AK42" s="8" t="n"/>
      <c r="AL42" s="8" t="n"/>
      <c r="AM42" s="8" t="n"/>
      <c r="AN42" s="8" t="n"/>
      <c r="AO42" s="8" t="n"/>
      <c r="AP42" s="121" t="n"/>
      <c r="AQ42" s="121" t="n"/>
      <c r="AR42" s="8" t="n"/>
      <c r="AS42" s="43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8" t="n"/>
      <c r="T43" s="8" t="n"/>
      <c r="U43" s="121" t="n"/>
      <c r="V43" s="121" t="n"/>
      <c r="W43" s="8" t="n"/>
      <c r="X43" s="8" t="n"/>
      <c r="Y43" s="8" t="n"/>
      <c r="Z43" s="8" t="n"/>
      <c r="AA43" s="8" t="n"/>
      <c r="AB43" s="121" t="n"/>
      <c r="AC43" s="121" t="n"/>
      <c r="AD43" s="8" t="n"/>
      <c r="AE43" s="8" t="n"/>
      <c r="AF43" s="8" t="n"/>
      <c r="AG43" s="8" t="n"/>
      <c r="AH43" s="8" t="n"/>
      <c r="AI43" s="121" t="n"/>
      <c r="AJ43" s="121" t="n"/>
      <c r="AK43" s="8" t="n"/>
      <c r="AL43" s="8" t="n"/>
      <c r="AM43" s="8" t="n"/>
      <c r="AN43" s="8" t="n"/>
      <c r="AO43" s="8" t="n"/>
      <c r="AP43" s="121" t="n"/>
      <c r="AQ43" s="121" t="n"/>
      <c r="AR43" s="8" t="n"/>
      <c r="AS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8" t="n"/>
      <c r="T44" s="8" t="n"/>
      <c r="U44" s="121" t="n"/>
      <c r="V44" s="121" t="n"/>
      <c r="W44" s="8" t="n"/>
      <c r="X44" s="8" t="n"/>
      <c r="Y44" s="8" t="n"/>
      <c r="Z44" s="8" t="n"/>
      <c r="AA44" s="8" t="n"/>
      <c r="AB44" s="121" t="n"/>
      <c r="AC44" s="121" t="n"/>
      <c r="AD44" s="8" t="n"/>
      <c r="AE44" s="8" t="n"/>
      <c r="AF44" s="8" t="n"/>
      <c r="AG44" s="8" t="n"/>
      <c r="AH44" s="8" t="n"/>
      <c r="AI44" s="121" t="n"/>
      <c r="AJ44" s="121" t="n"/>
      <c r="AK44" s="8" t="n"/>
      <c r="AL44" s="8" t="n"/>
      <c r="AM44" s="8" t="n"/>
      <c r="AN44" s="8" t="n"/>
      <c r="AO44" s="8" t="n"/>
      <c r="AP44" s="121" t="n"/>
      <c r="AQ44" s="121" t="n"/>
      <c r="AR44" s="8" t="n"/>
      <c r="AS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inlineStr">
        <is>
          <t>AT</t>
        </is>
      </c>
      <c r="Q45" s="8" t="inlineStr">
        <is>
          <t>AT</t>
        </is>
      </c>
      <c r="R45" s="8" t="inlineStr">
        <is>
          <t>AT</t>
        </is>
      </c>
      <c r="S45" s="8" t="inlineStr">
        <is>
          <t>AT</t>
        </is>
      </c>
      <c r="T45" s="8" t="inlineStr">
        <is>
          <t>AT</t>
        </is>
      </c>
      <c r="U45" s="8" t="inlineStr">
        <is>
          <t>AT</t>
        </is>
      </c>
      <c r="V45" s="8" t="inlineStr">
        <is>
          <t>AT</t>
        </is>
      </c>
      <c r="W45" s="8" t="inlineStr">
        <is>
          <t>AT</t>
        </is>
      </c>
      <c r="X45" s="8" t="inlineStr">
        <is>
          <t>AT</t>
        </is>
      </c>
      <c r="Y45" s="8" t="inlineStr">
        <is>
          <t>AT</t>
        </is>
      </c>
      <c r="Z45" s="8" t="inlineStr">
        <is>
          <t>AT</t>
        </is>
      </c>
      <c r="AA45" s="8" t="inlineStr">
        <is>
          <t>AT</t>
        </is>
      </c>
      <c r="AB45" s="8" t="inlineStr">
        <is>
          <t>AT</t>
        </is>
      </c>
      <c r="AC45" s="8" t="inlineStr">
        <is>
          <t>AT</t>
        </is>
      </c>
      <c r="AD45" s="8" t="inlineStr">
        <is>
          <t>AT</t>
        </is>
      </c>
      <c r="AE45" s="8" t="inlineStr">
        <is>
          <t>AT</t>
        </is>
      </c>
      <c r="AF45" s="8" t="inlineStr">
        <is>
          <t>AT</t>
        </is>
      </c>
      <c r="AG45" s="8" t="inlineStr">
        <is>
          <t>AT</t>
        </is>
      </c>
      <c r="AH45" s="8" t="inlineStr">
        <is>
          <t>AT</t>
        </is>
      </c>
      <c r="AI45" s="8" t="inlineStr">
        <is>
          <t>AT</t>
        </is>
      </c>
      <c r="AJ45" s="8" t="inlineStr">
        <is>
          <t>AT</t>
        </is>
      </c>
      <c r="AK45" s="8" t="inlineStr">
        <is>
          <t>AT</t>
        </is>
      </c>
      <c r="AL45" s="8" t="inlineStr">
        <is>
          <t>AT</t>
        </is>
      </c>
      <c r="AM45" s="8" t="inlineStr">
        <is>
          <t>AT</t>
        </is>
      </c>
      <c r="AN45" s="8" t="inlineStr">
        <is>
          <t>AT</t>
        </is>
      </c>
      <c r="AO45" s="8" t="inlineStr">
        <is>
          <t>AT</t>
        </is>
      </c>
      <c r="AP45" s="8" t="inlineStr">
        <is>
          <t>AT</t>
        </is>
      </c>
      <c r="AQ45" s="8" t="inlineStr">
        <is>
          <t>AT</t>
        </is>
      </c>
      <c r="AR45" s="8" t="inlineStr">
        <is>
          <t>AT</t>
        </is>
      </c>
      <c r="AS45" s="43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8" t="n"/>
      <c r="T46" s="8" t="n"/>
      <c r="U46" s="121" t="n"/>
      <c r="V46" s="121" t="n"/>
      <c r="W46" s="8" t="n"/>
      <c r="X46" s="8" t="n"/>
      <c r="Y46" s="8" t="n"/>
      <c r="Z46" s="8" t="n"/>
      <c r="AA46" s="8" t="n"/>
      <c r="AB46" s="121" t="n"/>
      <c r="AC46" s="121" t="n"/>
      <c r="AD46" s="8" t="n"/>
      <c r="AE46" s="8" t="n"/>
      <c r="AF46" s="8" t="n"/>
      <c r="AG46" s="8" t="n"/>
      <c r="AH46" s="8" t="n"/>
      <c r="AI46" s="121" t="n"/>
      <c r="AJ46" s="121" t="n"/>
      <c r="AK46" s="8" t="n"/>
      <c r="AL46" s="8" t="n"/>
      <c r="AM46" s="8" t="n"/>
      <c r="AN46" s="8" t="n"/>
      <c r="AO46" s="8" t="n"/>
      <c r="AP46" s="121" t="n"/>
      <c r="AQ46" s="121" t="n"/>
      <c r="AR46" s="8" t="n"/>
      <c r="AS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8" t="n"/>
      <c r="T47" s="8" t="n"/>
      <c r="U47" s="121" t="n"/>
      <c r="V47" s="121" t="n"/>
      <c r="W47" s="8" t="n"/>
      <c r="X47" s="8" t="n"/>
      <c r="Y47" s="8" t="n"/>
      <c r="Z47" s="8" t="n"/>
      <c r="AA47" s="8" t="n"/>
      <c r="AB47" s="121" t="n"/>
      <c r="AC47" s="121" t="n"/>
      <c r="AD47" s="8" t="n"/>
      <c r="AE47" s="8" t="n"/>
      <c r="AF47" s="8" t="n"/>
      <c r="AG47" s="8" t="n"/>
      <c r="AH47" s="8" t="n"/>
      <c r="AI47" s="121" t="n"/>
      <c r="AJ47" s="121" t="n"/>
      <c r="AK47" s="8" t="n"/>
      <c r="AL47" s="8" t="n"/>
      <c r="AM47" s="8" t="n"/>
      <c r="AN47" s="8" t="n"/>
      <c r="AO47" s="8" t="n"/>
      <c r="AP47" s="121" t="n"/>
      <c r="AQ47" s="121" t="n"/>
      <c r="AR47" s="8" t="n"/>
      <c r="AS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8" t="n"/>
      <c r="T48" s="8" t="n"/>
      <c r="U48" s="121" t="n"/>
      <c r="V48" s="121" t="n"/>
      <c r="W48" s="8" t="n"/>
      <c r="X48" s="8" t="n"/>
      <c r="Y48" s="8" t="n"/>
      <c r="Z48" s="8" t="n"/>
      <c r="AA48" s="8" t="n"/>
      <c r="AB48" s="121" t="n"/>
      <c r="AC48" s="121" t="n"/>
      <c r="AD48" s="8" t="n"/>
      <c r="AE48" s="8" t="n"/>
      <c r="AF48" s="8" t="n"/>
      <c r="AG48" s="8" t="n"/>
      <c r="AH48" s="8" t="n"/>
      <c r="AI48" s="121" t="n"/>
      <c r="AJ48" s="121" t="n"/>
      <c r="AK48" s="8" t="n"/>
      <c r="AL48" s="8" t="n"/>
      <c r="AM48" s="8" t="n"/>
      <c r="AN48" s="8" t="n"/>
      <c r="AO48" s="8" t="n"/>
      <c r="AP48" s="121" t="n"/>
      <c r="AQ48" s="121" t="n"/>
      <c r="AR48" s="8" t="n"/>
      <c r="AS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8" t="n"/>
      <c r="Q49" s="29" t="n"/>
      <c r="R49" s="29" t="n"/>
      <c r="S49" s="29" t="n"/>
      <c r="T49" s="29" t="n"/>
      <c r="U49" s="122" t="n"/>
      <c r="V49" s="122" t="n"/>
      <c r="W49" s="29" t="n"/>
      <c r="X49" s="29" t="n"/>
      <c r="Y49" s="29" t="n"/>
      <c r="Z49" s="29" t="n"/>
      <c r="AA49" s="29" t="n"/>
      <c r="AB49" s="122" t="n"/>
      <c r="AC49" s="122" t="n"/>
      <c r="AD49" s="29" t="n"/>
      <c r="AE49" s="29" t="n"/>
      <c r="AF49" s="29" t="n"/>
      <c r="AG49" s="29" t="n"/>
      <c r="AH49" s="29" t="n"/>
      <c r="AI49" s="122" t="n"/>
      <c r="AJ49" s="122" t="n"/>
      <c r="AK49" s="29" t="n"/>
      <c r="AL49" s="29" t="n"/>
      <c r="AM49" s="29" t="n"/>
      <c r="AN49" s="29" t="n"/>
      <c r="AO49" s="29" t="n"/>
      <c r="AP49" s="122" t="n"/>
      <c r="AQ49" s="122" t="n"/>
      <c r="AR49" s="29" t="n"/>
      <c r="AS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14" t="n"/>
      <c r="Q51" s="28" t="n"/>
      <c r="R51" s="28" t="n"/>
      <c r="S51" s="28" t="n"/>
      <c r="T51" s="28" t="n"/>
      <c r="U51" s="121" t="n"/>
      <c r="V51" s="121" t="n"/>
      <c r="W51" s="28" t="n"/>
      <c r="X51" s="28" t="n"/>
      <c r="Y51" s="28" t="n"/>
      <c r="Z51" s="28" t="n"/>
      <c r="AA51" s="28" t="n"/>
      <c r="AB51" s="113" t="n"/>
      <c r="AC51" s="113" t="n"/>
      <c r="AD51" s="28" t="n"/>
      <c r="AE51" s="28" t="n"/>
      <c r="AF51" s="28" t="n"/>
      <c r="AG51" s="28" t="n"/>
      <c r="AH51" s="28" t="n"/>
      <c r="AI51" s="227" t="n"/>
      <c r="AJ51" s="227" t="n"/>
      <c r="AK51" s="150" t="n"/>
      <c r="AL51" s="28" t="n"/>
      <c r="AM51" s="28" t="n"/>
      <c r="AN51" s="28" t="n"/>
      <c r="AO51" s="28" t="n"/>
      <c r="AP51" s="113" t="n"/>
      <c r="AQ51" s="113" t="n"/>
      <c r="AR51" s="28" t="n"/>
      <c r="AS51" s="42" t="n"/>
      <c r="AU51" s="15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8" t="n"/>
      <c r="T52" s="8" t="n"/>
      <c r="U52" s="121" t="n"/>
      <c r="V52" s="121" t="n"/>
      <c r="W52" s="8" t="n"/>
      <c r="X52" s="8" t="n"/>
      <c r="Y52" s="8" t="n"/>
      <c r="Z52" s="8" t="n"/>
      <c r="AA52" s="8" t="n"/>
      <c r="AB52" s="121" t="n"/>
      <c r="AC52" s="121" t="n"/>
      <c r="AD52" s="8" t="n"/>
      <c r="AE52" s="8" t="n"/>
      <c r="AF52" s="8" t="n"/>
      <c r="AG52" s="8" t="n"/>
      <c r="AH52" s="8" t="n"/>
      <c r="AI52" s="121" t="n"/>
      <c r="AJ52" s="121" t="n"/>
      <c r="AK52" s="8" t="n"/>
      <c r="AL52" s="8" t="n"/>
      <c r="AM52" s="8" t="n"/>
      <c r="AN52" s="8" t="n"/>
      <c r="AO52" s="8" t="n"/>
      <c r="AP52" s="121" t="n"/>
      <c r="AQ52" s="121" t="n"/>
      <c r="AR52" s="8" t="n"/>
      <c r="AS52" s="43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8" t="n"/>
      <c r="T53" s="8" t="n"/>
      <c r="U53" s="121" t="n"/>
      <c r="V53" s="121" t="n"/>
      <c r="W53" s="8" t="n"/>
      <c r="X53" s="8" t="n"/>
      <c r="Y53" s="8" t="n"/>
      <c r="Z53" s="8" t="n"/>
      <c r="AA53" s="8" t="n"/>
      <c r="AB53" s="121" t="n"/>
      <c r="AC53" s="121" t="n"/>
      <c r="AD53" s="8" t="n"/>
      <c r="AE53" s="8" t="n"/>
      <c r="AF53" s="8" t="n"/>
      <c r="AG53" s="8" t="n"/>
      <c r="AH53" s="8" t="n"/>
      <c r="AI53" s="121" t="n"/>
      <c r="AJ53" s="121" t="n"/>
      <c r="AK53" s="8" t="n"/>
      <c r="AL53" s="8" t="n"/>
      <c r="AM53" s="8" t="n"/>
      <c r="AN53" s="8" t="n"/>
      <c r="AO53" s="8" t="n"/>
      <c r="AP53" s="121" t="n"/>
      <c r="AQ53" s="121" t="n"/>
      <c r="AR53" s="8" t="n"/>
      <c r="AS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8" t="n"/>
      <c r="T54" s="8" t="n"/>
      <c r="U54" s="121" t="n"/>
      <c r="V54" s="121" t="n"/>
      <c r="W54" s="8" t="n"/>
      <c r="X54" s="8" t="n"/>
      <c r="Y54" s="8" t="n"/>
      <c r="Z54" s="8" t="n"/>
      <c r="AA54" s="8" t="n"/>
      <c r="AB54" s="121" t="n"/>
      <c r="AC54" s="121" t="n"/>
      <c r="AD54" s="8" t="n"/>
      <c r="AE54" s="8" t="n"/>
      <c r="AF54" s="8" t="n"/>
      <c r="AG54" s="8" t="n"/>
      <c r="AH54" s="8" t="n"/>
      <c r="AI54" s="121" t="n"/>
      <c r="AJ54" s="121" t="n"/>
      <c r="AK54" s="8" t="n"/>
      <c r="AL54" s="8" t="n"/>
      <c r="AM54" s="8" t="n"/>
      <c r="AN54" s="8" t="n"/>
      <c r="AO54" s="8" t="n"/>
      <c r="AP54" s="121" t="n"/>
      <c r="AQ54" s="121" t="n"/>
      <c r="AR54" s="8" t="n"/>
      <c r="AS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8" t="n"/>
      <c r="T55" s="8" t="n"/>
      <c r="U55" s="121" t="n"/>
      <c r="V55" s="121" t="n"/>
      <c r="W55" s="8" t="n"/>
      <c r="X55" s="8" t="n"/>
      <c r="Y55" s="8" t="n"/>
      <c r="Z55" s="8" t="n"/>
      <c r="AA55" s="8" t="n"/>
      <c r="AB55" s="121" t="n"/>
      <c r="AC55" s="121" t="n"/>
      <c r="AD55" s="8" t="n"/>
      <c r="AE55" s="8" t="n"/>
      <c r="AF55" s="8" t="n"/>
      <c r="AG55" s="8" t="n"/>
      <c r="AH55" s="8" t="n"/>
      <c r="AI55" s="121" t="n"/>
      <c r="AJ55" s="121" t="n"/>
      <c r="AK55" s="8" t="n"/>
      <c r="AL55" s="8" t="n"/>
      <c r="AM55" s="8" t="n"/>
      <c r="AN55" s="8" t="n"/>
      <c r="AO55" s="8" t="n"/>
      <c r="AP55" s="121" t="n"/>
      <c r="AQ55" s="121" t="n"/>
      <c r="AR55" s="8" t="n"/>
      <c r="AS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8" t="n"/>
      <c r="T56" s="8" t="n"/>
      <c r="U56" s="121" t="n"/>
      <c r="V56" s="121" t="n"/>
      <c r="W56" s="8" t="n"/>
      <c r="X56" s="8" t="n"/>
      <c r="Y56" s="8" t="n"/>
      <c r="Z56" s="8" t="n"/>
      <c r="AA56" s="8" t="n"/>
      <c r="AB56" s="121" t="n"/>
      <c r="AC56" s="121" t="n"/>
      <c r="AD56" s="8" t="n"/>
      <c r="AE56" s="8" t="n"/>
      <c r="AF56" s="8" t="n"/>
      <c r="AG56" s="8" t="n"/>
      <c r="AH56" s="8" t="n"/>
      <c r="AI56" s="121" t="n"/>
      <c r="AJ56" s="121" t="n"/>
      <c r="AK56" s="8" t="n"/>
      <c r="AL56" s="8" t="n"/>
      <c r="AM56" s="8" t="n"/>
      <c r="AN56" s="8" t="n"/>
      <c r="AO56" s="8" t="n"/>
      <c r="AP56" s="121" t="n"/>
      <c r="AQ56" s="121" t="n"/>
      <c r="AR56" s="8" t="n"/>
      <c r="AS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8" t="n"/>
      <c r="T57" s="8" t="n"/>
      <c r="U57" s="121" t="n"/>
      <c r="V57" s="121" t="n"/>
      <c r="W57" s="8" t="n"/>
      <c r="X57" s="8" t="n"/>
      <c r="Y57" s="8" t="n"/>
      <c r="Z57" s="8" t="n"/>
      <c r="AA57" s="8" t="n"/>
      <c r="AB57" s="121" t="n"/>
      <c r="AC57" s="121" t="n"/>
      <c r="AD57" s="8" t="n"/>
      <c r="AE57" s="8" t="n"/>
      <c r="AF57" s="8" t="n"/>
      <c r="AG57" s="8" t="n"/>
      <c r="AH57" s="8" t="n"/>
      <c r="AI57" s="121" t="n"/>
      <c r="AJ57" s="121" t="n"/>
      <c r="AK57" s="8" t="n"/>
      <c r="AL57" s="8" t="n"/>
      <c r="AM57" s="8" t="n"/>
      <c r="AN57" s="8" t="n"/>
      <c r="AO57" s="8" t="n"/>
      <c r="AP57" s="121" t="n"/>
      <c r="AQ57" s="121" t="n"/>
      <c r="AR57" s="8" t="n"/>
      <c r="AS57" s="43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8" t="n"/>
      <c r="T58" s="8" t="n"/>
      <c r="U58" s="121" t="n"/>
      <c r="V58" s="121" t="n"/>
      <c r="W58" s="8" t="n"/>
      <c r="X58" s="8" t="n"/>
      <c r="Y58" s="8" t="n"/>
      <c r="Z58" s="8" t="n"/>
      <c r="AA58" s="8" t="n"/>
      <c r="AB58" s="121" t="n"/>
      <c r="AC58" s="121" t="n"/>
      <c r="AD58" s="8" t="n"/>
      <c r="AE58" s="8" t="n"/>
      <c r="AF58" s="8" t="n"/>
      <c r="AG58" s="8" t="n"/>
      <c r="AH58" s="8" t="n"/>
      <c r="AI58" s="121" t="n"/>
      <c r="AJ58" s="121" t="n"/>
      <c r="AK58" s="8" t="n"/>
      <c r="AL58" s="8" t="n"/>
      <c r="AM58" s="8" t="n"/>
      <c r="AN58" s="8" t="n"/>
      <c r="AO58" s="8" t="n"/>
      <c r="AP58" s="121" t="n"/>
      <c r="AQ58" s="121" t="n"/>
      <c r="AR58" s="8" t="n"/>
      <c r="AS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8" t="n"/>
      <c r="T59" s="8" t="n"/>
      <c r="U59" s="121" t="n"/>
      <c r="V59" s="121" t="n"/>
      <c r="W59" s="8" t="n"/>
      <c r="X59" s="8" t="n"/>
      <c r="Y59" s="8" t="n"/>
      <c r="Z59" s="8" t="n"/>
      <c r="AA59" s="8" t="n"/>
      <c r="AB59" s="121" t="n"/>
      <c r="AC59" s="121" t="n"/>
      <c r="AD59" s="8" t="n"/>
      <c r="AE59" s="8" t="n"/>
      <c r="AF59" s="8" t="n"/>
      <c r="AG59" s="8" t="n"/>
      <c r="AH59" s="8" t="n"/>
      <c r="AI59" s="121" t="n"/>
      <c r="AJ59" s="121" t="n"/>
      <c r="AK59" s="8" t="n"/>
      <c r="AL59" s="8" t="n"/>
      <c r="AM59" s="8" t="n"/>
      <c r="AN59" s="8" t="n"/>
      <c r="AO59" s="8" t="n"/>
      <c r="AP59" s="121" t="n"/>
      <c r="AQ59" s="121" t="n"/>
      <c r="AR59" s="8" t="n"/>
      <c r="AS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8" t="n"/>
      <c r="T60" s="8" t="n"/>
      <c r="U60" s="121" t="n"/>
      <c r="V60" s="121" t="n"/>
      <c r="W60" s="8" t="n"/>
      <c r="X60" s="8" t="n"/>
      <c r="Y60" s="8" t="n"/>
      <c r="Z60" s="8" t="n"/>
      <c r="AA60" s="8" t="n"/>
      <c r="AB60" s="121" t="n"/>
      <c r="AC60" s="121" t="n"/>
      <c r="AD60" s="8" t="n"/>
      <c r="AE60" s="8" t="n"/>
      <c r="AF60" s="8" t="n"/>
      <c r="AG60" s="8" t="n"/>
      <c r="AH60" s="8" t="n"/>
      <c r="AI60" s="121" t="n"/>
      <c r="AJ60" s="121" t="n"/>
      <c r="AK60" s="8" t="n"/>
      <c r="AL60" s="8" t="n"/>
      <c r="AM60" s="8" t="n"/>
      <c r="AN60" s="8" t="n"/>
      <c r="AO60" s="8" t="n"/>
      <c r="AP60" s="121" t="n"/>
      <c r="AQ60" s="121" t="n"/>
      <c r="AR60" s="8" t="n"/>
      <c r="AS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8" t="n"/>
      <c r="T61" s="8" t="n"/>
      <c r="U61" s="121" t="n"/>
      <c r="V61" s="121" t="n"/>
      <c r="W61" s="8" t="n"/>
      <c r="X61" s="8" t="n"/>
      <c r="Y61" s="8" t="n"/>
      <c r="Z61" s="8" t="n"/>
      <c r="AA61" s="8" t="n"/>
      <c r="AB61" s="121" t="n"/>
      <c r="AC61" s="121" t="n"/>
      <c r="AD61" s="8" t="n"/>
      <c r="AE61" s="8" t="n"/>
      <c r="AF61" s="8" t="n"/>
      <c r="AG61" s="8" t="n"/>
      <c r="AH61" s="8" t="n"/>
      <c r="AI61" s="121" t="n"/>
      <c r="AJ61" s="121" t="n"/>
      <c r="AK61" s="8" t="n"/>
      <c r="AL61" s="8" t="n"/>
      <c r="AM61" s="8" t="n"/>
      <c r="AN61" s="8" t="n"/>
      <c r="AO61" s="8" t="n"/>
      <c r="AP61" s="121" t="n"/>
      <c r="AQ61" s="121" t="n"/>
      <c r="AR61" s="8" t="n"/>
      <c r="AS61" s="43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18" t="n"/>
      <c r="Q62" s="29" t="n"/>
      <c r="R62" s="29" t="n"/>
      <c r="S62" s="29" t="n"/>
      <c r="T62" s="29" t="n"/>
      <c r="U62" s="122" t="n"/>
      <c r="V62" s="122" t="n"/>
      <c r="W62" s="29" t="n"/>
      <c r="X62" s="29" t="n"/>
      <c r="Y62" s="29" t="n"/>
      <c r="Z62" s="29" t="n"/>
      <c r="AA62" s="29" t="n"/>
      <c r="AB62" s="122" t="n"/>
      <c r="AC62" s="122" t="n"/>
      <c r="AD62" s="29" t="n"/>
      <c r="AE62" s="29" t="n"/>
      <c r="AF62" s="29" t="n"/>
      <c r="AG62" s="29" t="n"/>
      <c r="AH62" s="29" t="n"/>
      <c r="AI62" s="122" t="n"/>
      <c r="AJ62" s="122" t="n"/>
      <c r="AK62" s="29" t="n"/>
      <c r="AL62" s="29" t="n"/>
      <c r="AM62" s="29" t="n"/>
      <c r="AN62" s="29" t="n"/>
      <c r="AO62" s="29" t="n"/>
      <c r="AP62" s="122" t="n"/>
      <c r="AQ62" s="122" t="n"/>
      <c r="AR62" s="29" t="n"/>
      <c r="AS62" s="44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28" t="n"/>
      <c r="T64" s="28" t="n"/>
      <c r="U64" s="113" t="n"/>
      <c r="V64" s="113" t="n"/>
      <c r="W64" s="28" t="n"/>
      <c r="X64" s="28" t="n"/>
      <c r="Y64" s="28" t="n"/>
      <c r="Z64" s="28" t="n"/>
      <c r="AA64" s="28" t="n"/>
      <c r="AB64" s="113" t="n"/>
      <c r="AC64" s="113" t="n"/>
      <c r="AD64" s="28" t="n"/>
      <c r="AE64" s="28" t="n"/>
      <c r="AF64" s="28" t="n"/>
      <c r="AG64" s="28" t="n"/>
      <c r="AH64" s="28" t="n"/>
      <c r="AI64" s="113" t="n"/>
      <c r="AJ64" s="113" t="n"/>
      <c r="AK64" s="28" t="n"/>
      <c r="AL64" s="28" t="n"/>
      <c r="AM64" s="28" t="n"/>
      <c r="AN64" s="28" t="n"/>
      <c r="AO64" s="28" t="n"/>
      <c r="AP64" s="113" t="n"/>
      <c r="AQ64" s="113" t="n"/>
      <c r="AR64" s="28" t="n"/>
      <c r="AS64" s="42" t="n"/>
      <c r="AU64" s="15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8" t="n"/>
      <c r="T65" s="8" t="n"/>
      <c r="U65" s="121" t="n"/>
      <c r="V65" s="121" t="n"/>
      <c r="W65" s="8" t="n"/>
      <c r="X65" s="8" t="n"/>
      <c r="Y65" s="8" t="n"/>
      <c r="Z65" s="8" t="n"/>
      <c r="AA65" s="8" t="n"/>
      <c r="AB65" s="121" t="n"/>
      <c r="AC65" s="121" t="n"/>
      <c r="AD65" s="8" t="n"/>
      <c r="AE65" s="8" t="n"/>
      <c r="AF65" s="8" t="n"/>
      <c r="AG65" s="8" t="n"/>
      <c r="AH65" s="8" t="n"/>
      <c r="AI65" s="121" t="n"/>
      <c r="AJ65" s="121" t="n"/>
      <c r="AK65" s="8" t="n"/>
      <c r="AL65" s="8" t="n"/>
      <c r="AM65" s="8" t="n"/>
      <c r="AN65" s="8" t="n"/>
      <c r="AO65" s="8" t="n"/>
      <c r="AP65" s="121" t="n"/>
      <c r="AQ65" s="121" t="n"/>
      <c r="AR65" s="8" t="n"/>
      <c r="AS65" s="43" t="n"/>
      <c r="AU65" s="27">
        <f>COUNTIF(P64:AS73,"P")</f>
        <v/>
      </c>
      <c r="AV65" s="27">
        <f>COUNTIF(P64:AS73,"PC")</f>
        <v/>
      </c>
      <c r="AW65" s="27">
        <f>COUNTIF(P64:AS73,"F")</f>
        <v/>
      </c>
      <c r="AX65" s="27">
        <f>COUNTIF(P64:AS73,"AST")</f>
        <v/>
      </c>
      <c r="AY65" s="27">
        <f>COUNTIF(P64:AS73,"Ca")</f>
        <v/>
      </c>
      <c r="AZ65" s="27">
        <f>COUNTIF(P64:AS73,"RTT")</f>
        <v/>
      </c>
      <c r="BA65" s="27">
        <f>COUNTIF(P64:AS73,"CEX")</f>
        <v/>
      </c>
      <c r="BB65" s="27">
        <f>COUNTIF(P64:AS73,"RES")</f>
        <v/>
      </c>
      <c r="BC65" s="27">
        <f>COUNTIF(P64:AS73,"MA")</f>
        <v/>
      </c>
      <c r="BD65" s="27">
        <f>COUNTIF(P64:AS73,"AT")</f>
        <v/>
      </c>
      <c r="BE65" s="27">
        <f>COUNTIF(P64:AS73,"TP")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8" t="n"/>
      <c r="T66" s="8" t="n"/>
      <c r="U66" s="121" t="n"/>
      <c r="V66" s="121" t="n"/>
      <c r="W66" s="8" t="n"/>
      <c r="X66" s="8" t="n"/>
      <c r="Y66" s="8" t="n"/>
      <c r="Z66" s="8" t="n"/>
      <c r="AA66" s="8" t="n"/>
      <c r="AB66" s="121" t="n"/>
      <c r="AC66" s="121" t="n"/>
      <c r="AD66" s="8" t="n"/>
      <c r="AE66" s="8" t="n"/>
      <c r="AF66" s="8" t="n"/>
      <c r="AG66" s="8" t="n"/>
      <c r="AH66" s="8" t="n"/>
      <c r="AI66" s="121" t="n"/>
      <c r="AJ66" s="121" t="n"/>
      <c r="AK66" s="8" t="n"/>
      <c r="AL66" s="8" t="n"/>
      <c r="AM66" s="8" t="n"/>
      <c r="AN66" s="8" t="n"/>
      <c r="AO66" s="8" t="n"/>
      <c r="AP66" s="121" t="n"/>
      <c r="AQ66" s="121" t="n"/>
      <c r="AR66" s="8" t="n"/>
      <c r="AS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COUNTIF(P67:AS67,"p")</f>
        <v/>
      </c>
      <c r="E67" s="116">
        <f>COUNTIF(P67:AS67,"PC")</f>
        <v/>
      </c>
      <c r="F67" s="116">
        <f>COUNTIF(P67:AS67,"f")</f>
        <v/>
      </c>
      <c r="G67" s="116">
        <f>COUNTIF(P67:AS67,"ast")</f>
        <v/>
      </c>
      <c r="H67" s="116">
        <f>COUNTIF(P67:AS67,"cA")</f>
        <v/>
      </c>
      <c r="I67" s="116">
        <f>COUNTIF(P67:AS67,"rtt")</f>
        <v/>
      </c>
      <c r="J67" s="116">
        <f>COUNTIF(P67:AS67,"cex")</f>
        <v/>
      </c>
      <c r="K67" s="116">
        <f>COUNTIF(P67:AS67,"res")</f>
        <v/>
      </c>
      <c r="L67" s="116">
        <f>COUNTIF(P67:AS67,"mA")</f>
        <v/>
      </c>
      <c r="M67" s="116">
        <f>COUNTIF(P67:AS67,"at")</f>
        <v/>
      </c>
      <c r="N67" s="116">
        <f>COUNTIF(P67:AS67,"TAD")</f>
        <v/>
      </c>
      <c r="O67" s="120">
        <f>COUNTIF(P67:AS67,"TP")</f>
        <v/>
      </c>
      <c r="P67" s="118" t="n"/>
      <c r="Q67" s="29" t="n"/>
      <c r="R67" s="29" t="n"/>
      <c r="S67" s="29" t="n"/>
      <c r="T67" s="29" t="n"/>
      <c r="U67" s="122" t="n"/>
      <c r="V67" s="122" t="n"/>
      <c r="W67" s="29" t="n"/>
      <c r="X67" s="29" t="n"/>
      <c r="Y67" s="29" t="n"/>
      <c r="Z67" s="29" t="n"/>
      <c r="AA67" s="29" t="n"/>
      <c r="AB67" s="122" t="n"/>
      <c r="AC67" s="122" t="n"/>
      <c r="AD67" s="29" t="n"/>
      <c r="AE67" s="29" t="n"/>
      <c r="AF67" s="29" t="n"/>
      <c r="AG67" s="29" t="n"/>
      <c r="AH67" s="29" t="n"/>
      <c r="AI67" s="122" t="n"/>
      <c r="AJ67" s="122" t="n"/>
      <c r="AK67" s="29" t="n"/>
      <c r="AL67" s="29" t="n"/>
      <c r="AM67" s="29" t="n"/>
      <c r="AN67" s="29" t="n"/>
      <c r="AO67" s="29" t="n"/>
      <c r="AP67" s="122" t="n"/>
      <c r="AQ67" s="122" t="n"/>
      <c r="AR67" s="29" t="n"/>
      <c r="AS67" s="44" t="n"/>
    </row>
    <row r="76">
      <c r="T76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162" operator="equal" dxfId="55">
      <formula>"repos"</formula>
    </cfRule>
    <cfRule type="cellIs" priority="163" operator="equal" dxfId="53">
      <formula>"permanence"</formula>
    </cfRule>
    <cfRule type="cellIs" priority="164" operator="equal" dxfId="53">
      <formula>"dimanche"</formula>
    </cfRule>
    <cfRule type="cellIs" priority="165" operator="equal" dxfId="52">
      <formula>"formation"</formula>
    </cfRule>
    <cfRule type="cellIs" priority="166" operator="equal" dxfId="6">
      <formula>"conges exc"</formula>
    </cfRule>
    <cfRule type="cellIs" priority="167" operator="equal" dxfId="4">
      <formula>"conges"</formula>
    </cfRule>
    <cfRule type="cellIs" priority="168" operator="equal" dxfId="5">
      <formula>"asa"</formula>
    </cfRule>
    <cfRule type="cellIs" priority="169" operator="equal" dxfId="8">
      <formula>"maladie / at"</formula>
    </cfRule>
    <cfRule type="cellIs" priority="170" operator="equal" dxfId="0">
      <formula>"presence"</formula>
    </cfRule>
  </conditionalFormatting>
  <conditionalFormatting sqref="D11:O20 D23:O24 D26:O29 D31:O36 D39:O49 D51:O62 D64:O67">
    <cfRule type="cellIs" priority="171" operator="equal" dxfId="46">
      <formula>0</formula>
    </cfRule>
  </conditionalFormatting>
  <conditionalFormatting sqref="P20">
    <cfRule type="colorScale" priority="85">
      <colorScale>
        <cfvo type="min"/>
        <cfvo type="max"/>
        <color rgb="FFFF7128"/>
        <color rgb="FFFFEF9C"/>
      </colorScale>
    </cfRule>
  </conditionalFormatting>
  <conditionalFormatting sqref="P9:AS9">
    <cfRule type="expression" priority="173" dxfId="44">
      <formula>OR(P$9=1, P$9=7)</formula>
    </cfRule>
  </conditionalFormatting>
  <conditionalFormatting sqref="P9:AS10">
    <cfRule type="expression" priority="172" dxfId="44">
      <formula>OR(P$9=1,P$9=7)</formula>
    </cfRule>
  </conditionalFormatting>
  <conditionalFormatting sqref="P11:AS20">
    <cfRule type="containsText" priority="150" operator="containsText" dxfId="10" text="TP">
      <formula>NOT(ISERROR(SEARCH("TP",P11)))</formula>
    </cfRule>
    <cfRule type="containsText" priority="151" operator="containsText" text="TAD">
      <formula>NOT(ISERROR(SEARCH("TAD",P11)))</formula>
    </cfRule>
    <cfRule type="containsText" priority="152" operator="containsText" dxfId="9" text="AT">
      <formula>NOT(ISERROR(SEARCH("AT",P11)))</formula>
    </cfRule>
    <cfRule type="containsText" priority="153" operator="containsText" dxfId="8" text="MA">
      <formula>NOT(ISERROR(SEARCH("MA",P11)))</formula>
    </cfRule>
    <cfRule type="containsText" priority="154" operator="containsText" dxfId="7" text="RES">
      <formula>NOT(ISERROR(SEARCH("RES",P11)))</formula>
    </cfRule>
    <cfRule type="containsText" priority="155" operator="containsText" dxfId="6" text="CEX">
      <formula>NOT(ISERROR(SEARCH("CEX",P11)))</formula>
    </cfRule>
    <cfRule type="containsText" priority="156" operator="containsText" dxfId="5" text="RTT">
      <formula>NOT(ISERROR(SEARCH("RTT",P11)))</formula>
    </cfRule>
    <cfRule type="beginsWith" priority="157" operator="beginsWith" dxfId="4" text="CA">
      <formula>LEFT(P11,LEN("CA"))="CA"</formula>
    </cfRule>
    <cfRule type="containsText" priority="158" operator="containsText" dxfId="3" text="AST">
      <formula>NOT(ISERROR(SEARCH("AST",P11)))</formula>
    </cfRule>
    <cfRule type="containsText" priority="159" operator="containsText" dxfId="2" text="F">
      <formula>NOT(ISERROR(SEARCH("F",P11)))</formula>
    </cfRule>
    <cfRule type="containsText" priority="160" operator="containsText" dxfId="1" text="PC">
      <formula>NOT(ISERROR(SEARCH("PC",P11)))</formula>
    </cfRule>
    <cfRule type="containsText" priority="161" operator="containsText" dxfId="0" text="P">
      <formula>NOT(ISERROR(SEARCH("P",P11)))</formula>
    </cfRule>
  </conditionalFormatting>
  <conditionalFormatting sqref="P23:AS24">
    <cfRule type="containsText" priority="134" operator="containsText" dxfId="10" text="TP">
      <formula>NOT(ISERROR(SEARCH("TP",P23)))</formula>
    </cfRule>
    <cfRule type="containsText" priority="135" operator="containsText" text="TAD">
      <formula>NOT(ISERROR(SEARCH("TAD",P23)))</formula>
    </cfRule>
    <cfRule type="containsText" priority="136" operator="containsText" dxfId="9" text="AT">
      <formula>NOT(ISERROR(SEARCH("AT",P23)))</formula>
    </cfRule>
    <cfRule type="containsText" priority="137" operator="containsText" dxfId="8" text="MA">
      <formula>NOT(ISERROR(SEARCH("MA",P23)))</formula>
    </cfRule>
    <cfRule type="containsText" priority="138" operator="containsText" dxfId="7" text="RES">
      <formula>NOT(ISERROR(SEARCH("RES",P23)))</formula>
    </cfRule>
    <cfRule type="containsText" priority="139" operator="containsText" dxfId="6" text="CEX">
      <formula>NOT(ISERROR(SEARCH("CEX",P23)))</formula>
    </cfRule>
    <cfRule type="containsText" priority="140" operator="containsText" dxfId="5" text="RTT">
      <formula>NOT(ISERROR(SEARCH("RTT",P23)))</formula>
    </cfRule>
    <cfRule type="beginsWith" priority="141" operator="beginsWith" dxfId="4" text="CA">
      <formula>LEFT(P23,LEN("CA"))="CA"</formula>
    </cfRule>
    <cfRule type="containsText" priority="142" operator="containsText" dxfId="3" text="AST">
      <formula>NOT(ISERROR(SEARCH("AST",P23)))</formula>
    </cfRule>
    <cfRule type="containsText" priority="143" operator="containsText" dxfId="2" text="F">
      <formula>NOT(ISERROR(SEARCH("F",P23)))</formula>
    </cfRule>
    <cfRule type="containsText" priority="144" operator="containsText" dxfId="1" text="PC">
      <formula>NOT(ISERROR(SEARCH("PC",P23)))</formula>
    </cfRule>
    <cfRule type="containsText" priority="145" operator="containsText" dxfId="0" text="P">
      <formula>NOT(ISERROR(SEARCH("P",P23)))</formula>
    </cfRule>
  </conditionalFormatting>
  <conditionalFormatting sqref="P26:AS29 P31:AS36">
    <cfRule type="containsText" priority="61" operator="containsText" dxfId="10" text="TP">
      <formula>NOT(ISERROR(SEARCH("TP",P26)))</formula>
    </cfRule>
    <cfRule type="containsText" priority="62" operator="containsText" text="TAD">
      <formula>NOT(ISERROR(SEARCH("TAD",P26)))</formula>
    </cfRule>
    <cfRule type="containsText" priority="63" operator="containsText" dxfId="9" text="AT">
      <formula>NOT(ISERROR(SEARCH("AT",P26)))</formula>
    </cfRule>
    <cfRule type="containsText" priority="64" operator="containsText" dxfId="8" text="MA">
      <formula>NOT(ISERROR(SEARCH("MA",P26)))</formula>
    </cfRule>
    <cfRule type="containsText" priority="65" operator="containsText" dxfId="7" text="RES">
      <formula>NOT(ISERROR(SEARCH("RES",P26)))</formula>
    </cfRule>
    <cfRule type="containsText" priority="66" operator="containsText" dxfId="6" text="CEX">
      <formula>NOT(ISERROR(SEARCH("CEX",P26)))</formula>
    </cfRule>
    <cfRule type="containsText" priority="67" operator="containsText" dxfId="5" text="RTT">
      <formula>NOT(ISERROR(SEARCH("RTT",P26)))</formula>
    </cfRule>
    <cfRule type="beginsWith" priority="68" operator="beginsWith" dxfId="4" text="CA">
      <formula>LEFT(P26,LEN("CA"))="CA"</formula>
    </cfRule>
    <cfRule type="containsText" priority="69" operator="containsText" dxfId="3" text="AST">
      <formula>NOT(ISERROR(SEARCH("AST",P26)))</formula>
    </cfRule>
    <cfRule type="containsText" priority="70" operator="containsText" dxfId="2" text="F">
      <formula>NOT(ISERROR(SEARCH("F",P26)))</formula>
    </cfRule>
    <cfRule type="containsText" priority="71" operator="containsText" dxfId="1" text="PC">
      <formula>NOT(ISERROR(SEARCH("PC",P26)))</formula>
    </cfRule>
    <cfRule type="containsText" priority="72" operator="containsText" dxfId="0" text="P">
      <formula>NOT(ISERROR(SEARCH("P",P26)))</formula>
    </cfRule>
  </conditionalFormatting>
  <conditionalFormatting sqref="P39:AS49">
    <cfRule type="containsText" priority="49" operator="containsText" dxfId="10" text="TP">
      <formula>NOT(ISERROR(SEARCH("TP",P39)))</formula>
    </cfRule>
    <cfRule type="containsText" priority="50" operator="containsText" text="TAD">
      <formula>NOT(ISERROR(SEARCH("TAD",P39)))</formula>
    </cfRule>
    <cfRule type="containsText" priority="51" operator="containsText" dxfId="9" text="AT">
      <formula>NOT(ISERROR(SEARCH("AT",P39)))</formula>
    </cfRule>
    <cfRule type="containsText" priority="52" operator="containsText" dxfId="8" text="MA">
      <formula>NOT(ISERROR(SEARCH("MA",P39)))</formula>
    </cfRule>
    <cfRule type="containsText" priority="53" operator="containsText" dxfId="7" text="RES">
      <formula>NOT(ISERROR(SEARCH("RES",P39)))</formula>
    </cfRule>
    <cfRule type="containsText" priority="54" operator="containsText" dxfId="6" text="CEX">
      <formula>NOT(ISERROR(SEARCH("CEX",P39)))</formula>
    </cfRule>
    <cfRule type="containsText" priority="55" operator="containsText" dxfId="5" text="RTT">
      <formula>NOT(ISERROR(SEARCH("RTT",P39)))</formula>
    </cfRule>
    <cfRule type="beginsWith" priority="56" operator="beginsWith" dxfId="4" text="CA">
      <formula>LEFT(P39,LEN("CA"))="CA"</formula>
    </cfRule>
    <cfRule type="containsText" priority="57" operator="containsText" dxfId="3" text="AST">
      <formula>NOT(ISERROR(SEARCH("AST",P39)))</formula>
    </cfRule>
    <cfRule type="containsText" priority="58" operator="containsText" dxfId="2" text="F">
      <formula>NOT(ISERROR(SEARCH("F",P39)))</formula>
    </cfRule>
    <cfRule type="containsText" priority="59" operator="containsText" dxfId="1" text="PC">
      <formula>NOT(ISERROR(SEARCH("PC",P39)))</formula>
    </cfRule>
    <cfRule type="containsText" priority="60" operator="containsText" dxfId="0" text="P">
      <formula>NOT(ISERROR(SEARCH("P",P39)))</formula>
    </cfRule>
  </conditionalFormatting>
  <conditionalFormatting sqref="P51:AS62">
    <cfRule type="containsText" priority="37" operator="containsText" dxfId="10" text="TP">
      <formula>NOT(ISERROR(SEARCH("TP",P51)))</formula>
    </cfRule>
    <cfRule type="containsText" priority="38" operator="containsText" text="TAD">
      <formula>NOT(ISERROR(SEARCH("TAD",P51)))</formula>
    </cfRule>
    <cfRule type="containsText" priority="39" operator="containsText" dxfId="9" text="AT">
      <formula>NOT(ISERROR(SEARCH("AT",P51)))</formula>
    </cfRule>
    <cfRule type="containsText" priority="40" operator="containsText" dxfId="8" text="MA">
      <formula>NOT(ISERROR(SEARCH("MA",P51)))</formula>
    </cfRule>
    <cfRule type="containsText" priority="41" operator="containsText" dxfId="7" text="RES">
      <formula>NOT(ISERROR(SEARCH("RES",P51)))</formula>
    </cfRule>
    <cfRule type="containsText" priority="42" operator="containsText" dxfId="6" text="CEX">
      <formula>NOT(ISERROR(SEARCH("CEX",P51)))</formula>
    </cfRule>
    <cfRule type="containsText" priority="43" operator="containsText" dxfId="5" text="RTT">
      <formula>NOT(ISERROR(SEARCH("RTT",P51)))</formula>
    </cfRule>
    <cfRule type="beginsWith" priority="44" operator="beginsWith" dxfId="4" text="CA">
      <formula>LEFT(P51,LEN("CA"))="CA"</formula>
    </cfRule>
    <cfRule type="containsText" priority="45" operator="containsText" dxfId="3" text="AST">
      <formula>NOT(ISERROR(SEARCH("AST",P51)))</formula>
    </cfRule>
    <cfRule type="containsText" priority="46" operator="containsText" dxfId="2" text="F">
      <formula>NOT(ISERROR(SEARCH("F",P51)))</formula>
    </cfRule>
    <cfRule type="containsText" priority="47" operator="containsText" dxfId="1" text="PC">
      <formula>NOT(ISERROR(SEARCH("PC",P51)))</formula>
    </cfRule>
    <cfRule type="containsText" priority="48" operator="containsText" dxfId="0" text="P">
      <formula>NOT(ISERROR(SEARCH("P",P51)))</formula>
    </cfRule>
  </conditionalFormatting>
  <conditionalFormatting sqref="P64:AS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S20">
    <cfRule type="colorScale" priority="146">
      <colorScale>
        <cfvo type="min"/>
        <cfvo type="max"/>
        <color rgb="FFFF7128"/>
        <color rgb="FFFFEF9C"/>
      </colorScale>
    </cfRule>
  </conditionalFormatting>
  <conditionalFormatting sqref="T20:AA20">
    <cfRule type="colorScale" priority="147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148">
      <colorScale>
        <cfvo type="min"/>
        <cfvo type="max"/>
        <color rgb="FFFF7128"/>
        <color rgb="FFFFEF9C"/>
      </colorScale>
    </cfRule>
  </conditionalFormatting>
  <conditionalFormatting sqref="W20:X20">
    <cfRule type="colorScale" priority="149">
      <colorScale>
        <cfvo type="min"/>
        <cfvo type="max"/>
        <color rgb="FFFF7128"/>
        <color rgb="FFFFEF9C"/>
      </colorScale>
    </cfRule>
  </conditionalFormatting>
  <conditionalFormatting sqref="AG20:AS20">
    <cfRule type="colorScale" priority="174">
      <colorScale>
        <cfvo type="min"/>
        <cfvo type="max"/>
        <color rgb="FFFF7128"/>
        <color rgb="FFFFEF9C"/>
      </colorScale>
    </cfRule>
  </conditionalFormatting>
  <dataValidations count="3">
    <dataValidation sqref="P11:AS20 P23:AS24 P26:AS29 P31:AS36 P39:AS49 P51:AS62 P64:AS67" showDropDown="0" showInputMessage="1" showErrorMessage="1" allowBlank="1" type="list">
      <formula1>"P, PC, F, AST, CA, RTT, CEX, RES, MA, AT, TAD, TP"</formula1>
    </dataValidation>
    <dataValidation sqref="T76" showDropDown="0" showInputMessage="1" showErrorMessage="1" allowBlank="1" type="list">
      <formula1>$D$9:$O$9</formula1>
    </dataValidation>
    <dataValidation sqref="P10:AS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45" sqref="P45:AS45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config!B11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config!C11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193" t="n"/>
      <c r="Y8" s="26" t="n"/>
      <c r="Z8" s="26" t="n"/>
      <c r="AA8" s="26" t="n"/>
      <c r="AB8" s="26" t="n"/>
      <c r="AC8" s="135" t="inlineStr">
        <is>
          <t>FERIE</t>
        </is>
      </c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93" t="n"/>
      <c r="AS8" s="148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36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7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8" t="n"/>
      <c r="R11" s="28" t="n"/>
      <c r="S11" s="113" t="n"/>
      <c r="T11" s="113" t="n"/>
      <c r="U11" s="28" t="n"/>
      <c r="V11" s="28" t="n"/>
      <c r="W11" s="28" t="n"/>
      <c r="X11" s="28" t="n"/>
      <c r="Y11" s="28" t="n"/>
      <c r="Z11" s="113" t="n"/>
      <c r="AA11" s="113" t="n"/>
      <c r="AB11" s="28" t="n"/>
      <c r="AC11" s="138" t="n"/>
      <c r="AD11" s="28" t="n"/>
      <c r="AE11" s="28" t="n"/>
      <c r="AF11" s="28" t="n"/>
      <c r="AG11" s="113" t="n"/>
      <c r="AH11" s="113" t="n"/>
      <c r="AI11" s="28" t="n"/>
      <c r="AJ11" s="28" t="n"/>
      <c r="AK11" s="28" t="n"/>
      <c r="AL11" s="28" t="n"/>
      <c r="AM11" s="28" t="n"/>
      <c r="AN11" s="113" t="n"/>
      <c r="AO11" s="113" t="n"/>
      <c r="AP11" s="28" t="n"/>
      <c r="AQ11" s="28" t="n"/>
      <c r="AR11" s="28" t="n"/>
      <c r="AS11" s="42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8" t="n"/>
      <c r="S12" s="121" t="n"/>
      <c r="T12" s="121" t="n"/>
      <c r="U12" s="8" t="n"/>
      <c r="V12" s="8" t="n"/>
      <c r="W12" s="8" t="n"/>
      <c r="X12" s="8" t="n"/>
      <c r="Y12" s="8" t="n"/>
      <c r="Z12" s="121" t="n"/>
      <c r="AA12" s="121" t="n"/>
      <c r="AB12" s="8" t="inlineStr">
        <is>
          <t>PC</t>
        </is>
      </c>
      <c r="AC12" s="139" t="n"/>
      <c r="AD12" s="8" t="n"/>
      <c r="AE12" s="8" t="n"/>
      <c r="AF12" s="8" t="n"/>
      <c r="AG12" s="121" t="n"/>
      <c r="AH12" s="121" t="n"/>
      <c r="AI12" s="8" t="n"/>
      <c r="AJ12" s="8" t="n"/>
      <c r="AK12" s="8" t="n"/>
      <c r="AL12" s="8" t="n"/>
      <c r="AM12" s="8" t="n"/>
      <c r="AN12" s="121" t="n"/>
      <c r="AO12" s="121" t="n"/>
      <c r="AP12" s="8" t="n"/>
      <c r="AQ12" s="8" t="n"/>
      <c r="AR12" s="8" t="n"/>
      <c r="AS12" s="43" t="n"/>
      <c r="AU12" s="15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8" t="n"/>
      <c r="S13" s="121" t="n"/>
      <c r="T13" s="121" t="n"/>
      <c r="U13" s="8" t="n"/>
      <c r="V13" s="8" t="n"/>
      <c r="W13" s="8" t="n"/>
      <c r="X13" s="8" t="n"/>
      <c r="Y13" s="8" t="n"/>
      <c r="Z13" s="121" t="n"/>
      <c r="AA13" s="121" t="n"/>
      <c r="AB13" s="8" t="n"/>
      <c r="AC13" s="139" t="n"/>
      <c r="AD13" s="8" t="n"/>
      <c r="AE13" s="8" t="n"/>
      <c r="AF13" s="8" t="n"/>
      <c r="AG13" s="121" t="n"/>
      <c r="AH13" s="121" t="n"/>
      <c r="AI13" s="8" t="n"/>
      <c r="AJ13" s="8" t="n"/>
      <c r="AK13" s="8" t="n"/>
      <c r="AL13" s="8" t="n"/>
      <c r="AM13" s="8" t="n"/>
      <c r="AN13" s="121" t="n"/>
      <c r="AO13" s="121" t="n"/>
      <c r="AP13" s="8" t="n"/>
      <c r="AQ13" s="8" t="n"/>
      <c r="AR13" s="8" t="n"/>
      <c r="AS13" s="43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8" t="n"/>
      <c r="S14" s="121" t="n"/>
      <c r="T14" s="121" t="n"/>
      <c r="U14" s="8" t="n"/>
      <c r="V14" s="8" t="n"/>
      <c r="W14" s="8" t="n"/>
      <c r="X14" s="8" t="n"/>
      <c r="Y14" s="8" t="n"/>
      <c r="Z14" s="121" t="n"/>
      <c r="AA14" s="121" t="n"/>
      <c r="AB14" s="8" t="n"/>
      <c r="AC14" s="139" t="n"/>
      <c r="AD14" s="8" t="n"/>
      <c r="AE14" s="8" t="n"/>
      <c r="AF14" s="8" t="n"/>
      <c r="AG14" s="121" t="n"/>
      <c r="AH14" s="121" t="n"/>
      <c r="AI14" s="8" t="n"/>
      <c r="AJ14" s="8" t="n"/>
      <c r="AK14" s="8" t="n"/>
      <c r="AL14" s="8" t="n"/>
      <c r="AM14" s="8" t="n"/>
      <c r="AN14" s="121" t="n"/>
      <c r="AO14" s="121" t="n"/>
      <c r="AP14" s="8" t="n"/>
      <c r="AQ14" s="8" t="n"/>
      <c r="AR14" s="8" t="n"/>
      <c r="AS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8" t="n"/>
      <c r="S15" s="121" t="n"/>
      <c r="T15" s="121" t="n"/>
      <c r="U15" s="8" t="n"/>
      <c r="V15" s="8" t="n"/>
      <c r="W15" s="8" t="n"/>
      <c r="X15" s="8" t="n"/>
      <c r="Y15" s="8" t="n"/>
      <c r="Z15" s="121" t="n"/>
      <c r="AA15" s="121" t="n"/>
      <c r="AB15" s="8" t="n"/>
      <c r="AC15" s="139" t="n"/>
      <c r="AD15" s="8" t="n"/>
      <c r="AE15" s="8" t="n"/>
      <c r="AF15" s="8" t="n"/>
      <c r="AG15" s="121" t="n"/>
      <c r="AH15" s="121" t="n"/>
      <c r="AI15" s="8" t="n"/>
      <c r="AJ15" s="8" t="n"/>
      <c r="AK15" s="8" t="n"/>
      <c r="AL15" s="8" t="n"/>
      <c r="AM15" s="8" t="n"/>
      <c r="AN15" s="121" t="n"/>
      <c r="AO15" s="121" t="n"/>
      <c r="AP15" s="8" t="n"/>
      <c r="AQ15" s="8" t="n"/>
      <c r="AR15" s="8" t="n"/>
      <c r="AS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8" t="n"/>
      <c r="S16" s="121" t="n"/>
      <c r="T16" s="121" t="n"/>
      <c r="U16" s="8" t="n"/>
      <c r="V16" s="8" t="n"/>
      <c r="W16" s="8" t="n"/>
      <c r="X16" s="8" t="n"/>
      <c r="Y16" s="8" t="n"/>
      <c r="Z16" s="121" t="n"/>
      <c r="AA16" s="121" t="n"/>
      <c r="AB16" s="8" t="n"/>
      <c r="AC16" s="139" t="n"/>
      <c r="AD16" s="8" t="n"/>
      <c r="AE16" s="8" t="n"/>
      <c r="AF16" s="8" t="n"/>
      <c r="AG16" s="121" t="n"/>
      <c r="AH16" s="121" t="n"/>
      <c r="AI16" s="8" t="n"/>
      <c r="AJ16" s="8" t="n"/>
      <c r="AK16" s="8" t="n"/>
      <c r="AL16" s="8" t="n"/>
      <c r="AM16" s="8" t="n"/>
      <c r="AN16" s="121" t="n"/>
      <c r="AO16" s="121" t="n"/>
      <c r="AP16" s="8" t="n"/>
      <c r="AQ16" s="8" t="n"/>
      <c r="AR16" s="8" t="n"/>
      <c r="AS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8" t="n"/>
      <c r="S17" s="121" t="n"/>
      <c r="T17" s="121" t="n"/>
      <c r="U17" s="8" t="n"/>
      <c r="V17" s="8" t="n"/>
      <c r="W17" s="8" t="n"/>
      <c r="X17" s="8" t="n"/>
      <c r="Y17" s="8" t="n"/>
      <c r="Z17" s="121" t="n"/>
      <c r="AA17" s="121" t="n"/>
      <c r="AB17" s="8" t="n"/>
      <c r="AC17" s="139" t="n"/>
      <c r="AD17" s="8" t="n"/>
      <c r="AE17" s="8" t="n"/>
      <c r="AF17" s="8" t="n"/>
      <c r="AG17" s="121" t="n"/>
      <c r="AH17" s="121" t="n"/>
      <c r="AI17" s="8" t="n"/>
      <c r="AJ17" s="8" t="n"/>
      <c r="AK17" s="8" t="n"/>
      <c r="AL17" s="8" t="n"/>
      <c r="AM17" s="8" t="n"/>
      <c r="AN17" s="121" t="n"/>
      <c r="AO17" s="121" t="n"/>
      <c r="AP17" s="8" t="n"/>
      <c r="AQ17" s="8" t="n"/>
      <c r="AR17" s="8" t="n"/>
      <c r="AS17" s="43" t="n"/>
    </row>
    <row r="18" ht="20.1" customHeight="1" thickBot="1">
      <c r="A18" s="172" t="n"/>
      <c r="B18" s="173" t="n"/>
      <c r="C18" s="174" t="n"/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39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5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8" t="n"/>
      <c r="S19" s="121" t="n"/>
      <c r="T19" s="121" t="n"/>
      <c r="U19" s="8" t="n"/>
      <c r="V19" s="8" t="n"/>
      <c r="W19" s="8" t="n"/>
      <c r="X19" s="8" t="n"/>
      <c r="Y19" s="8" t="n"/>
      <c r="Z19" s="121" t="n"/>
      <c r="AA19" s="121" t="n"/>
      <c r="AB19" s="8" t="n"/>
      <c r="AC19" s="139" t="n"/>
      <c r="AD19" s="8" t="n"/>
      <c r="AE19" s="8" t="n"/>
      <c r="AF19" s="8" t="n"/>
      <c r="AG19" s="121" t="n"/>
      <c r="AH19" s="121" t="n"/>
      <c r="AI19" s="8" t="n"/>
      <c r="AJ19" s="8" t="n"/>
      <c r="AK19" s="8" t="n"/>
      <c r="AL19" s="8" t="n"/>
      <c r="AM19" s="8" t="n"/>
      <c r="AN19" s="121" t="n"/>
      <c r="AO19" s="121" t="n"/>
      <c r="AP19" s="8" t="n"/>
      <c r="AQ19" s="8" t="n"/>
      <c r="AR19" s="8" t="n"/>
      <c r="AS19" s="43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9" t="n"/>
      <c r="R20" s="29" t="n"/>
      <c r="S20" s="121" t="n"/>
      <c r="T20" s="121" t="n"/>
      <c r="U20" s="29" t="n"/>
      <c r="V20" s="29" t="n"/>
      <c r="W20" s="29" t="n"/>
      <c r="X20" s="29" t="n"/>
      <c r="Y20" s="29" t="n"/>
      <c r="Z20" s="122" t="n"/>
      <c r="AA20" s="122" t="n"/>
      <c r="AB20" s="29" t="n"/>
      <c r="AC20" s="140" t="n"/>
      <c r="AD20" s="29" t="n"/>
      <c r="AE20" s="29" t="n"/>
      <c r="AF20" s="29" t="n"/>
      <c r="AG20" s="122" t="n"/>
      <c r="AH20" s="122" t="n"/>
      <c r="AI20" s="29" t="n"/>
      <c r="AJ20" s="29" t="n"/>
      <c r="AK20" s="29" t="n"/>
      <c r="AL20" s="29" t="n"/>
      <c r="AM20" s="29" t="n"/>
      <c r="AN20" s="122" t="n"/>
      <c r="AO20" s="122" t="n"/>
      <c r="AP20" s="29" t="n"/>
      <c r="AQ20" s="29" t="n"/>
      <c r="AR20" s="29" t="n"/>
      <c r="AS20" s="44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28" t="n"/>
      <c r="Q23" s="28" t="n"/>
      <c r="R23" s="28" t="n"/>
      <c r="S23" s="28" t="n"/>
      <c r="T23" s="28" t="n"/>
      <c r="U23" s="113" t="n"/>
      <c r="V23" s="113" t="n"/>
      <c r="W23" s="28" t="n"/>
      <c r="X23" s="28" t="n"/>
      <c r="Y23" s="28" t="n"/>
      <c r="Z23" s="28" t="n"/>
      <c r="AA23" s="28" t="n"/>
      <c r="AB23" s="113" t="n"/>
      <c r="AC23" s="113" t="n"/>
      <c r="AD23" s="28" t="n"/>
      <c r="AE23" s="28" t="n"/>
      <c r="AF23" s="28" t="n"/>
      <c r="AG23" s="28" t="n"/>
      <c r="AH23" s="28" t="n"/>
      <c r="AI23" s="113" t="n"/>
      <c r="AJ23" s="113" t="n"/>
      <c r="AK23" s="28" t="n"/>
      <c r="AL23" s="28" t="n"/>
      <c r="AM23" s="28" t="n"/>
      <c r="AN23" s="28" t="n"/>
      <c r="AO23" s="28" t="n"/>
      <c r="AP23" s="113" t="n"/>
      <c r="AQ23" s="113" t="n"/>
      <c r="AR23" s="28" t="n"/>
      <c r="AS23" s="28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29" t="n"/>
      <c r="Q24" s="29" t="n"/>
      <c r="R24" s="29" t="n"/>
      <c r="S24" s="29" t="n"/>
      <c r="T24" s="29" t="n"/>
      <c r="U24" s="122" t="n"/>
      <c r="V24" s="122" t="n"/>
      <c r="W24" s="29" t="n"/>
      <c r="X24" s="29" t="n"/>
      <c r="Y24" s="29" t="n"/>
      <c r="Z24" s="29" t="n"/>
      <c r="AA24" s="29" t="n"/>
      <c r="AB24" s="122" t="n"/>
      <c r="AC24" s="122" t="n"/>
      <c r="AD24" s="29" t="n"/>
      <c r="AE24" s="29" t="n"/>
      <c r="AF24" s="29" t="n"/>
      <c r="AG24" s="29" t="n"/>
      <c r="AH24" s="29" t="n"/>
      <c r="AI24" s="122" t="n"/>
      <c r="AJ24" s="122" t="n"/>
      <c r="AK24" s="29" t="n"/>
      <c r="AL24" s="29" t="n"/>
      <c r="AM24" s="29" t="n"/>
      <c r="AN24" s="29" t="n"/>
      <c r="AO24" s="29" t="n"/>
      <c r="AP24" s="122" t="n"/>
      <c r="AQ24" s="122" t="n"/>
      <c r="AR24" s="29" t="n"/>
      <c r="AS24" s="29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207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119">
        <f>COUNTIF(P26:AS26,"TP")</f>
        <v/>
      </c>
      <c r="P26" s="114" t="n"/>
      <c r="Q26" s="28" t="n"/>
      <c r="R26" s="28" t="n"/>
      <c r="S26" s="28" t="n"/>
      <c r="T26" s="28" t="n"/>
      <c r="U26" s="113" t="n"/>
      <c r="V26" s="113" t="n"/>
      <c r="W26" s="28" t="n"/>
      <c r="X26" s="28" t="n"/>
      <c r="Y26" s="28" t="n"/>
      <c r="Z26" s="28" t="n"/>
      <c r="AA26" s="28" t="n"/>
      <c r="AB26" s="113" t="n"/>
      <c r="AC26" s="113" t="n"/>
      <c r="AD26" s="28" t="n"/>
      <c r="AE26" s="28" t="n"/>
      <c r="AF26" s="28" t="n"/>
      <c r="AG26" s="28" t="n"/>
      <c r="AH26" s="28" t="n"/>
      <c r="AI26" s="113" t="n"/>
      <c r="AJ26" s="113" t="n"/>
      <c r="AK26" s="28" t="n"/>
      <c r="AL26" s="28" t="n"/>
      <c r="AM26" s="28" t="n"/>
      <c r="AN26" s="28" t="n"/>
      <c r="AO26" s="28" t="n"/>
      <c r="AP26" s="113" t="n"/>
      <c r="AQ26" s="113" t="n"/>
      <c r="AR26" s="28" t="n"/>
      <c r="AS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8" t="n"/>
      <c r="T27" s="8" t="n"/>
      <c r="U27" s="121" t="n"/>
      <c r="V27" s="121" t="n"/>
      <c r="W27" s="8" t="n"/>
      <c r="X27" s="8" t="n"/>
      <c r="Y27" s="8" t="n"/>
      <c r="Z27" s="8" t="n"/>
      <c r="AA27" s="8" t="n"/>
      <c r="AB27" s="121" t="n"/>
      <c r="AC27" s="121" t="n"/>
      <c r="AD27" s="8" t="n"/>
      <c r="AE27" s="8" t="n"/>
      <c r="AF27" s="8" t="n"/>
      <c r="AG27" s="8" t="n"/>
      <c r="AH27" s="8" t="n"/>
      <c r="AI27" s="121" t="n"/>
      <c r="AJ27" s="121" t="n"/>
      <c r="AK27" s="8" t="n"/>
      <c r="AL27" s="8" t="n"/>
      <c r="AM27" s="8" t="n"/>
      <c r="AN27" s="8" t="n"/>
      <c r="AO27" s="8" t="n"/>
      <c r="AP27" s="121" t="n"/>
      <c r="AQ27" s="121" t="n"/>
      <c r="AR27" s="8" t="n"/>
      <c r="AS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8" t="n"/>
      <c r="T28" s="8" t="n"/>
      <c r="U28" s="121" t="n"/>
      <c r="V28" s="121" t="n"/>
      <c r="W28" s="8" t="n"/>
      <c r="X28" s="8" t="n"/>
      <c r="Y28" s="8" t="n"/>
      <c r="Z28" s="8" t="n"/>
      <c r="AA28" s="8" t="n"/>
      <c r="AB28" s="121" t="n"/>
      <c r="AC28" s="121" t="n"/>
      <c r="AD28" s="8" t="n"/>
      <c r="AE28" s="8" t="n"/>
      <c r="AF28" s="8" t="n"/>
      <c r="AG28" s="8" t="n"/>
      <c r="AH28" s="8" t="n"/>
      <c r="AI28" s="121" t="n"/>
      <c r="AJ28" s="121" t="n"/>
      <c r="AK28" s="8" t="n"/>
      <c r="AL28" s="8" t="n"/>
      <c r="AM28" s="8" t="n"/>
      <c r="AN28" s="8" t="n"/>
      <c r="AO28" s="8" t="n"/>
      <c r="AP28" s="121" t="n"/>
      <c r="AQ28" s="121" t="n"/>
      <c r="AR28" s="8" t="n"/>
      <c r="AS28" s="43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67">
        <f>COUNTIF(P29:AS29,"TP")</f>
        <v/>
      </c>
      <c r="P29" s="194" t="n"/>
      <c r="Q29" s="195" t="n"/>
      <c r="R29" s="195" t="n"/>
      <c r="S29" s="195" t="n"/>
      <c r="T29" s="195" t="n"/>
      <c r="U29" s="168" t="n"/>
      <c r="V29" s="168" t="n"/>
      <c r="W29" s="195" t="n"/>
      <c r="X29" s="195" t="n"/>
      <c r="Y29" s="195" t="n"/>
      <c r="Z29" s="195" t="n"/>
      <c r="AA29" s="195" t="n"/>
      <c r="AB29" s="168" t="n"/>
      <c r="AC29" s="168" t="n"/>
      <c r="AD29" s="195" t="n"/>
      <c r="AE29" s="195" t="n"/>
      <c r="AF29" s="195" t="n"/>
      <c r="AG29" s="195" t="n"/>
      <c r="AH29" s="195" t="n"/>
      <c r="AI29" s="168" t="n"/>
      <c r="AJ29" s="168" t="n"/>
      <c r="AK29" s="195" t="n"/>
      <c r="AL29" s="195" t="n"/>
      <c r="AM29" s="195" t="n"/>
      <c r="AN29" s="195" t="n"/>
      <c r="AO29" s="195" t="n"/>
      <c r="AP29" s="168" t="n"/>
      <c r="AQ29" s="168" t="n"/>
      <c r="AR29" s="195" t="n"/>
      <c r="AS29" s="205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67">
        <f>COUNTIF(P31:AS31,"TP")</f>
        <v/>
      </c>
      <c r="P31" s="117" t="n"/>
      <c r="Q31" s="8" t="n"/>
      <c r="R31" s="8" t="n"/>
      <c r="S31" s="8" t="n"/>
      <c r="T31" s="8" t="n"/>
      <c r="U31" s="121" t="n"/>
      <c r="V31" s="121" t="n"/>
      <c r="W31" s="8" t="n"/>
      <c r="X31" s="8" t="n"/>
      <c r="Y31" s="8" t="n"/>
      <c r="Z31" s="8" t="n"/>
      <c r="AA31" s="8" t="n"/>
      <c r="AB31" s="121" t="n"/>
      <c r="AC31" s="121" t="n"/>
      <c r="AD31" s="8" t="n"/>
      <c r="AE31" s="8" t="n"/>
      <c r="AF31" s="8" t="n"/>
      <c r="AG31" s="8" t="n"/>
      <c r="AH31" s="8" t="n"/>
      <c r="AI31" s="121" t="n"/>
      <c r="AJ31" s="121" t="n"/>
      <c r="AK31" s="8" t="n"/>
      <c r="AL31" s="8" t="n"/>
      <c r="AM31" s="8" t="n"/>
      <c r="AN31" s="8" t="n"/>
      <c r="AO31" s="8" t="n"/>
      <c r="AP31" s="121" t="n"/>
      <c r="AQ31" s="121" t="n"/>
      <c r="AR31" s="8" t="n"/>
      <c r="AS31" s="43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67">
        <f>COUNTIF(P32:AS32,"TP")</f>
        <v/>
      </c>
      <c r="P32" s="117" t="n"/>
      <c r="Q32" s="8" t="n"/>
      <c r="R32" s="8" t="n"/>
      <c r="S32" s="8" t="n"/>
      <c r="T32" s="8" t="n"/>
      <c r="U32" s="121" t="n"/>
      <c r="V32" s="121" t="n"/>
      <c r="W32" s="8" t="n"/>
      <c r="X32" s="8" t="n"/>
      <c r="Y32" s="8" t="n"/>
      <c r="Z32" s="8" t="n"/>
      <c r="AA32" s="8" t="n"/>
      <c r="AB32" s="121" t="n"/>
      <c r="AC32" s="121" t="n"/>
      <c r="AD32" s="8" t="n"/>
      <c r="AE32" s="8" t="n"/>
      <c r="AF32" s="8" t="n"/>
      <c r="AG32" s="8" t="n"/>
      <c r="AH32" s="8" t="n"/>
      <c r="AI32" s="121" t="n"/>
      <c r="AJ32" s="121" t="n"/>
      <c r="AK32" s="8" t="n"/>
      <c r="AL32" s="8" t="n"/>
      <c r="AM32" s="8" t="n"/>
      <c r="AN32" s="8" t="n"/>
      <c r="AO32" s="8" t="n"/>
      <c r="AP32" s="121" t="n"/>
      <c r="AQ32" s="121" t="n"/>
      <c r="AR32" s="8" t="n"/>
      <c r="AS32" s="43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67">
        <f>COUNTIF(P33:AS33,"TP")</f>
        <v/>
      </c>
      <c r="P33" s="117" t="n"/>
      <c r="Q33" s="8" t="n"/>
      <c r="R33" s="8" t="n"/>
      <c r="S33" s="8" t="n"/>
      <c r="T33" s="8" t="n"/>
      <c r="U33" s="121" t="n"/>
      <c r="V33" s="121" t="n"/>
      <c r="W33" s="8" t="n"/>
      <c r="X33" s="8" t="n"/>
      <c r="Y33" s="8" t="n"/>
      <c r="Z33" s="8" t="n"/>
      <c r="AA33" s="8" t="n"/>
      <c r="AB33" s="121" t="n"/>
      <c r="AC33" s="121" t="n"/>
      <c r="AD33" s="8" t="n"/>
      <c r="AE33" s="8" t="n"/>
      <c r="AF33" s="8" t="n"/>
      <c r="AG33" s="8" t="n"/>
      <c r="AH33" s="8" t="n"/>
      <c r="AI33" s="121" t="n"/>
      <c r="AJ33" s="121" t="n"/>
      <c r="AK33" s="8" t="n"/>
      <c r="AL33" s="8" t="n"/>
      <c r="AM33" s="8" t="n"/>
      <c r="AN33" s="8" t="n"/>
      <c r="AO33" s="8" t="n"/>
      <c r="AP33" s="121" t="n"/>
      <c r="AQ33" s="121" t="n"/>
      <c r="AR33" s="8" t="n"/>
      <c r="AS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67">
        <f>COUNTIF(P34:AS34,"TP")</f>
        <v/>
      </c>
      <c r="P34" s="117" t="n"/>
      <c r="Q34" s="8" t="n"/>
      <c r="R34" s="8" t="n"/>
      <c r="S34" s="8" t="n"/>
      <c r="T34" s="8" t="n"/>
      <c r="U34" s="121" t="n"/>
      <c r="V34" s="121" t="n"/>
      <c r="W34" s="8" t="n"/>
      <c r="X34" s="8" t="n"/>
      <c r="Y34" s="8" t="n"/>
      <c r="Z34" s="8" t="n"/>
      <c r="AA34" s="8" t="n"/>
      <c r="AB34" s="121" t="n"/>
      <c r="AC34" s="121" t="n"/>
      <c r="AD34" s="8" t="n"/>
      <c r="AE34" s="8" t="n"/>
      <c r="AF34" s="8" t="n"/>
      <c r="AG34" s="8" t="n"/>
      <c r="AH34" s="8" t="n"/>
      <c r="AI34" s="121" t="n"/>
      <c r="AJ34" s="121" t="n"/>
      <c r="AK34" s="8" t="n"/>
      <c r="AL34" s="8" t="n"/>
      <c r="AM34" s="8" t="n"/>
      <c r="AN34" s="8" t="n"/>
      <c r="AO34" s="8" t="n"/>
      <c r="AP34" s="121" t="n"/>
      <c r="AQ34" s="121" t="n"/>
      <c r="AR34" s="8" t="n"/>
      <c r="AS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67">
        <f>COUNTIF(P35:AS35,"TP")</f>
        <v/>
      </c>
      <c r="P35" s="117" t="n"/>
      <c r="Q35" s="8" t="n"/>
      <c r="R35" s="8" t="n"/>
      <c r="S35" s="8" t="n"/>
      <c r="T35" s="8" t="n"/>
      <c r="U35" s="121" t="n"/>
      <c r="V35" s="121" t="n"/>
      <c r="W35" s="8" t="n"/>
      <c r="X35" s="8" t="n"/>
      <c r="Y35" s="8" t="n"/>
      <c r="Z35" s="8" t="n"/>
      <c r="AA35" s="8" t="n"/>
      <c r="AB35" s="121" t="n"/>
      <c r="AC35" s="121" t="n"/>
      <c r="AD35" s="8" t="n"/>
      <c r="AE35" s="8" t="n"/>
      <c r="AF35" s="8" t="n"/>
      <c r="AG35" s="8" t="n"/>
      <c r="AH35" s="8" t="n"/>
      <c r="AI35" s="121" t="n"/>
      <c r="AJ35" s="121" t="n"/>
      <c r="AK35" s="8" t="n"/>
      <c r="AL35" s="8" t="n"/>
      <c r="AM35" s="8" t="n"/>
      <c r="AN35" s="8" t="n"/>
      <c r="AO35" s="8" t="n"/>
      <c r="AP35" s="121" t="n"/>
      <c r="AQ35" s="121" t="n"/>
      <c r="AR35" s="8" t="n"/>
      <c r="AS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67">
        <f>COUNTIF(P36:AS36,"TP")</f>
        <v/>
      </c>
      <c r="P36" s="118" t="n"/>
      <c r="Q36" s="29" t="n"/>
      <c r="R36" s="29" t="n"/>
      <c r="S36" s="29" t="n"/>
      <c r="T36" s="29" t="n"/>
      <c r="U36" s="122" t="n"/>
      <c r="V36" s="122" t="n"/>
      <c r="W36" s="29" t="n"/>
      <c r="X36" s="29" t="n"/>
      <c r="Y36" s="29" t="n"/>
      <c r="Z36" s="29" t="n"/>
      <c r="AA36" s="29" t="n"/>
      <c r="AB36" s="122" t="n"/>
      <c r="AC36" s="122" t="n"/>
      <c r="AD36" s="29" t="n"/>
      <c r="AE36" s="29" t="n"/>
      <c r="AF36" s="29" t="n"/>
      <c r="AG36" s="29" t="n"/>
      <c r="AH36" s="29" t="n"/>
      <c r="AI36" s="122" t="n"/>
      <c r="AJ36" s="122" t="n"/>
      <c r="AK36" s="29" t="n"/>
      <c r="AL36" s="29" t="n"/>
      <c r="AM36" s="29" t="n"/>
      <c r="AN36" s="29" t="n"/>
      <c r="AO36" s="29" t="n"/>
      <c r="AP36" s="122" t="n"/>
      <c r="AQ36" s="122" t="n"/>
      <c r="AR36" s="29" t="n"/>
      <c r="AS36" s="44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132" t="n"/>
    </row>
    <row r="38" ht="20.1" customHeight="1" thickBot="1">
      <c r="A38" s="353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54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51" t="n"/>
      <c r="AU39" s="15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8" t="n"/>
      <c r="T40" s="8" t="n"/>
      <c r="U40" s="121" t="n"/>
      <c r="V40" s="121" t="n"/>
      <c r="W40" s="8" t="n"/>
      <c r="X40" s="8" t="n"/>
      <c r="Y40" s="8" t="n"/>
      <c r="Z40" s="8" t="n"/>
      <c r="AA40" s="8" t="n"/>
      <c r="AB40" s="121" t="n"/>
      <c r="AC40" s="121" t="n"/>
      <c r="AD40" s="8" t="n"/>
      <c r="AE40" s="8" t="n"/>
      <c r="AF40" s="8" t="n"/>
      <c r="AG40" s="8" t="n"/>
      <c r="AH40" s="8" t="n"/>
      <c r="AI40" s="121" t="n"/>
      <c r="AJ40" s="121" t="n"/>
      <c r="AK40" s="8" t="n"/>
      <c r="AL40" s="8" t="n"/>
      <c r="AM40" s="8" t="n"/>
      <c r="AN40" s="8" t="n"/>
      <c r="AO40" s="8" t="n"/>
      <c r="AP40" s="121" t="n"/>
      <c r="AQ40" s="121" t="n"/>
      <c r="AR40" s="8" t="n"/>
      <c r="AS40" s="43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8" t="n"/>
      <c r="T41" s="8" t="n"/>
      <c r="U41" s="121" t="n"/>
      <c r="V41" s="121" t="n"/>
      <c r="W41" s="8" t="n"/>
      <c r="X41" s="8" t="n"/>
      <c r="Y41" s="8" t="n"/>
      <c r="Z41" s="8" t="n"/>
      <c r="AA41" s="8" t="n"/>
      <c r="AB41" s="121" t="n"/>
      <c r="AC41" s="121" t="n"/>
      <c r="AD41" s="8" t="n"/>
      <c r="AE41" s="8" t="n"/>
      <c r="AF41" s="8" t="n"/>
      <c r="AG41" s="8" t="n"/>
      <c r="AH41" s="8" t="n"/>
      <c r="AI41" s="121" t="n"/>
      <c r="AJ41" s="121" t="n"/>
      <c r="AK41" s="8" t="n"/>
      <c r="AL41" s="8" t="n"/>
      <c r="AM41" s="8" t="n"/>
      <c r="AN41" s="8" t="n"/>
      <c r="AO41" s="8" t="n"/>
      <c r="AP41" s="121" t="n"/>
      <c r="AQ41" s="121" t="n"/>
      <c r="AR41" s="8" t="n"/>
      <c r="AS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8" t="n"/>
      <c r="T42" s="8" t="n"/>
      <c r="U42" s="121" t="n"/>
      <c r="V42" s="121" t="n"/>
      <c r="W42" s="8" t="n"/>
      <c r="X42" s="8" t="n"/>
      <c r="Y42" s="8" t="n"/>
      <c r="Z42" s="8" t="n"/>
      <c r="AA42" s="8" t="n"/>
      <c r="AB42" s="121" t="n"/>
      <c r="AC42" s="121" t="n"/>
      <c r="AD42" s="8" t="n"/>
      <c r="AE42" s="8" t="n"/>
      <c r="AF42" s="8" t="n"/>
      <c r="AG42" s="8" t="n"/>
      <c r="AH42" s="8" t="n"/>
      <c r="AI42" s="121" t="n"/>
      <c r="AJ42" s="121" t="n"/>
      <c r="AK42" s="8" t="n"/>
      <c r="AL42" s="8" t="n"/>
      <c r="AM42" s="8" t="n"/>
      <c r="AN42" s="8" t="n"/>
      <c r="AO42" s="8" t="n"/>
      <c r="AP42" s="121" t="n"/>
      <c r="AQ42" s="121" t="n"/>
      <c r="AR42" s="8" t="n"/>
      <c r="AS42" s="43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8" t="n"/>
      <c r="T43" s="8" t="n"/>
      <c r="U43" s="121" t="n"/>
      <c r="V43" s="121" t="n"/>
      <c r="W43" s="8" t="n"/>
      <c r="X43" s="8" t="n"/>
      <c r="Y43" s="8" t="n"/>
      <c r="Z43" s="8" t="n"/>
      <c r="AA43" s="8" t="n"/>
      <c r="AB43" s="121" t="n"/>
      <c r="AC43" s="121" t="n"/>
      <c r="AD43" s="8" t="n"/>
      <c r="AE43" s="8" t="n"/>
      <c r="AF43" s="8" t="n"/>
      <c r="AG43" s="8" t="n"/>
      <c r="AH43" s="8" t="n"/>
      <c r="AI43" s="121" t="n"/>
      <c r="AJ43" s="121" t="n"/>
      <c r="AK43" s="8" t="n"/>
      <c r="AL43" s="8" t="n"/>
      <c r="AM43" s="8" t="n"/>
      <c r="AN43" s="8" t="n"/>
      <c r="AO43" s="8" t="n"/>
      <c r="AP43" s="121" t="n"/>
      <c r="AQ43" s="121" t="n"/>
      <c r="AR43" s="8" t="n"/>
      <c r="AS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8" t="n"/>
      <c r="T44" s="8" t="n"/>
      <c r="U44" s="121" t="n"/>
      <c r="V44" s="121" t="n"/>
      <c r="W44" s="8" t="n"/>
      <c r="X44" s="8" t="n"/>
      <c r="Y44" s="8" t="n"/>
      <c r="Z44" s="8" t="n"/>
      <c r="AA44" s="8" t="n"/>
      <c r="AB44" s="121" t="n"/>
      <c r="AC44" s="121" t="n"/>
      <c r="AD44" s="8" t="n"/>
      <c r="AE44" s="8" t="n"/>
      <c r="AF44" s="8" t="n"/>
      <c r="AG44" s="8" t="n"/>
      <c r="AH44" s="8" t="n"/>
      <c r="AI44" s="121" t="n"/>
      <c r="AJ44" s="121" t="n"/>
      <c r="AK44" s="8" t="n"/>
      <c r="AL44" s="8" t="n"/>
      <c r="AM44" s="8" t="n"/>
      <c r="AN44" s="8" t="n"/>
      <c r="AO44" s="8" t="n"/>
      <c r="AP44" s="121" t="n"/>
      <c r="AQ44" s="121" t="n"/>
      <c r="AR44" s="8" t="n"/>
      <c r="AS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inlineStr">
        <is>
          <t>AT</t>
        </is>
      </c>
      <c r="Q45" s="117" t="inlineStr">
        <is>
          <t>AT</t>
        </is>
      </c>
      <c r="R45" s="117" t="inlineStr">
        <is>
          <t>AT</t>
        </is>
      </c>
      <c r="S45" s="117" t="inlineStr">
        <is>
          <t>AT</t>
        </is>
      </c>
      <c r="T45" s="117" t="inlineStr">
        <is>
          <t>AT</t>
        </is>
      </c>
      <c r="U45" s="117" t="inlineStr">
        <is>
          <t>AT</t>
        </is>
      </c>
      <c r="V45" s="117" t="inlineStr">
        <is>
          <t>AT</t>
        </is>
      </c>
      <c r="W45" s="117" t="inlineStr">
        <is>
          <t>AT</t>
        </is>
      </c>
      <c r="X45" s="117" t="inlineStr">
        <is>
          <t>AT</t>
        </is>
      </c>
      <c r="Y45" s="117" t="inlineStr">
        <is>
          <t>AT</t>
        </is>
      </c>
      <c r="Z45" s="117" t="inlineStr">
        <is>
          <t>AT</t>
        </is>
      </c>
      <c r="AA45" s="117" t="inlineStr">
        <is>
          <t>AT</t>
        </is>
      </c>
      <c r="AB45" s="117" t="inlineStr">
        <is>
          <t>AT</t>
        </is>
      </c>
      <c r="AC45" s="117" t="inlineStr">
        <is>
          <t>AT</t>
        </is>
      </c>
      <c r="AD45" s="117" t="inlineStr">
        <is>
          <t>AT</t>
        </is>
      </c>
      <c r="AE45" s="117" t="inlineStr">
        <is>
          <t>AT</t>
        </is>
      </c>
      <c r="AF45" s="117" t="inlineStr">
        <is>
          <t>AT</t>
        </is>
      </c>
      <c r="AG45" s="117" t="inlineStr">
        <is>
          <t>AT</t>
        </is>
      </c>
      <c r="AH45" s="117" t="inlineStr">
        <is>
          <t>AT</t>
        </is>
      </c>
      <c r="AI45" s="117" t="inlineStr">
        <is>
          <t>AT</t>
        </is>
      </c>
      <c r="AJ45" s="117" t="inlineStr">
        <is>
          <t>AT</t>
        </is>
      </c>
      <c r="AK45" s="117" t="inlineStr">
        <is>
          <t>AT</t>
        </is>
      </c>
      <c r="AL45" s="117" t="inlineStr">
        <is>
          <t>AT</t>
        </is>
      </c>
      <c r="AM45" s="117" t="inlineStr">
        <is>
          <t>AT</t>
        </is>
      </c>
      <c r="AN45" s="117" t="inlineStr">
        <is>
          <t>AT</t>
        </is>
      </c>
      <c r="AO45" s="117" t="inlineStr">
        <is>
          <t>AT</t>
        </is>
      </c>
      <c r="AP45" s="117" t="inlineStr">
        <is>
          <t>AT</t>
        </is>
      </c>
      <c r="AQ45" s="117" t="inlineStr">
        <is>
          <t>AT</t>
        </is>
      </c>
      <c r="AR45" s="117" t="inlineStr">
        <is>
          <t>AT</t>
        </is>
      </c>
      <c r="AS45" s="117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8" t="n"/>
      <c r="T46" s="8" t="n"/>
      <c r="U46" s="121" t="n"/>
      <c r="V46" s="121" t="n"/>
      <c r="W46" s="8" t="n"/>
      <c r="X46" s="8" t="n"/>
      <c r="Y46" s="8" t="n"/>
      <c r="Z46" s="8" t="n"/>
      <c r="AA46" s="8" t="n"/>
      <c r="AB46" s="121" t="n"/>
      <c r="AC46" s="121" t="n"/>
      <c r="AD46" s="8" t="n"/>
      <c r="AE46" s="8" t="n"/>
      <c r="AF46" s="8" t="n"/>
      <c r="AG46" s="8" t="n"/>
      <c r="AH46" s="8" t="n"/>
      <c r="AI46" s="121" t="n"/>
      <c r="AJ46" s="121" t="n"/>
      <c r="AK46" s="8" t="n"/>
      <c r="AL46" s="8" t="n"/>
      <c r="AM46" s="8" t="n"/>
      <c r="AN46" s="8" t="n"/>
      <c r="AO46" s="8" t="n"/>
      <c r="AP46" s="121" t="n"/>
      <c r="AQ46" s="121" t="n"/>
      <c r="AR46" s="8" t="n"/>
      <c r="AS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8" t="n"/>
      <c r="T47" s="8" t="n"/>
      <c r="U47" s="121" t="n"/>
      <c r="V47" s="121" t="n"/>
      <c r="W47" s="8" t="n"/>
      <c r="X47" s="8" t="n"/>
      <c r="Y47" s="8" t="n"/>
      <c r="Z47" s="8" t="n"/>
      <c r="AA47" s="8" t="n"/>
      <c r="AB47" s="121" t="n"/>
      <c r="AC47" s="121" t="n"/>
      <c r="AD47" s="8" t="n"/>
      <c r="AE47" s="8" t="n"/>
      <c r="AF47" s="8" t="n"/>
      <c r="AG47" s="8" t="n"/>
      <c r="AH47" s="8" t="n"/>
      <c r="AI47" s="121" t="n"/>
      <c r="AJ47" s="121" t="n"/>
      <c r="AK47" s="8" t="n"/>
      <c r="AL47" s="8" t="n"/>
      <c r="AM47" s="8" t="n"/>
      <c r="AN47" s="8" t="n"/>
      <c r="AO47" s="8" t="n"/>
      <c r="AP47" s="121" t="n"/>
      <c r="AQ47" s="121" t="n"/>
      <c r="AR47" s="8" t="n"/>
      <c r="AS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8" t="n"/>
      <c r="T48" s="8" t="n"/>
      <c r="U48" s="121" t="n"/>
      <c r="V48" s="121" t="n"/>
      <c r="W48" s="8" t="n"/>
      <c r="X48" s="8" t="n"/>
      <c r="Y48" s="8" t="n"/>
      <c r="Z48" s="8" t="n"/>
      <c r="AA48" s="8" t="n"/>
      <c r="AB48" s="121" t="n"/>
      <c r="AC48" s="121" t="n"/>
      <c r="AD48" s="8" t="n"/>
      <c r="AE48" s="8" t="n"/>
      <c r="AF48" s="8" t="n"/>
      <c r="AG48" s="8" t="n"/>
      <c r="AH48" s="8" t="n"/>
      <c r="AI48" s="121" t="n"/>
      <c r="AJ48" s="121" t="n"/>
      <c r="AK48" s="8" t="n"/>
      <c r="AL48" s="8" t="n"/>
      <c r="AM48" s="8" t="n"/>
      <c r="AN48" s="8" t="n"/>
      <c r="AO48" s="8" t="n"/>
      <c r="AP48" s="121" t="n"/>
      <c r="AQ48" s="121" t="n"/>
      <c r="AR48" s="8" t="n"/>
      <c r="AS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7" t="n"/>
      <c r="Q49" s="8" t="n"/>
      <c r="R49" s="8" t="n"/>
      <c r="S49" s="8" t="n"/>
      <c r="T49" s="8" t="n"/>
      <c r="U49" s="121" t="n"/>
      <c r="V49" s="121" t="n"/>
      <c r="W49" s="8" t="n"/>
      <c r="X49" s="8" t="n"/>
      <c r="Y49" s="8" t="n"/>
      <c r="Z49" s="8" t="n"/>
      <c r="AA49" s="8" t="n"/>
      <c r="AB49" s="121" t="n"/>
      <c r="AC49" s="121" t="n"/>
      <c r="AD49" s="8" t="n"/>
      <c r="AE49" s="8" t="n"/>
      <c r="AF49" s="8" t="n"/>
      <c r="AG49" s="8" t="n"/>
      <c r="AH49" s="8" t="n"/>
      <c r="AI49" s="121" t="n"/>
      <c r="AJ49" s="121" t="n"/>
      <c r="AK49" s="8" t="n"/>
      <c r="AL49" s="8" t="n"/>
      <c r="AM49" s="8" t="n"/>
      <c r="AN49" s="8" t="n"/>
      <c r="AO49" s="8" t="n"/>
      <c r="AP49" s="121" t="n"/>
      <c r="AQ49" s="121" t="n"/>
      <c r="AR49" s="8" t="n"/>
      <c r="AS49" s="43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14" t="n"/>
      <c r="Q51" s="28" t="n"/>
      <c r="R51" s="28" t="n"/>
      <c r="S51" s="28" t="n"/>
      <c r="T51" s="28" t="n"/>
      <c r="U51" s="121" t="n"/>
      <c r="V51" s="121" t="n"/>
      <c r="W51" s="28" t="n"/>
      <c r="X51" s="28" t="n"/>
      <c r="Y51" s="28" t="n"/>
      <c r="Z51" s="28" t="n"/>
      <c r="AA51" s="28" t="n"/>
      <c r="AB51" s="113" t="n"/>
      <c r="AC51" s="113" t="n"/>
      <c r="AD51" s="28" t="n"/>
      <c r="AE51" s="28" t="n"/>
      <c r="AF51" s="28" t="n"/>
      <c r="AG51" s="28" t="n"/>
      <c r="AH51" s="28" t="n"/>
      <c r="AI51" s="227" t="n"/>
      <c r="AJ51" s="227" t="n"/>
      <c r="AK51" s="150" t="n"/>
      <c r="AL51" s="28" t="n"/>
      <c r="AM51" s="28" t="n"/>
      <c r="AN51" s="28" t="n"/>
      <c r="AO51" s="28" t="n"/>
      <c r="AP51" s="113" t="n"/>
      <c r="AQ51" s="113" t="n"/>
      <c r="AR51" s="28" t="n"/>
      <c r="AS51" s="42" t="n"/>
      <c r="AU51" s="15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8" t="n"/>
      <c r="T52" s="8" t="n"/>
      <c r="U52" s="121" t="n"/>
      <c r="V52" s="121" t="n"/>
      <c r="W52" s="8" t="n"/>
      <c r="X52" s="8" t="n"/>
      <c r="Y52" s="8" t="n"/>
      <c r="Z52" s="8" t="n"/>
      <c r="AA52" s="8" t="n"/>
      <c r="AB52" s="121" t="n"/>
      <c r="AC52" s="121" t="n"/>
      <c r="AD52" s="8" t="n"/>
      <c r="AE52" s="8" t="n"/>
      <c r="AF52" s="8" t="n"/>
      <c r="AG52" s="8" t="n"/>
      <c r="AH52" s="8" t="n"/>
      <c r="AI52" s="121" t="n"/>
      <c r="AJ52" s="121" t="n"/>
      <c r="AK52" s="8" t="n"/>
      <c r="AL52" s="8" t="n"/>
      <c r="AM52" s="8" t="n"/>
      <c r="AN52" s="8" t="n"/>
      <c r="AO52" s="8" t="n"/>
      <c r="AP52" s="121" t="n"/>
      <c r="AQ52" s="121" t="n"/>
      <c r="AR52" s="8" t="n"/>
      <c r="AS52" s="43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8" t="n"/>
      <c r="T53" s="8" t="n"/>
      <c r="U53" s="121" t="n"/>
      <c r="V53" s="121" t="n"/>
      <c r="W53" s="8" t="n"/>
      <c r="X53" s="8" t="n"/>
      <c r="Y53" s="8" t="n"/>
      <c r="Z53" s="8" t="n"/>
      <c r="AA53" s="8" t="n"/>
      <c r="AB53" s="121" t="n"/>
      <c r="AC53" s="121" t="n"/>
      <c r="AD53" s="8" t="n"/>
      <c r="AE53" s="8" t="n"/>
      <c r="AF53" s="8" t="n"/>
      <c r="AG53" s="8" t="n"/>
      <c r="AH53" s="8" t="n"/>
      <c r="AI53" s="121" t="n"/>
      <c r="AJ53" s="121" t="n"/>
      <c r="AK53" s="8" t="n"/>
      <c r="AL53" s="8" t="n"/>
      <c r="AM53" s="8" t="n"/>
      <c r="AN53" s="8" t="n"/>
      <c r="AO53" s="8" t="n"/>
      <c r="AP53" s="121" t="n"/>
      <c r="AQ53" s="121" t="n"/>
      <c r="AR53" s="8" t="n"/>
      <c r="AS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8" t="n"/>
      <c r="T54" s="8" t="n"/>
      <c r="U54" s="121" t="n"/>
      <c r="V54" s="121" t="n"/>
      <c r="W54" s="8" t="n"/>
      <c r="X54" s="8" t="n"/>
      <c r="Y54" s="8" t="n"/>
      <c r="Z54" s="8" t="n"/>
      <c r="AA54" s="8" t="n"/>
      <c r="AB54" s="121" t="n"/>
      <c r="AC54" s="121" t="n"/>
      <c r="AD54" s="8" t="n"/>
      <c r="AE54" s="8" t="n"/>
      <c r="AF54" s="8" t="n"/>
      <c r="AG54" s="8" t="n"/>
      <c r="AH54" s="8" t="n"/>
      <c r="AI54" s="121" t="n"/>
      <c r="AJ54" s="121" t="n"/>
      <c r="AK54" s="8" t="n"/>
      <c r="AL54" s="8" t="n"/>
      <c r="AM54" s="8" t="n"/>
      <c r="AN54" s="8" t="n"/>
      <c r="AO54" s="8" t="n"/>
      <c r="AP54" s="121" t="n"/>
      <c r="AQ54" s="121" t="n"/>
      <c r="AR54" s="8" t="n"/>
      <c r="AS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8" t="n"/>
      <c r="T55" s="8" t="n"/>
      <c r="U55" s="121" t="n"/>
      <c r="V55" s="121" t="n"/>
      <c r="W55" s="8" t="n"/>
      <c r="X55" s="8" t="n"/>
      <c r="Y55" s="8" t="n"/>
      <c r="Z55" s="8" t="n"/>
      <c r="AA55" s="8" t="n"/>
      <c r="AB55" s="121" t="n"/>
      <c r="AC55" s="121" t="n"/>
      <c r="AD55" s="8" t="n"/>
      <c r="AE55" s="8" t="n"/>
      <c r="AF55" s="8" t="n"/>
      <c r="AG55" s="8" t="n"/>
      <c r="AH55" s="8" t="n"/>
      <c r="AI55" s="121" t="n"/>
      <c r="AJ55" s="121" t="n"/>
      <c r="AK55" s="8" t="n"/>
      <c r="AL55" s="8" t="n"/>
      <c r="AM55" s="8" t="n"/>
      <c r="AN55" s="8" t="n"/>
      <c r="AO55" s="8" t="n"/>
      <c r="AP55" s="121" t="n"/>
      <c r="AQ55" s="121" t="n"/>
      <c r="AR55" s="8" t="n"/>
      <c r="AS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8" t="n"/>
      <c r="T56" s="8" t="n"/>
      <c r="U56" s="121" t="n"/>
      <c r="V56" s="121" t="n"/>
      <c r="W56" s="8" t="n"/>
      <c r="X56" s="8" t="n"/>
      <c r="Y56" s="8" t="n"/>
      <c r="Z56" s="8" t="n"/>
      <c r="AA56" s="8" t="n"/>
      <c r="AB56" s="121" t="n"/>
      <c r="AC56" s="121" t="n"/>
      <c r="AD56" s="8" t="n"/>
      <c r="AE56" s="8" t="n"/>
      <c r="AF56" s="8" t="n"/>
      <c r="AG56" s="8" t="n"/>
      <c r="AH56" s="8" t="n"/>
      <c r="AI56" s="121" t="n"/>
      <c r="AJ56" s="121" t="n"/>
      <c r="AK56" s="8" t="n"/>
      <c r="AL56" s="8" t="n"/>
      <c r="AM56" s="8" t="n"/>
      <c r="AN56" s="8" t="n"/>
      <c r="AO56" s="8" t="n"/>
      <c r="AP56" s="121" t="n"/>
      <c r="AQ56" s="121" t="n"/>
      <c r="AR56" s="8" t="n"/>
      <c r="AS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8" t="n"/>
      <c r="T57" s="8" t="n"/>
      <c r="U57" s="121" t="n"/>
      <c r="V57" s="121" t="n"/>
      <c r="W57" s="8" t="n"/>
      <c r="X57" s="8" t="n"/>
      <c r="Y57" s="8" t="n"/>
      <c r="Z57" s="8" t="n"/>
      <c r="AA57" s="8" t="n"/>
      <c r="AB57" s="121" t="n"/>
      <c r="AC57" s="121" t="n"/>
      <c r="AD57" s="8" t="n"/>
      <c r="AE57" s="8" t="n"/>
      <c r="AF57" s="8" t="n"/>
      <c r="AG57" s="8" t="n"/>
      <c r="AH57" s="8" t="n"/>
      <c r="AI57" s="121" t="n"/>
      <c r="AJ57" s="121" t="n"/>
      <c r="AK57" s="8" t="n"/>
      <c r="AL57" s="8" t="n"/>
      <c r="AM57" s="8" t="n"/>
      <c r="AN57" s="8" t="n"/>
      <c r="AO57" s="8" t="n"/>
      <c r="AP57" s="121" t="n"/>
      <c r="AQ57" s="121" t="n"/>
      <c r="AR57" s="8" t="n"/>
      <c r="AS57" s="43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8" t="n"/>
      <c r="T58" s="8" t="n"/>
      <c r="U58" s="121" t="n"/>
      <c r="V58" s="121" t="n"/>
      <c r="W58" s="8" t="n"/>
      <c r="X58" s="8" t="n"/>
      <c r="Y58" s="8" t="n"/>
      <c r="Z58" s="8" t="n"/>
      <c r="AA58" s="8" t="n"/>
      <c r="AB58" s="121" t="n"/>
      <c r="AC58" s="121" t="n"/>
      <c r="AD58" s="8" t="n"/>
      <c r="AE58" s="8" t="n"/>
      <c r="AF58" s="8" t="n"/>
      <c r="AG58" s="8" t="n"/>
      <c r="AH58" s="8" t="n"/>
      <c r="AI58" s="121" t="n"/>
      <c r="AJ58" s="121" t="n"/>
      <c r="AK58" s="8" t="n"/>
      <c r="AL58" s="8" t="n"/>
      <c r="AM58" s="8" t="n"/>
      <c r="AN58" s="8" t="n"/>
      <c r="AO58" s="8" t="n"/>
      <c r="AP58" s="121" t="n"/>
      <c r="AQ58" s="121" t="n"/>
      <c r="AR58" s="8" t="n"/>
      <c r="AS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8" t="n"/>
      <c r="T59" s="8" t="n"/>
      <c r="U59" s="121" t="n"/>
      <c r="V59" s="121" t="n"/>
      <c r="W59" s="8" t="n"/>
      <c r="X59" s="8" t="n"/>
      <c r="Y59" s="8" t="n"/>
      <c r="Z59" s="8" t="n"/>
      <c r="AA59" s="8" t="n"/>
      <c r="AB59" s="121" t="n"/>
      <c r="AC59" s="121" t="n"/>
      <c r="AD59" s="8" t="n"/>
      <c r="AE59" s="8" t="n"/>
      <c r="AF59" s="8" t="n"/>
      <c r="AG59" s="8" t="n"/>
      <c r="AH59" s="8" t="n"/>
      <c r="AI59" s="121" t="n"/>
      <c r="AJ59" s="121" t="n"/>
      <c r="AK59" s="8" t="n"/>
      <c r="AL59" s="8" t="n"/>
      <c r="AM59" s="8" t="n"/>
      <c r="AN59" s="8" t="n"/>
      <c r="AO59" s="8" t="n"/>
      <c r="AP59" s="121" t="n"/>
      <c r="AQ59" s="121" t="n"/>
      <c r="AR59" s="8" t="n"/>
      <c r="AS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8" t="n"/>
      <c r="T60" s="8" t="n"/>
      <c r="U60" s="121" t="n"/>
      <c r="V60" s="121" t="n"/>
      <c r="W60" s="8" t="n"/>
      <c r="X60" s="8" t="n"/>
      <c r="Y60" s="8" t="n"/>
      <c r="Z60" s="8" t="n"/>
      <c r="AA60" s="8" t="n"/>
      <c r="AB60" s="121" t="n"/>
      <c r="AC60" s="121" t="n"/>
      <c r="AD60" s="8" t="n"/>
      <c r="AE60" s="8" t="n"/>
      <c r="AF60" s="8" t="n"/>
      <c r="AG60" s="8" t="n"/>
      <c r="AH60" s="8" t="n"/>
      <c r="AI60" s="121" t="n"/>
      <c r="AJ60" s="121" t="n"/>
      <c r="AK60" s="8" t="n"/>
      <c r="AL60" s="8" t="n"/>
      <c r="AM60" s="8" t="n"/>
      <c r="AN60" s="8" t="n"/>
      <c r="AO60" s="8" t="n"/>
      <c r="AP60" s="121" t="n"/>
      <c r="AQ60" s="121" t="n"/>
      <c r="AR60" s="8" t="n"/>
      <c r="AS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8" t="n"/>
      <c r="T61" s="8" t="n"/>
      <c r="U61" s="121" t="n"/>
      <c r="V61" s="121" t="n"/>
      <c r="W61" s="8" t="n"/>
      <c r="X61" s="8" t="n"/>
      <c r="Y61" s="8" t="n"/>
      <c r="Z61" s="8" t="n"/>
      <c r="AA61" s="8" t="n"/>
      <c r="AB61" s="121" t="n"/>
      <c r="AC61" s="121" t="n"/>
      <c r="AD61" s="8" t="n"/>
      <c r="AE61" s="8" t="n"/>
      <c r="AF61" s="8" t="n"/>
      <c r="AG61" s="8" t="n"/>
      <c r="AH61" s="8" t="n"/>
      <c r="AI61" s="121" t="n"/>
      <c r="AJ61" s="121" t="n"/>
      <c r="AK61" s="8" t="n"/>
      <c r="AL61" s="8" t="n"/>
      <c r="AM61" s="8" t="n"/>
      <c r="AN61" s="8" t="n"/>
      <c r="AO61" s="8" t="n"/>
      <c r="AP61" s="121" t="n"/>
      <c r="AQ61" s="121" t="n"/>
      <c r="AR61" s="8" t="n"/>
      <c r="AS61" s="43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18" t="n"/>
      <c r="Q62" s="29" t="n"/>
      <c r="R62" s="29" t="n"/>
      <c r="S62" s="29" t="n"/>
      <c r="T62" s="29" t="n"/>
      <c r="U62" s="122" t="n"/>
      <c r="V62" s="122" t="n"/>
      <c r="W62" s="29" t="n"/>
      <c r="X62" s="29" t="n"/>
      <c r="Y62" s="29" t="n"/>
      <c r="Z62" s="29" t="n"/>
      <c r="AA62" s="29" t="n"/>
      <c r="AB62" s="122" t="n"/>
      <c r="AC62" s="122" t="n"/>
      <c r="AD62" s="29" t="n"/>
      <c r="AE62" s="29" t="n"/>
      <c r="AF62" s="29" t="n"/>
      <c r="AG62" s="29" t="n"/>
      <c r="AH62" s="29" t="n"/>
      <c r="AI62" s="122" t="n"/>
      <c r="AJ62" s="122" t="n"/>
      <c r="AK62" s="29" t="n"/>
      <c r="AL62" s="29" t="n"/>
      <c r="AM62" s="29" t="n"/>
      <c r="AN62" s="29" t="n"/>
      <c r="AO62" s="29" t="n"/>
      <c r="AP62" s="122" t="n"/>
      <c r="AQ62" s="122" t="n"/>
      <c r="AR62" s="29" t="n"/>
      <c r="AS62" s="44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28" t="n"/>
      <c r="T64" s="28" t="n"/>
      <c r="U64" s="113" t="n"/>
      <c r="V64" s="113" t="n"/>
      <c r="W64" s="28" t="n"/>
      <c r="X64" s="28" t="n"/>
      <c r="Y64" s="28" t="n"/>
      <c r="Z64" s="28" t="n"/>
      <c r="AA64" s="28" t="n"/>
      <c r="AB64" s="113" t="n"/>
      <c r="AC64" s="113" t="n"/>
      <c r="AD64" s="28" t="n"/>
      <c r="AE64" s="28" t="n"/>
      <c r="AF64" s="28" t="n"/>
      <c r="AG64" s="28" t="n"/>
      <c r="AH64" s="28" t="n"/>
      <c r="AI64" s="113" t="n"/>
      <c r="AJ64" s="113" t="n"/>
      <c r="AK64" s="28" t="n"/>
      <c r="AL64" s="28" t="n"/>
      <c r="AM64" s="28" t="n"/>
      <c r="AN64" s="28" t="n"/>
      <c r="AO64" s="28" t="n"/>
      <c r="AP64" s="113" t="n"/>
      <c r="AQ64" s="113" t="n"/>
      <c r="AR64" s="28" t="n"/>
      <c r="AS64" s="42" t="n"/>
      <c r="AU64" s="15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8" t="n"/>
      <c r="T65" s="8" t="n"/>
      <c r="U65" s="121" t="n"/>
      <c r="V65" s="121" t="n"/>
      <c r="W65" s="8" t="n"/>
      <c r="X65" s="8" t="n"/>
      <c r="Y65" s="8" t="n"/>
      <c r="Z65" s="8" t="n"/>
      <c r="AA65" s="8" t="n"/>
      <c r="AB65" s="121" t="n"/>
      <c r="AC65" s="121" t="n"/>
      <c r="AD65" s="8" t="n"/>
      <c r="AE65" s="8" t="n"/>
      <c r="AF65" s="8" t="n"/>
      <c r="AG65" s="8" t="n"/>
      <c r="AH65" s="8" t="n"/>
      <c r="AI65" s="121" t="n"/>
      <c r="AJ65" s="121" t="n"/>
      <c r="AK65" s="8" t="n"/>
      <c r="AL65" s="8" t="n"/>
      <c r="AM65" s="8" t="n"/>
      <c r="AN65" s="8" t="n"/>
      <c r="AO65" s="8" t="n"/>
      <c r="AP65" s="121" t="n"/>
      <c r="AQ65" s="121" t="n"/>
      <c r="AR65" s="8" t="n"/>
      <c r="AS65" s="43" t="n"/>
      <c r="AU65" s="27">
        <f>COUNTIF(P64:AS73,"P")</f>
        <v/>
      </c>
      <c r="AV65" s="27">
        <f>COUNTIF(P64:AS73,"PC")</f>
        <v/>
      </c>
      <c r="AW65" s="27">
        <f>COUNTIF(P64:AS73,"F")</f>
        <v/>
      </c>
      <c r="AX65" s="27">
        <f>COUNTIF(P64:AS73,"AST")</f>
        <v/>
      </c>
      <c r="AY65" s="27">
        <f>COUNTIF(P64:AS73,"Ca")</f>
        <v/>
      </c>
      <c r="AZ65" s="27">
        <f>COUNTIF(P64:AS73,"RTT")</f>
        <v/>
      </c>
      <c r="BA65" s="27">
        <f>COUNTIF(P64:AS73,"CEX")</f>
        <v/>
      </c>
      <c r="BB65" s="27">
        <f>COUNTIF(P64:AS73,"RES")</f>
        <v/>
      </c>
      <c r="BC65" s="27">
        <f>COUNTIF(P64:AS73,"MA")</f>
        <v/>
      </c>
      <c r="BD65" s="27">
        <f>COUNTIF(P64:AS73,"AT")</f>
        <v/>
      </c>
      <c r="BE65" s="27">
        <f>COUNTIF(P64:AS73,"TP")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8" t="n"/>
      <c r="T66" s="8" t="n"/>
      <c r="U66" s="121" t="n"/>
      <c r="V66" s="121" t="n"/>
      <c r="W66" s="8" t="n"/>
      <c r="X66" s="8" t="n"/>
      <c r="Y66" s="8" t="n"/>
      <c r="Z66" s="8" t="n"/>
      <c r="AA66" s="8" t="n"/>
      <c r="AB66" s="121" t="n"/>
      <c r="AC66" s="121" t="n"/>
      <c r="AD66" s="8" t="n"/>
      <c r="AE66" s="8" t="n"/>
      <c r="AF66" s="8" t="n"/>
      <c r="AG66" s="8" t="n"/>
      <c r="AH66" s="8" t="n"/>
      <c r="AI66" s="121" t="n"/>
      <c r="AJ66" s="121" t="n"/>
      <c r="AK66" s="8" t="n"/>
      <c r="AL66" s="8" t="n"/>
      <c r="AM66" s="8" t="n"/>
      <c r="AN66" s="8" t="n"/>
      <c r="AO66" s="8" t="n"/>
      <c r="AP66" s="121" t="n"/>
      <c r="AQ66" s="121" t="n"/>
      <c r="AR66" s="8" t="n"/>
      <c r="AS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COUNTIF(P67:AS67,"p")</f>
        <v/>
      </c>
      <c r="E67" s="116">
        <f>COUNTIF(P67:AS67,"PC")</f>
        <v/>
      </c>
      <c r="F67" s="116">
        <f>COUNTIF(P67:AS67,"f")</f>
        <v/>
      </c>
      <c r="G67" s="116">
        <f>COUNTIF(P67:AS67,"ast")</f>
        <v/>
      </c>
      <c r="H67" s="116">
        <f>COUNTIF(P67:AS67,"cA")</f>
        <v/>
      </c>
      <c r="I67" s="116">
        <f>COUNTIF(P67:AS67,"rtt")</f>
        <v/>
      </c>
      <c r="J67" s="116">
        <f>COUNTIF(P67:AS67,"cex")</f>
        <v/>
      </c>
      <c r="K67" s="116">
        <f>COUNTIF(P67:AS67,"res")</f>
        <v/>
      </c>
      <c r="L67" s="116">
        <f>COUNTIF(P67:AS67,"mA")</f>
        <v/>
      </c>
      <c r="M67" s="116">
        <f>COUNTIF(P67:AS67,"at")</f>
        <v/>
      </c>
      <c r="N67" s="116">
        <f>COUNTIF(P67:AS67,"TAD")</f>
        <v/>
      </c>
      <c r="O67" s="120">
        <f>COUNTIF(P67:AS67,"TP")</f>
        <v/>
      </c>
      <c r="P67" s="118" t="n"/>
      <c r="Q67" s="29" t="n"/>
      <c r="R67" s="29" t="n"/>
      <c r="S67" s="29" t="n"/>
      <c r="T67" s="29" t="n"/>
      <c r="U67" s="122" t="n"/>
      <c r="V67" s="122" t="n"/>
      <c r="W67" s="29" t="n"/>
      <c r="X67" s="29" t="n"/>
      <c r="Y67" s="29" t="n"/>
      <c r="Z67" s="29" t="n"/>
      <c r="AA67" s="29" t="n"/>
      <c r="AB67" s="122" t="n"/>
      <c r="AC67" s="122" t="n"/>
      <c r="AD67" s="29" t="n"/>
      <c r="AE67" s="29" t="n"/>
      <c r="AF67" s="29" t="n"/>
      <c r="AG67" s="29" t="n"/>
      <c r="AH67" s="29" t="n"/>
      <c r="AI67" s="122" t="n"/>
      <c r="AJ67" s="122" t="n"/>
      <c r="AK67" s="29" t="n"/>
      <c r="AL67" s="29" t="n"/>
      <c r="AM67" s="29" t="n"/>
      <c r="AN67" s="29" t="n"/>
      <c r="AO67" s="29" t="n"/>
      <c r="AP67" s="122" t="n"/>
      <c r="AQ67" s="122" t="n"/>
      <c r="AR67" s="29" t="n"/>
      <c r="AS67" s="44" t="n"/>
    </row>
    <row r="76">
      <c r="T76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78" operator="equal" dxfId="55">
      <formula>"repos"</formula>
    </cfRule>
    <cfRule type="cellIs" priority="79" operator="equal" dxfId="53">
      <formula>"permanence"</formula>
    </cfRule>
    <cfRule type="cellIs" priority="80" operator="equal" dxfId="53">
      <formula>"dimanche"</formula>
    </cfRule>
    <cfRule type="cellIs" priority="81" operator="equal" dxfId="52">
      <formula>"formation"</formula>
    </cfRule>
    <cfRule type="cellIs" priority="82" operator="equal" dxfId="6">
      <formula>"conges exc"</formula>
    </cfRule>
    <cfRule type="cellIs" priority="83" operator="equal" dxfId="4">
      <formula>"conges"</formula>
    </cfRule>
    <cfRule type="cellIs" priority="84" operator="equal" dxfId="5">
      <formula>"asa"</formula>
    </cfRule>
    <cfRule type="cellIs" priority="85" operator="equal" dxfId="8">
      <formula>"maladie / at"</formula>
    </cfRule>
    <cfRule type="cellIs" priority="86" operator="equal" dxfId="0">
      <formula>"presence"</formula>
    </cfRule>
  </conditionalFormatting>
  <conditionalFormatting sqref="D11:O20 D23:O24 D26:O29 D31:O36 D39:O49 D51:O62 D64:O67">
    <cfRule type="cellIs" priority="87" operator="equal" dxfId="46">
      <formula>0</formula>
    </cfRule>
  </conditionalFormatting>
  <conditionalFormatting sqref="P20">
    <cfRule type="colorScale" priority="49">
      <colorScale>
        <cfvo type="min"/>
        <cfvo type="max"/>
        <color rgb="FFFF7128"/>
        <color rgb="FFFFEF9C"/>
      </colorScale>
    </cfRule>
  </conditionalFormatting>
  <conditionalFormatting sqref="P9:AS9">
    <cfRule type="expression" priority="89" dxfId="44">
      <formula>OR(P$9=1, P$9=7)</formula>
    </cfRule>
  </conditionalFormatting>
  <conditionalFormatting sqref="P9:AS10">
    <cfRule type="expression" priority="88" dxfId="44">
      <formula>OR(P$9=1,P$9=7)</formula>
    </cfRule>
  </conditionalFormatting>
  <conditionalFormatting sqref="P11:AS20">
    <cfRule type="containsText" priority="66" operator="containsText" dxfId="10" text="TP">
      <formula>NOT(ISERROR(SEARCH("TP",P11)))</formula>
    </cfRule>
    <cfRule type="containsText" priority="67" operator="containsText" text="TAD">
      <formula>NOT(ISERROR(SEARCH("TAD",P11)))</formula>
    </cfRule>
    <cfRule type="containsText" priority="68" operator="containsText" dxfId="9" text="AT">
      <formula>NOT(ISERROR(SEARCH("AT",P11)))</formula>
    </cfRule>
    <cfRule type="containsText" priority="69" operator="containsText" dxfId="8" text="MA">
      <formula>NOT(ISERROR(SEARCH("MA",P11)))</formula>
    </cfRule>
    <cfRule type="containsText" priority="70" operator="containsText" dxfId="7" text="RES">
      <formula>NOT(ISERROR(SEARCH("RES",P11)))</formula>
    </cfRule>
    <cfRule type="containsText" priority="71" operator="containsText" dxfId="6" text="CEX">
      <formula>NOT(ISERROR(SEARCH("CEX",P11)))</formula>
    </cfRule>
    <cfRule type="containsText" priority="72" operator="containsText" dxfId="5" text="RTT">
      <formula>NOT(ISERROR(SEARCH("RTT",P11)))</formula>
    </cfRule>
    <cfRule type="beginsWith" priority="73" operator="beginsWith" dxfId="4" text="CA">
      <formula>LEFT(P11,LEN("CA"))="CA"</formula>
    </cfRule>
    <cfRule type="containsText" priority="74" operator="containsText" dxfId="3" text="AST">
      <formula>NOT(ISERROR(SEARCH("AST",P11)))</formula>
    </cfRule>
    <cfRule type="containsText" priority="75" operator="containsText" dxfId="2" text="F">
      <formula>NOT(ISERROR(SEARCH("F",P11)))</formula>
    </cfRule>
    <cfRule type="containsText" priority="76" operator="containsText" dxfId="1" text="PC">
      <formula>NOT(ISERROR(SEARCH("PC",P11)))</formula>
    </cfRule>
    <cfRule type="containsText" priority="77" operator="containsText" dxfId="0" text="P">
      <formula>NOT(ISERROR(SEARCH("P",P11)))</formula>
    </cfRule>
  </conditionalFormatting>
  <conditionalFormatting sqref="P23:AS24">
    <cfRule type="containsText" priority="50" operator="containsText" dxfId="10" text="TP">
      <formula>NOT(ISERROR(SEARCH("TP",P23)))</formula>
    </cfRule>
    <cfRule type="containsText" priority="51" operator="containsText" text="TAD">
      <formula>NOT(ISERROR(SEARCH("TAD",P23)))</formula>
    </cfRule>
    <cfRule type="containsText" priority="52" operator="containsText" dxfId="9" text="AT">
      <formula>NOT(ISERROR(SEARCH("AT",P23)))</formula>
    </cfRule>
    <cfRule type="containsText" priority="53" operator="containsText" dxfId="8" text="MA">
      <formula>NOT(ISERROR(SEARCH("MA",P23)))</formula>
    </cfRule>
    <cfRule type="containsText" priority="54" operator="containsText" dxfId="7" text="RES">
      <formula>NOT(ISERROR(SEARCH("RES",P23)))</formula>
    </cfRule>
    <cfRule type="containsText" priority="55" operator="containsText" dxfId="6" text="CEX">
      <formula>NOT(ISERROR(SEARCH("CEX",P23)))</formula>
    </cfRule>
    <cfRule type="containsText" priority="56" operator="containsText" dxfId="5" text="RTT">
      <formula>NOT(ISERROR(SEARCH("RTT",P23)))</formula>
    </cfRule>
    <cfRule type="beginsWith" priority="57" operator="beginsWith" dxfId="4" text="CA">
      <formula>LEFT(P23,LEN("CA"))="CA"</formula>
    </cfRule>
    <cfRule type="containsText" priority="58" operator="containsText" dxfId="3" text="AST">
      <formula>NOT(ISERROR(SEARCH("AST",P23)))</formula>
    </cfRule>
    <cfRule type="containsText" priority="59" operator="containsText" dxfId="2" text="F">
      <formula>NOT(ISERROR(SEARCH("F",P23)))</formula>
    </cfRule>
    <cfRule type="containsText" priority="60" operator="containsText" dxfId="1" text="PC">
      <formula>NOT(ISERROR(SEARCH("PC",P23)))</formula>
    </cfRule>
    <cfRule type="containsText" priority="61" operator="containsText" dxfId="0" text="P">
      <formula>NOT(ISERROR(SEARCH("P",P23)))</formula>
    </cfRule>
  </conditionalFormatting>
  <conditionalFormatting sqref="P26:AS29 P31:AS36">
    <cfRule type="containsText" priority="37" operator="containsText" dxfId="10" text="TP">
      <formula>NOT(ISERROR(SEARCH("TP",P26)))</formula>
    </cfRule>
    <cfRule type="containsText" priority="38" operator="containsText" text="TAD">
      <formula>NOT(ISERROR(SEARCH("TAD",P26)))</formula>
    </cfRule>
    <cfRule type="containsText" priority="39" operator="containsText" dxfId="9" text="AT">
      <formula>NOT(ISERROR(SEARCH("AT",P26)))</formula>
    </cfRule>
    <cfRule type="containsText" priority="40" operator="containsText" dxfId="8" text="MA">
      <formula>NOT(ISERROR(SEARCH("MA",P26)))</formula>
    </cfRule>
    <cfRule type="containsText" priority="41" operator="containsText" dxfId="7" text="RES">
      <formula>NOT(ISERROR(SEARCH("RES",P26)))</formula>
    </cfRule>
    <cfRule type="containsText" priority="42" operator="containsText" dxfId="6" text="CEX">
      <formula>NOT(ISERROR(SEARCH("CEX",P26)))</formula>
    </cfRule>
    <cfRule type="containsText" priority="43" operator="containsText" dxfId="5" text="RTT">
      <formula>NOT(ISERROR(SEARCH("RTT",P26)))</formula>
    </cfRule>
    <cfRule type="beginsWith" priority="44" operator="beginsWith" dxfId="4" text="CA">
      <formula>LEFT(P26,LEN("CA"))="CA"</formula>
    </cfRule>
    <cfRule type="containsText" priority="45" operator="containsText" dxfId="3" text="AST">
      <formula>NOT(ISERROR(SEARCH("AST",P26)))</formula>
    </cfRule>
    <cfRule type="containsText" priority="46" operator="containsText" dxfId="2" text="F">
      <formula>NOT(ISERROR(SEARCH("F",P26)))</formula>
    </cfRule>
    <cfRule type="containsText" priority="47" operator="containsText" dxfId="1" text="PC">
      <formula>NOT(ISERROR(SEARCH("PC",P26)))</formula>
    </cfRule>
    <cfRule type="containsText" priority="48" operator="containsText" dxfId="0" text="P">
      <formula>NOT(ISERROR(SEARCH("P",P26)))</formula>
    </cfRule>
  </conditionalFormatting>
  <conditionalFormatting sqref="P39:AS49">
    <cfRule type="containsText" priority="25" operator="containsText" dxfId="10" text="TP">
      <formula>NOT(ISERROR(SEARCH("TP",P39)))</formula>
    </cfRule>
    <cfRule type="containsText" priority="26" operator="containsText" text="TAD">
      <formula>NOT(ISERROR(SEARCH("TAD",P39)))</formula>
    </cfRule>
    <cfRule type="containsText" priority="27" operator="containsText" dxfId="9" text="AT">
      <formula>NOT(ISERROR(SEARCH("AT",P39)))</formula>
    </cfRule>
    <cfRule type="containsText" priority="28" operator="containsText" dxfId="8" text="MA">
      <formula>NOT(ISERROR(SEARCH("MA",P39)))</formula>
    </cfRule>
    <cfRule type="containsText" priority="29" operator="containsText" dxfId="7" text="RES">
      <formula>NOT(ISERROR(SEARCH("RES",P39)))</formula>
    </cfRule>
    <cfRule type="containsText" priority="30" operator="containsText" dxfId="6" text="CEX">
      <formula>NOT(ISERROR(SEARCH("CEX",P39)))</formula>
    </cfRule>
    <cfRule type="containsText" priority="31" operator="containsText" dxfId="5" text="RTT">
      <formula>NOT(ISERROR(SEARCH("RTT",P39)))</formula>
    </cfRule>
    <cfRule type="beginsWith" priority="32" operator="beginsWith" dxfId="4" text="CA">
      <formula>LEFT(P39,LEN("CA"))="CA"</formula>
    </cfRule>
    <cfRule type="containsText" priority="33" operator="containsText" dxfId="3" text="AST">
      <formula>NOT(ISERROR(SEARCH("AST",P39)))</formula>
    </cfRule>
    <cfRule type="containsText" priority="34" operator="containsText" dxfId="2" text="F">
      <formula>NOT(ISERROR(SEARCH("F",P39)))</formula>
    </cfRule>
    <cfRule type="containsText" priority="35" operator="containsText" dxfId="1" text="PC">
      <formula>NOT(ISERROR(SEARCH("PC",P39)))</formula>
    </cfRule>
    <cfRule type="containsText" priority="36" operator="containsText" dxfId="0" text="P">
      <formula>NOT(ISERROR(SEARCH("P",P39)))</formula>
    </cfRule>
  </conditionalFormatting>
  <conditionalFormatting sqref="P51:AS62">
    <cfRule type="containsText" priority="13" operator="containsText" dxfId="10" text="TP">
      <formula>NOT(ISERROR(SEARCH("TP",P51)))</formula>
    </cfRule>
    <cfRule type="containsText" priority="14" operator="containsText" text="TAD">
      <formula>NOT(ISERROR(SEARCH("TAD",P51)))</formula>
    </cfRule>
    <cfRule type="containsText" priority="15" operator="containsText" dxfId="9" text="AT">
      <formula>NOT(ISERROR(SEARCH("AT",P51)))</formula>
    </cfRule>
    <cfRule type="containsText" priority="16" operator="containsText" dxfId="8" text="MA">
      <formula>NOT(ISERROR(SEARCH("MA",P51)))</formula>
    </cfRule>
    <cfRule type="containsText" priority="17" operator="containsText" dxfId="7" text="RES">
      <formula>NOT(ISERROR(SEARCH("RES",P51)))</formula>
    </cfRule>
    <cfRule type="containsText" priority="18" operator="containsText" dxfId="6" text="CEX">
      <formula>NOT(ISERROR(SEARCH("CEX",P51)))</formula>
    </cfRule>
    <cfRule type="containsText" priority="19" operator="containsText" dxfId="5" text="RTT">
      <formula>NOT(ISERROR(SEARCH("RTT",P51)))</formula>
    </cfRule>
    <cfRule type="beginsWith" priority="20" operator="beginsWith" dxfId="4" text="CA">
      <formula>LEFT(P51,LEN("CA"))="CA"</formula>
    </cfRule>
    <cfRule type="containsText" priority="21" operator="containsText" dxfId="3" text="AST">
      <formula>NOT(ISERROR(SEARCH("AST",P51)))</formula>
    </cfRule>
    <cfRule type="containsText" priority="22" operator="containsText" dxfId="2" text="F">
      <formula>NOT(ISERROR(SEARCH("F",P51)))</formula>
    </cfRule>
    <cfRule type="containsText" priority="23" operator="containsText" dxfId="1" text="PC">
      <formula>NOT(ISERROR(SEARCH("PC",P51)))</formula>
    </cfRule>
    <cfRule type="containsText" priority="24" operator="containsText" dxfId="0" text="P">
      <formula>NOT(ISERROR(SEARCH("P",P51)))</formula>
    </cfRule>
  </conditionalFormatting>
  <conditionalFormatting sqref="P64:AS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S20">
    <cfRule type="colorScale" priority="62">
      <colorScale>
        <cfvo type="min"/>
        <cfvo type="max"/>
        <color rgb="FFFF7128"/>
        <color rgb="FFFFEF9C"/>
      </colorScale>
    </cfRule>
  </conditionalFormatting>
  <conditionalFormatting sqref="S20:V20">
    <cfRule type="colorScale" priority="64">
      <colorScale>
        <cfvo type="min"/>
        <cfvo type="max"/>
        <color rgb="FFFF7128"/>
        <color rgb="FFFFEF9C"/>
      </colorScale>
    </cfRule>
  </conditionalFormatting>
  <conditionalFormatting sqref="S20:AA20">
    <cfRule type="colorScale" priority="63">
      <colorScale>
        <cfvo type="min"/>
        <cfvo type="max"/>
        <color rgb="FFFF7128"/>
        <color rgb="FFFFEF9C"/>
      </colorScale>
    </cfRule>
  </conditionalFormatting>
  <conditionalFormatting sqref="U20:X20">
    <cfRule type="colorScale" priority="65">
      <colorScale>
        <cfvo type="min"/>
        <cfvo type="max"/>
        <color rgb="FFFF7128"/>
        <color rgb="FFFFEF9C"/>
      </colorScale>
    </cfRule>
  </conditionalFormatting>
  <conditionalFormatting sqref="AE20:AS20">
    <cfRule type="colorScale" priority="90">
      <colorScale>
        <cfvo type="min"/>
        <cfvo type="max"/>
        <color rgb="FFFF7128"/>
        <color rgb="FFFFEF9C"/>
      </colorScale>
    </cfRule>
  </conditionalFormatting>
  <dataValidations count="3">
    <dataValidation sqref="P10:AS10" showDropDown="0" showInputMessage="1" showErrorMessage="1" allowBlank="1" type="list">
      <formula1>"P,M,A,C,CEX,F,R,T,8H"</formula1>
    </dataValidation>
    <dataValidation sqref="T76" showDropDown="0" showInputMessage="1" showErrorMessage="1" allowBlank="1" type="list">
      <formula1>$D$9:$O$9</formula1>
    </dataValidation>
    <dataValidation sqref="P11:AS20 P23:AS24 P26:AS29 P31:AS36 P39:AS49 P51:AS62 P64:AS67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F70"/>
  <sheetViews>
    <sheetView topLeftCell="A4" zoomScale="90" zoomScaleNormal="90" workbookViewId="0">
      <pane ySplit="7" topLeftCell="A11" activePane="bottomLeft" state="frozen"/>
      <selection activeCell="A4" sqref="A4"/>
      <selection pane="bottomLeft" activeCell="A11" sqref="A11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20"/>
    <col width="4.140625" bestFit="1" customWidth="1" style="27" min="21" max="21"/>
    <col width="4.28515625" bestFit="1" customWidth="1" style="27" min="22" max="25"/>
    <col width="4.7109375" bestFit="1" customWidth="1" style="27" min="26" max="27"/>
    <col width="4.140625" bestFit="1" customWidth="1" style="27" min="28" max="28"/>
    <col width="4.28515625" bestFit="1" customWidth="1" style="27" min="29" max="32"/>
    <col width="4.7109375" bestFit="1" customWidth="1" style="27" min="33" max="34"/>
    <col width="4.28515625" bestFit="1" customWidth="1" style="27" min="35" max="39"/>
    <col width="4.7109375" bestFit="1" customWidth="1" style="27" min="40" max="41"/>
    <col width="4.28515625" bestFit="1" customWidth="1" style="27" min="42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config!B12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config!C12</f>
        <v/>
      </c>
    </row>
    <row r="3" ht="15" customHeight="1">
      <c r="A3" s="35" t="n"/>
    </row>
    <row r="4" ht="72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</row>
    <row r="6" ht="36" customHeight="1"/>
    <row r="7" ht="36" customHeight="1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26" t="n"/>
      <c r="Q8" s="26" t="n"/>
      <c r="R8" s="26" t="n"/>
      <c r="S8" s="26" t="n"/>
      <c r="T8" s="26" t="n"/>
      <c r="U8" s="26" t="n"/>
      <c r="V8" s="26" t="n"/>
      <c r="W8" s="193" t="n"/>
      <c r="X8" s="193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93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142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14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50">
        <f>IFERROR(IF(config!F3="","",config!F3),"")</f>
        <v/>
      </c>
      <c r="C11" s="95">
        <f>IFERROR(IF(config!G3="","",config!G3),"")</f>
        <v/>
      </c>
      <c r="D11" s="212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75" t="n"/>
      <c r="Q11" s="113" t="n"/>
      <c r="R11" s="28" t="n"/>
      <c r="S11" s="28" t="n"/>
      <c r="T11" s="28" t="n"/>
      <c r="U11" s="28" t="n"/>
      <c r="V11" s="28" t="n"/>
      <c r="W11" s="113" t="n"/>
      <c r="X11" s="113" t="n"/>
      <c r="Y11" s="28" t="n"/>
      <c r="Z11" s="28" t="n"/>
      <c r="AA11" s="28" t="n"/>
      <c r="AB11" s="28" t="n"/>
      <c r="AC11" s="28" t="n"/>
      <c r="AD11" s="113" t="n"/>
      <c r="AE11" s="113" t="n"/>
      <c r="AF11" s="28" t="n"/>
      <c r="AG11" s="28" t="n"/>
      <c r="AH11" s="28" t="n"/>
      <c r="AI11" s="28" t="n"/>
      <c r="AJ11" s="28" t="n"/>
      <c r="AK11" s="113" t="n"/>
      <c r="AL11" s="113" t="n"/>
      <c r="AM11" s="28" t="n"/>
      <c r="AN11" s="28" t="n"/>
      <c r="AO11" s="28" t="n"/>
      <c r="AP11" s="28" t="n"/>
      <c r="AQ11" s="28" t="n"/>
      <c r="AR11" s="113" t="n"/>
      <c r="AS11" s="113" t="n"/>
      <c r="AT11" s="42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212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49" t="n"/>
      <c r="Q12" s="121" t="n"/>
      <c r="R12" s="8" t="n"/>
      <c r="S12" s="8" t="n"/>
      <c r="T12" s="8" t="n"/>
      <c r="U12" s="8" t="n"/>
      <c r="V12" s="8" t="n"/>
      <c r="W12" s="121" t="n"/>
      <c r="X12" s="121" t="n"/>
      <c r="Y12" s="8" t="n"/>
      <c r="Z12" s="8" t="n"/>
      <c r="AA12" s="8" t="n"/>
      <c r="AB12" s="8" t="n"/>
      <c r="AC12" s="8" t="n"/>
      <c r="AD12" s="121" t="n"/>
      <c r="AE12" s="121" t="n"/>
      <c r="AF12" s="8" t="n"/>
      <c r="AG12" s="8" t="n"/>
      <c r="AH12" s="8" t="n"/>
      <c r="AI12" s="8" t="n"/>
      <c r="AJ12" s="8" t="n"/>
      <c r="AK12" s="121" t="n"/>
      <c r="AL12" s="121" t="n"/>
      <c r="AM12" s="8" t="n"/>
      <c r="AN12" s="8" t="n"/>
      <c r="AO12" s="8" t="n"/>
      <c r="AP12" s="8" t="n"/>
      <c r="AQ12" s="8" t="n"/>
      <c r="AR12" s="121" t="n"/>
      <c r="AS12" s="121" t="n"/>
      <c r="AT12" s="43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212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49" t="n"/>
      <c r="Q13" s="121" t="n"/>
      <c r="R13" s="8" t="n"/>
      <c r="S13" s="8" t="n"/>
      <c r="T13" s="8" t="n"/>
      <c r="U13" s="8" t="n"/>
      <c r="V13" s="8" t="n"/>
      <c r="W13" s="121" t="n"/>
      <c r="X13" s="121" t="n"/>
      <c r="Y13" s="8" t="n"/>
      <c r="Z13" s="8" t="n"/>
      <c r="AA13" s="8" t="n"/>
      <c r="AB13" s="8" t="n"/>
      <c r="AC13" s="8" t="n"/>
      <c r="AD13" s="121" t="n"/>
      <c r="AE13" s="121" t="n"/>
      <c r="AF13" s="8" t="n"/>
      <c r="AG13" s="8" t="n"/>
      <c r="AH13" s="8" t="n"/>
      <c r="AI13" s="8" t="n"/>
      <c r="AJ13" s="8" t="n"/>
      <c r="AK13" s="121" t="n"/>
      <c r="AL13" s="121" t="n"/>
      <c r="AM13" s="8" t="n"/>
      <c r="AN13" s="8" t="n"/>
      <c r="AO13" s="8" t="n"/>
      <c r="AP13" s="8" t="n"/>
      <c r="AQ13" s="8" t="n"/>
      <c r="AR13" s="121" t="n"/>
      <c r="AS13" s="121" t="n"/>
      <c r="AT13" s="43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212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49" t="n"/>
      <c r="Q14" s="121" t="n"/>
      <c r="R14" s="8" t="n"/>
      <c r="S14" s="8" t="n"/>
      <c r="T14" s="8" t="n"/>
      <c r="U14" s="8" t="n"/>
      <c r="V14" s="8" t="n"/>
      <c r="W14" s="121" t="n"/>
      <c r="X14" s="121" t="n"/>
      <c r="Y14" s="8" t="n"/>
      <c r="Z14" s="8" t="n"/>
      <c r="AA14" s="8" t="n"/>
      <c r="AB14" s="8" t="n"/>
      <c r="AC14" s="8" t="n"/>
      <c r="AD14" s="121" t="n"/>
      <c r="AE14" s="121" t="n"/>
      <c r="AF14" s="8" t="n"/>
      <c r="AG14" s="8" t="n"/>
      <c r="AH14" s="8" t="n"/>
      <c r="AI14" s="8" t="n"/>
      <c r="AJ14" s="8" t="n"/>
      <c r="AK14" s="121" t="n"/>
      <c r="AL14" s="121" t="n"/>
      <c r="AM14" s="8" t="n"/>
      <c r="AN14" s="8" t="n"/>
      <c r="AO14" s="8" t="n"/>
      <c r="AP14" s="8" t="n"/>
      <c r="AQ14" s="8" t="n"/>
      <c r="AR14" s="121" t="n"/>
      <c r="AS14" s="121" t="n"/>
      <c r="AT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212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49" t="n"/>
      <c r="Q15" s="121" t="n"/>
      <c r="R15" s="8" t="n"/>
      <c r="S15" s="8" t="n"/>
      <c r="T15" s="8" t="n"/>
      <c r="U15" s="8" t="n"/>
      <c r="V15" s="8" t="n"/>
      <c r="W15" s="121" t="n"/>
      <c r="X15" s="121" t="n"/>
      <c r="Y15" s="8" t="n"/>
      <c r="Z15" s="8" t="n"/>
      <c r="AA15" s="8" t="n"/>
      <c r="AB15" s="8" t="n"/>
      <c r="AC15" s="8" t="n"/>
      <c r="AD15" s="121" t="n"/>
      <c r="AE15" s="121" t="n"/>
      <c r="AF15" s="8" t="n"/>
      <c r="AG15" s="8" t="n"/>
      <c r="AH15" s="8" t="n"/>
      <c r="AI15" s="8" t="n"/>
      <c r="AJ15" s="8" t="n"/>
      <c r="AK15" s="121" t="n"/>
      <c r="AL15" s="121" t="n"/>
      <c r="AM15" s="8" t="n"/>
      <c r="AN15" s="8" t="n"/>
      <c r="AO15" s="8" t="n"/>
      <c r="AP15" s="8" t="n"/>
      <c r="AQ15" s="8" t="n"/>
      <c r="AR15" s="121" t="n"/>
      <c r="AS15" s="121" t="n"/>
      <c r="AT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212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49" t="n"/>
      <c r="Q16" s="121" t="n"/>
      <c r="R16" s="8" t="n"/>
      <c r="S16" s="8" t="n"/>
      <c r="T16" s="8" t="n"/>
      <c r="U16" s="8" t="n"/>
      <c r="V16" s="8" t="n"/>
      <c r="W16" s="121" t="n"/>
      <c r="X16" s="121" t="n"/>
      <c r="Y16" s="8" t="n"/>
      <c r="Z16" s="8" t="n"/>
      <c r="AA16" s="8" t="n"/>
      <c r="AB16" s="8" t="n"/>
      <c r="AC16" s="8" t="n"/>
      <c r="AD16" s="121" t="n"/>
      <c r="AE16" s="121" t="n"/>
      <c r="AF16" s="8" t="n"/>
      <c r="AG16" s="8" t="n"/>
      <c r="AH16" s="8" t="n"/>
      <c r="AI16" s="8" t="n"/>
      <c r="AJ16" s="8" t="n"/>
      <c r="AK16" s="121" t="n"/>
      <c r="AL16" s="121" t="n"/>
      <c r="AM16" s="8" t="n"/>
      <c r="AN16" s="8" t="n"/>
      <c r="AO16" s="8" t="n"/>
      <c r="AP16" s="8" t="n"/>
      <c r="AQ16" s="8" t="n"/>
      <c r="AR16" s="121" t="n"/>
      <c r="AS16" s="121" t="n"/>
      <c r="AT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212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49" t="n"/>
      <c r="Q17" s="121" t="n"/>
      <c r="R17" s="8" t="n"/>
      <c r="S17" s="8" t="n"/>
      <c r="T17" s="8" t="n"/>
      <c r="U17" s="8" t="n"/>
      <c r="V17" s="8" t="n"/>
      <c r="W17" s="121" t="n"/>
      <c r="X17" s="121" t="n"/>
      <c r="Y17" s="8" t="n"/>
      <c r="Z17" s="8" t="n"/>
      <c r="AA17" s="8" t="n"/>
      <c r="AB17" s="8" t="n"/>
      <c r="AC17" s="8" t="n"/>
      <c r="AD17" s="121" t="n"/>
      <c r="AE17" s="121" t="n"/>
      <c r="AF17" s="8" t="n"/>
      <c r="AG17" s="8" t="n"/>
      <c r="AH17" s="8" t="n"/>
      <c r="AI17" s="8" t="n"/>
      <c r="AJ17" s="8" t="n"/>
      <c r="AK17" s="121" t="n"/>
      <c r="AL17" s="121" t="n"/>
      <c r="AM17" s="8" t="n"/>
      <c r="AN17" s="8" t="n"/>
      <c r="AO17" s="8" t="n"/>
      <c r="AP17" s="8" t="n"/>
      <c r="AQ17" s="8" t="n"/>
      <c r="AR17" s="121" t="n"/>
      <c r="AS17" s="121" t="n"/>
      <c r="AT17" s="43" t="n"/>
    </row>
    <row r="18" ht="20.1" customHeight="1" thickBot="1">
      <c r="A18" s="172" t="n"/>
      <c r="B18" s="173" t="n"/>
      <c r="C18" s="174" t="n"/>
      <c r="D18" s="283">
        <f>COUNTIF(P18:AS18,"p")</f>
        <v/>
      </c>
      <c r="E18" s="113">
        <f>COUNTIF(P18:AS18,"PC")</f>
        <v/>
      </c>
      <c r="F18" s="113">
        <f>COUNTIF(P18:AS18,"f")</f>
        <v/>
      </c>
      <c r="G18" s="113">
        <f>COUNTIF(P18:AS18,"ast")</f>
        <v/>
      </c>
      <c r="H18" s="113">
        <f>COUNTIF(P18:AS18,"cA")</f>
        <v/>
      </c>
      <c r="I18" s="113">
        <f>COUNTIF(P18:AS18,"rtt")</f>
        <v/>
      </c>
      <c r="J18" s="113">
        <f>COUNTIF(P18:AS18,"cex")</f>
        <v/>
      </c>
      <c r="K18" s="113">
        <f>COUNTIF(P18:AS18,"res")</f>
        <v/>
      </c>
      <c r="L18" s="113">
        <f>COUNTIF(P18:AS18,"mA")</f>
        <v/>
      </c>
      <c r="M18" s="113">
        <f>COUNTIF(P18:AS18,"at")</f>
        <v/>
      </c>
      <c r="N18" s="113">
        <f>COUNTIF(P18:AS18,"TAD")</f>
        <v/>
      </c>
      <c r="O18" s="228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21" t="n"/>
      <c r="AT18" s="15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212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49" t="n"/>
      <c r="Q19" s="121" t="n"/>
      <c r="R19" s="8" t="n"/>
      <c r="S19" s="8" t="n"/>
      <c r="T19" s="8" t="n"/>
      <c r="U19" s="8" t="n"/>
      <c r="V19" s="8" t="n"/>
      <c r="W19" s="121" t="n"/>
      <c r="X19" s="121" t="n"/>
      <c r="Y19" s="8" t="n"/>
      <c r="Z19" s="8" t="n"/>
      <c r="AA19" s="8" t="n"/>
      <c r="AB19" s="8" t="n"/>
      <c r="AC19" s="8" t="n"/>
      <c r="AD19" s="121" t="n"/>
      <c r="AE19" s="121" t="n"/>
      <c r="AF19" s="8" t="n"/>
      <c r="AG19" s="8" t="n"/>
      <c r="AH19" s="8" t="n"/>
      <c r="AI19" s="8" t="n"/>
      <c r="AJ19" s="8" t="n"/>
      <c r="AK19" s="121" t="n"/>
      <c r="AL19" s="121" t="n"/>
      <c r="AM19" s="8" t="n"/>
      <c r="AN19" s="8" t="n"/>
      <c r="AO19" s="8" t="n"/>
      <c r="AP19" s="8" t="n"/>
      <c r="AQ19" s="8" t="n"/>
      <c r="AR19" s="121" t="n"/>
      <c r="AS19" s="121" t="n"/>
      <c r="AT19" s="43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284">
        <f>COUNTIF(P20:AS20,"p")</f>
        <v/>
      </c>
      <c r="E20" s="150">
        <f>COUNTIF(P20:AS20,"PC")</f>
        <v/>
      </c>
      <c r="F20" s="150">
        <f>COUNTIF(P20:AS20,"f")</f>
        <v/>
      </c>
      <c r="G20" s="150">
        <f>COUNTIF(P20:AS20,"ast")</f>
        <v/>
      </c>
      <c r="H20" s="150">
        <f>COUNTIF(P20:AS20,"cA")</f>
        <v/>
      </c>
      <c r="I20" s="150">
        <f>COUNTIF(P20:AS20,"rtt")</f>
        <v/>
      </c>
      <c r="J20" s="150">
        <f>COUNTIF(P20:AS20,"cex")</f>
        <v/>
      </c>
      <c r="K20" s="150">
        <f>COUNTIF(P20:AS20,"res")</f>
        <v/>
      </c>
      <c r="L20" s="150">
        <f>COUNTIF(P20:AS20,"mA")</f>
        <v/>
      </c>
      <c r="M20" s="150">
        <f>COUNTIF(P20:AS20,"at")</f>
        <v/>
      </c>
      <c r="N20" s="150">
        <f>COUNTIF(P20:AS20,"TAD")</f>
        <v/>
      </c>
      <c r="O20" s="167">
        <f>COUNTIF(P20:AS20,"TP")</f>
        <v/>
      </c>
      <c r="P20" s="192" t="n"/>
      <c r="Q20" s="122" t="n"/>
      <c r="R20" s="29" t="n"/>
      <c r="S20" s="29" t="n"/>
      <c r="T20" s="29" t="n"/>
      <c r="U20" s="29" t="n"/>
      <c r="V20" s="29" t="n"/>
      <c r="W20" s="122" t="n"/>
      <c r="X20" s="122" t="n"/>
      <c r="Y20" s="29" t="n"/>
      <c r="Z20" s="29" t="n"/>
      <c r="AA20" s="29" t="n"/>
      <c r="AB20" s="29" t="n"/>
      <c r="AC20" s="29" t="n"/>
      <c r="AD20" s="122" t="n"/>
      <c r="AE20" s="122" t="n"/>
      <c r="AF20" s="29" t="n"/>
      <c r="AG20" s="29" t="n"/>
      <c r="AH20" s="29" t="n"/>
      <c r="AI20" s="29" t="n"/>
      <c r="AJ20" s="29" t="n"/>
      <c r="AK20" s="122" t="n"/>
      <c r="AL20" s="122" t="n"/>
      <c r="AM20" s="29" t="n"/>
      <c r="AN20" s="29" t="n"/>
      <c r="AO20" s="29" t="n"/>
      <c r="AP20" s="29" t="n"/>
      <c r="AQ20" s="29" t="n"/>
      <c r="AR20" s="122" t="n"/>
      <c r="AS20" s="122" t="n"/>
      <c r="AT20" s="44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75" t="n"/>
      <c r="Q23" s="113" t="n"/>
      <c r="R23" s="28" t="n"/>
      <c r="S23" s="28" t="n"/>
      <c r="T23" s="28" t="n"/>
      <c r="U23" s="28" t="n"/>
      <c r="V23" s="28" t="n"/>
      <c r="W23" s="113" t="n"/>
      <c r="X23" s="113" t="n"/>
      <c r="Y23" s="28" t="n"/>
      <c r="Z23" s="28" t="n"/>
      <c r="AA23" s="28" t="n"/>
      <c r="AB23" s="28" t="n"/>
      <c r="AC23" s="28" t="n"/>
      <c r="AD23" s="113" t="n"/>
      <c r="AE23" s="113" t="n"/>
      <c r="AF23" s="28" t="n"/>
      <c r="AG23" s="28" t="n"/>
      <c r="AH23" s="28" t="n"/>
      <c r="AI23" s="28" t="n"/>
      <c r="AJ23" s="28" t="n"/>
      <c r="AK23" s="113" t="n"/>
      <c r="AL23" s="113" t="n"/>
      <c r="AM23" s="28" t="n"/>
      <c r="AN23" s="28" t="n"/>
      <c r="AO23" s="28" t="n"/>
      <c r="AP23" s="28" t="n"/>
      <c r="AQ23" s="28" t="n"/>
      <c r="AR23" s="113" t="n"/>
      <c r="AS23" s="113" t="n"/>
      <c r="AT23" s="4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5">
        <f>COUNTIF(P24:AS24,"p")</f>
        <v/>
      </c>
      <c r="E24" s="116">
        <f>COUNTIF(P24:AS24,"PC")</f>
        <v/>
      </c>
      <c r="F24" s="116">
        <f>COUNTIF(P24:AS24,"f")</f>
        <v/>
      </c>
      <c r="G24" s="116">
        <f>COUNTIF(P24:AS24,"ast")</f>
        <v/>
      </c>
      <c r="H24" s="116">
        <f>COUNTIF(P24:AS24,"cA")</f>
        <v/>
      </c>
      <c r="I24" s="116">
        <f>COUNTIF(P24:AS24,"rtt")</f>
        <v/>
      </c>
      <c r="J24" s="116">
        <f>COUNTIF(P24:AS24,"cex")</f>
        <v/>
      </c>
      <c r="K24" s="116">
        <f>COUNTIF(P24:AS24,"res")</f>
        <v/>
      </c>
      <c r="L24" s="116">
        <f>COUNTIF(P24:AS24,"mA")</f>
        <v/>
      </c>
      <c r="M24" s="116">
        <f>COUNTIF(P24:AS24,"at")</f>
        <v/>
      </c>
      <c r="N24" s="116">
        <f>COUNTIF(P24:AS24,"TAD")</f>
        <v/>
      </c>
      <c r="O24" s="120">
        <f>COUNTIF(P24:AS24,"TP")</f>
        <v/>
      </c>
      <c r="P24" s="192" t="n"/>
      <c r="Q24" s="122" t="n"/>
      <c r="R24" s="29" t="n"/>
      <c r="S24" s="29" t="n"/>
      <c r="T24" s="29" t="n"/>
      <c r="U24" s="29" t="n"/>
      <c r="V24" s="29" t="n"/>
      <c r="W24" s="122" t="n"/>
      <c r="X24" s="122" t="n"/>
      <c r="Y24" s="29" t="n"/>
      <c r="Z24" s="29" t="n"/>
      <c r="AA24" s="29" t="n"/>
      <c r="AB24" s="29" t="n"/>
      <c r="AC24" s="29" t="n"/>
      <c r="AD24" s="122" t="n"/>
      <c r="AE24" s="122" t="n"/>
      <c r="AF24" s="29" t="n"/>
      <c r="AG24" s="29" t="n"/>
      <c r="AH24" s="29" t="n"/>
      <c r="AI24" s="29" t="n"/>
      <c r="AJ24" s="29" t="n"/>
      <c r="AK24" s="122" t="n"/>
      <c r="AL24" s="122" t="n"/>
      <c r="AM24" s="29" t="n"/>
      <c r="AN24" s="29" t="n"/>
      <c r="AO24" s="29" t="n"/>
      <c r="AP24" s="29" t="n"/>
      <c r="AQ24" s="29" t="n"/>
      <c r="AR24" s="122" t="n"/>
      <c r="AS24" s="122" t="n"/>
      <c r="AT24" s="44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I25" s="280" t="n"/>
      <c r="AJ25" s="280" t="n"/>
      <c r="AK25" s="280" t="n"/>
      <c r="AL25" s="280" t="n"/>
      <c r="AM25" s="280" t="n"/>
      <c r="AN25" s="280" t="n"/>
      <c r="AO25" s="280" t="n"/>
      <c r="AP25" s="280" t="n"/>
      <c r="AQ25" s="280" t="n"/>
      <c r="AR25" s="280" t="n"/>
      <c r="AS25" s="280" t="n"/>
      <c r="AT25" s="281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13" t="n"/>
      <c r="Q26" s="113" t="n"/>
      <c r="R26" s="28" t="n"/>
      <c r="S26" s="28" t="n"/>
      <c r="T26" s="28" t="n"/>
      <c r="U26" s="28" t="n"/>
      <c r="V26" s="28" t="n"/>
      <c r="W26" s="113" t="n"/>
      <c r="X26" s="113" t="n"/>
      <c r="Y26" s="28" t="n"/>
      <c r="Z26" s="28" t="n"/>
      <c r="AA26" s="28" t="n"/>
      <c r="AB26" s="28" t="n"/>
      <c r="AC26" s="28" t="n"/>
      <c r="AD26" s="113" t="n"/>
      <c r="AE26" s="113" t="n"/>
      <c r="AF26" s="28" t="n"/>
      <c r="AG26" s="28" t="n"/>
      <c r="AH26" s="28" t="n"/>
      <c r="AI26" s="28" t="n"/>
      <c r="AJ26" s="28" t="n"/>
      <c r="AK26" s="113" t="n"/>
      <c r="AL26" s="113" t="n"/>
      <c r="AM26" s="28" t="n"/>
      <c r="AN26" s="28" t="n"/>
      <c r="AO26" s="28" t="n"/>
      <c r="AP26" s="28" t="n"/>
      <c r="AQ26" s="28" t="n"/>
      <c r="AR26" s="113" t="n"/>
      <c r="AS26" s="113" t="n"/>
      <c r="AT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21" t="n"/>
      <c r="Q27" s="121" t="n"/>
      <c r="R27" s="8" t="n"/>
      <c r="S27" s="8" t="n"/>
      <c r="T27" s="8" t="n"/>
      <c r="U27" s="8" t="n"/>
      <c r="V27" s="8" t="n"/>
      <c r="W27" s="121" t="n"/>
      <c r="X27" s="121" t="n"/>
      <c r="Y27" s="8" t="n"/>
      <c r="Z27" s="8" t="n"/>
      <c r="AA27" s="8" t="n"/>
      <c r="AB27" s="8" t="n"/>
      <c r="AC27" s="8" t="n"/>
      <c r="AD27" s="121" t="n"/>
      <c r="AE27" s="121" t="n"/>
      <c r="AF27" s="8" t="n"/>
      <c r="AG27" s="8" t="n"/>
      <c r="AH27" s="8" t="n"/>
      <c r="AI27" s="8" t="n"/>
      <c r="AJ27" s="8" t="n"/>
      <c r="AK27" s="121" t="n"/>
      <c r="AL27" s="121" t="n"/>
      <c r="AM27" s="8" t="n"/>
      <c r="AN27" s="8" t="n"/>
      <c r="AO27" s="8" t="n"/>
      <c r="AP27" s="8" t="n"/>
      <c r="AQ27" s="8" t="n"/>
      <c r="AR27" s="121" t="n"/>
      <c r="AS27" s="121" t="n"/>
      <c r="AT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21" t="n"/>
      <c r="Q28" s="121" t="n"/>
      <c r="R28" s="8" t="n"/>
      <c r="S28" s="8" t="n"/>
      <c r="T28" s="8" t="n"/>
      <c r="U28" s="8" t="n"/>
      <c r="V28" s="8" t="n"/>
      <c r="W28" s="121" t="n"/>
      <c r="X28" s="121" t="n"/>
      <c r="Y28" s="8" t="n"/>
      <c r="Z28" s="8" t="n"/>
      <c r="AA28" s="8" t="n"/>
      <c r="AB28" s="8" t="n"/>
      <c r="AC28" s="8" t="n"/>
      <c r="AD28" s="121" t="n"/>
      <c r="AE28" s="121" t="n"/>
      <c r="AF28" s="8" t="n"/>
      <c r="AG28" s="8" t="n"/>
      <c r="AH28" s="8" t="n"/>
      <c r="AI28" s="8" t="n"/>
      <c r="AJ28" s="8" t="n"/>
      <c r="AK28" s="121" t="n"/>
      <c r="AL28" s="121" t="n"/>
      <c r="AM28" s="8" t="n"/>
      <c r="AN28" s="8" t="n"/>
      <c r="AO28" s="8" t="n"/>
      <c r="AP28" s="8" t="n"/>
      <c r="AQ28" s="8" t="n"/>
      <c r="AR28" s="121" t="n"/>
      <c r="AS28" s="121" t="n"/>
      <c r="AT28" s="43" t="n"/>
    </row>
    <row r="29" ht="20.1" customHeight="1" thickBot="1">
      <c r="A29" s="39">
        <f>IFERROR(IF(config!E21="","",config!E21),"")</f>
        <v/>
      </c>
      <c r="B29" s="51">
        <f>IFERROR(IF(config!F21="","",config!F21),"")</f>
        <v/>
      </c>
      <c r="C29" s="97">
        <f>IFERROR(IF(config!G21="","",config!G21),"")</f>
        <v/>
      </c>
      <c r="D29" s="115">
        <f>COUNTIF(P29:AS29,"p")</f>
        <v/>
      </c>
      <c r="E29" s="116">
        <f>COUNTIF(P29:AS29,"PC")</f>
        <v/>
      </c>
      <c r="F29" s="116">
        <f>COUNTIF(P29:AS29,"f")</f>
        <v/>
      </c>
      <c r="G29" s="116">
        <f>COUNTIF(P29:AS29,"ast")</f>
        <v/>
      </c>
      <c r="H29" s="116">
        <f>COUNTIF(P29:AS29,"cA")</f>
        <v/>
      </c>
      <c r="I29" s="116">
        <f>COUNTIF(P29:AS29,"rtt")</f>
        <v/>
      </c>
      <c r="J29" s="116">
        <f>COUNTIF(P29:AS29,"cex")</f>
        <v/>
      </c>
      <c r="K29" s="116">
        <f>COUNTIF(P29:AS29,"res")</f>
        <v/>
      </c>
      <c r="L29" s="116">
        <f>COUNTIF(P29:AS29,"mA")</f>
        <v/>
      </c>
      <c r="M29" s="116">
        <f>COUNTIF(P29:AS29,"at")</f>
        <v/>
      </c>
      <c r="N29" s="116">
        <f>COUNTIF(P29:AS29,"TAD")</f>
        <v/>
      </c>
      <c r="O29" s="116">
        <f>COUNTIF(P29:AS29,"TP")</f>
        <v/>
      </c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  <c r="AE29" s="122" t="n"/>
      <c r="AF29" s="122" t="n"/>
      <c r="AG29" s="122" t="n"/>
      <c r="AH29" s="122" t="n"/>
      <c r="AI29" s="122" t="n"/>
      <c r="AJ29" s="122" t="n"/>
      <c r="AK29" s="122" t="n"/>
      <c r="AL29" s="122" t="n"/>
      <c r="AM29" s="122" t="n"/>
      <c r="AN29" s="122" t="n"/>
      <c r="AO29" s="122" t="n"/>
      <c r="AP29" s="122" t="n"/>
      <c r="AQ29" s="122" t="n"/>
      <c r="AR29" s="122" t="n"/>
      <c r="AS29" s="122" t="n"/>
      <c r="AT29" s="153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249">
        <f>IFERROR(IF(config!E23="","",config!E23),"")</f>
        <v/>
      </c>
      <c r="B31" s="250">
        <f>IFERROR(IF(config!F23="","",config!F23),"")</f>
        <v/>
      </c>
      <c r="C31" s="204">
        <f>IFERROR(IF(config!G23="","",config!G23),"")</f>
        <v/>
      </c>
      <c r="D31" s="130">
        <f>COUNTIF(P31:AS31,"p")</f>
        <v/>
      </c>
      <c r="E31" s="30">
        <f>COUNTIF(P31:AS31,"PC")</f>
        <v/>
      </c>
      <c r="F31" s="30">
        <f>COUNTIF(P31:AS31,"f")</f>
        <v/>
      </c>
      <c r="G31" s="30">
        <f>COUNTIF(P31:AS31,"ast")</f>
        <v/>
      </c>
      <c r="H31" s="30">
        <f>COUNTIF(P31:AS31,"cA")</f>
        <v/>
      </c>
      <c r="I31" s="30">
        <f>COUNTIF(P31:AS31,"rtt")</f>
        <v/>
      </c>
      <c r="J31" s="30">
        <f>COUNTIF(P31:AS31,"cex")</f>
        <v/>
      </c>
      <c r="K31" s="30">
        <f>COUNTIF(P31:AS31,"res")</f>
        <v/>
      </c>
      <c r="L31" s="30">
        <f>COUNTIF(P31:AS31,"mA")</f>
        <v/>
      </c>
      <c r="M31" s="30">
        <f>COUNTIF(P31:AS31,"at")</f>
        <v/>
      </c>
      <c r="N31" s="30">
        <f>COUNTIF(P31:AS31,"TAD")</f>
        <v/>
      </c>
      <c r="O31" s="133">
        <f>COUNTIF(P31:AS31,"TP")</f>
        <v/>
      </c>
      <c r="P31" s="175" t="n"/>
      <c r="Q31" s="113" t="n"/>
      <c r="R31" s="28" t="n"/>
      <c r="S31" s="28" t="n"/>
      <c r="T31" s="28" t="n"/>
      <c r="U31" s="28" t="n"/>
      <c r="V31" s="28" t="n"/>
      <c r="W31" s="113" t="n"/>
      <c r="X31" s="113" t="n"/>
      <c r="Y31" s="28" t="n"/>
      <c r="Z31" s="28" t="n"/>
      <c r="AA31" s="28" t="n"/>
      <c r="AB31" s="28" t="n"/>
      <c r="AC31" s="28" t="n"/>
      <c r="AD31" s="113" t="n"/>
      <c r="AE31" s="113" t="n"/>
      <c r="AF31" s="28" t="n"/>
      <c r="AG31" s="28" t="n"/>
      <c r="AH31" s="28" t="n"/>
      <c r="AI31" s="28" t="n"/>
      <c r="AJ31" s="28" t="n"/>
      <c r="AK31" s="113" t="n"/>
      <c r="AL31" s="113" t="n"/>
      <c r="AM31" s="28" t="n"/>
      <c r="AN31" s="28" t="n"/>
      <c r="AO31" s="28" t="n"/>
      <c r="AP31" s="28" t="n"/>
      <c r="AQ31" s="28" t="n"/>
      <c r="AR31" s="113" t="n"/>
      <c r="AS31" s="113" t="n"/>
      <c r="AT31" s="42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119">
        <f>COUNTIF(P32:AS32,"TP")</f>
        <v/>
      </c>
      <c r="P32" s="149" t="n"/>
      <c r="Q32" s="121" t="n"/>
      <c r="R32" s="8" t="n"/>
      <c r="S32" s="8" t="n"/>
      <c r="T32" s="8" t="n"/>
      <c r="U32" s="8" t="n"/>
      <c r="V32" s="8" t="n"/>
      <c r="W32" s="121" t="n"/>
      <c r="X32" s="121" t="n"/>
      <c r="Y32" s="8" t="n"/>
      <c r="Z32" s="8" t="n"/>
      <c r="AA32" s="8" t="n"/>
      <c r="AB32" s="8" t="n"/>
      <c r="AC32" s="8" t="n"/>
      <c r="AD32" s="121" t="n"/>
      <c r="AE32" s="121" t="n"/>
      <c r="AF32" s="8" t="n"/>
      <c r="AG32" s="8" t="n"/>
      <c r="AH32" s="8" t="n"/>
      <c r="AI32" s="8" t="n"/>
      <c r="AJ32" s="8" t="n"/>
      <c r="AK32" s="121" t="n"/>
      <c r="AL32" s="121" t="n"/>
      <c r="AM32" s="8" t="n"/>
      <c r="AN32" s="8" t="n"/>
      <c r="AO32" s="8" t="n"/>
      <c r="AP32" s="8" t="n"/>
      <c r="AQ32" s="8" t="n"/>
      <c r="AR32" s="121" t="n"/>
      <c r="AS32" s="121" t="n"/>
      <c r="AT32" s="43" t="n"/>
      <c r="BB32" s="27" t="inlineStr">
        <is>
          <t> </t>
        </is>
      </c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119">
        <f>COUNTIF(P33:AS33,"TP")</f>
        <v/>
      </c>
      <c r="P33" s="149" t="n"/>
      <c r="Q33" s="121" t="n"/>
      <c r="R33" s="8" t="n"/>
      <c r="S33" s="8" t="n"/>
      <c r="T33" s="8" t="n"/>
      <c r="U33" s="8" t="n"/>
      <c r="V33" s="8" t="n"/>
      <c r="W33" s="121" t="n"/>
      <c r="X33" s="121" t="n"/>
      <c r="Y33" s="8" t="n"/>
      <c r="Z33" s="8" t="n"/>
      <c r="AA33" s="8" t="n"/>
      <c r="AB33" s="8" t="n"/>
      <c r="AC33" s="8" t="n"/>
      <c r="AD33" s="121" t="n"/>
      <c r="AE33" s="121" t="n"/>
      <c r="AF33" s="8" t="n"/>
      <c r="AG33" s="8" t="n"/>
      <c r="AH33" s="8" t="n"/>
      <c r="AI33" s="8" t="n"/>
      <c r="AJ33" s="8" t="n"/>
      <c r="AK33" s="121" t="n"/>
      <c r="AL33" s="121" t="n"/>
      <c r="AM33" s="8" t="n"/>
      <c r="AN33" s="8" t="n"/>
      <c r="AO33" s="8" t="n"/>
      <c r="AP33" s="8" t="n"/>
      <c r="AQ33" s="8" t="n"/>
      <c r="AR33" s="121" t="n"/>
      <c r="AS33" s="121" t="n"/>
      <c r="AT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119">
        <f>COUNTIF(P34:AS34,"TP")</f>
        <v/>
      </c>
      <c r="P34" s="149" t="n"/>
      <c r="Q34" s="121" t="n"/>
      <c r="R34" s="8" t="n"/>
      <c r="S34" s="8" t="n"/>
      <c r="T34" s="8" t="n"/>
      <c r="U34" s="8" t="n"/>
      <c r="V34" s="8" t="n"/>
      <c r="W34" s="121" t="n"/>
      <c r="X34" s="121" t="n"/>
      <c r="Y34" s="8" t="n"/>
      <c r="Z34" s="8" t="n"/>
      <c r="AA34" s="8" t="n"/>
      <c r="AB34" s="8" t="n"/>
      <c r="AC34" s="8" t="n"/>
      <c r="AD34" s="121" t="n"/>
      <c r="AE34" s="121" t="n"/>
      <c r="AF34" s="8" t="n"/>
      <c r="AG34" s="8" t="n"/>
      <c r="AH34" s="8" t="n"/>
      <c r="AI34" s="8" t="n"/>
      <c r="AJ34" s="8" t="n"/>
      <c r="AK34" s="121" t="n"/>
      <c r="AL34" s="121" t="n"/>
      <c r="AM34" s="8" t="n"/>
      <c r="AN34" s="8" t="n"/>
      <c r="AO34" s="8" t="n"/>
      <c r="AP34" s="8" t="n"/>
      <c r="AQ34" s="8" t="n"/>
      <c r="AR34" s="121" t="n"/>
      <c r="AS34" s="121" t="n"/>
      <c r="AT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119">
        <f>COUNTIF(P35:AS35,"TP")</f>
        <v/>
      </c>
      <c r="P35" s="149" t="n"/>
      <c r="Q35" s="121" t="n"/>
      <c r="R35" s="8" t="n"/>
      <c r="S35" s="8" t="n"/>
      <c r="T35" s="8" t="n"/>
      <c r="U35" s="8" t="n"/>
      <c r="V35" s="8" t="n"/>
      <c r="W35" s="121" t="n"/>
      <c r="X35" s="121" t="n"/>
      <c r="Y35" s="8" t="n"/>
      <c r="Z35" s="8" t="n"/>
      <c r="AA35" s="8" t="n"/>
      <c r="AB35" s="8" t="n"/>
      <c r="AC35" s="8" t="n"/>
      <c r="AD35" s="121" t="n"/>
      <c r="AE35" s="121" t="n"/>
      <c r="AF35" s="8" t="n"/>
      <c r="AG35" s="8" t="n"/>
      <c r="AH35" s="8" t="n"/>
      <c r="AI35" s="8" t="n"/>
      <c r="AJ35" s="8" t="n"/>
      <c r="AK35" s="121" t="n"/>
      <c r="AL35" s="121" t="n"/>
      <c r="AM35" s="8" t="n"/>
      <c r="AN35" s="8" t="n"/>
      <c r="AO35" s="8" t="n"/>
      <c r="AP35" s="8" t="n"/>
      <c r="AQ35" s="8" t="n"/>
      <c r="AR35" s="121" t="n"/>
      <c r="AS35" s="121" t="n"/>
      <c r="AT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67">
        <f>COUNTIF(P36:AS36,"TP")</f>
        <v/>
      </c>
      <c r="P36" s="192" t="n"/>
      <c r="Q36" s="122" t="n"/>
      <c r="R36" s="29" t="n"/>
      <c r="S36" s="29" t="n"/>
      <c r="T36" s="29" t="n"/>
      <c r="U36" s="29" t="n"/>
      <c r="V36" s="29" t="n"/>
      <c r="W36" s="122" t="n"/>
      <c r="X36" s="122" t="n"/>
      <c r="Y36" s="29" t="n"/>
      <c r="Z36" s="29" t="n"/>
      <c r="AA36" s="29" t="n"/>
      <c r="AB36" s="29" t="n"/>
      <c r="AC36" s="29" t="n"/>
      <c r="AD36" s="122" t="n"/>
      <c r="AE36" s="122" t="n"/>
      <c r="AF36" s="29" t="n"/>
      <c r="AG36" s="29" t="n"/>
      <c r="AH36" s="29" t="n"/>
      <c r="AI36" s="29" t="n"/>
      <c r="AJ36" s="29" t="n"/>
      <c r="AK36" s="122" t="n"/>
      <c r="AL36" s="122" t="n"/>
      <c r="AM36" s="29" t="n"/>
      <c r="AN36" s="29" t="n"/>
      <c r="AO36" s="29" t="n"/>
      <c r="AP36" s="29" t="n"/>
      <c r="AQ36" s="29" t="n"/>
      <c r="AR36" s="122" t="n"/>
      <c r="AS36" s="122" t="n"/>
      <c r="AT36" s="44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38">
        <f>IFERROR(IF(config!E30="","",config!E30),"")</f>
        <v/>
      </c>
      <c r="B38" s="348" t="n"/>
      <c r="C38" s="348" t="n"/>
      <c r="D38" s="348" t="n"/>
      <c r="E38" s="348" t="n"/>
      <c r="F38" s="348" t="n"/>
      <c r="G38" s="348" t="n"/>
      <c r="H38" s="348" t="n"/>
      <c r="I38" s="348" t="n"/>
      <c r="J38" s="348" t="n"/>
      <c r="K38" s="348" t="n"/>
      <c r="L38" s="348" t="n"/>
      <c r="M38" s="348" t="n"/>
      <c r="N38" s="348" t="n"/>
      <c r="O38" s="348" t="n"/>
      <c r="P38" s="348" t="n"/>
      <c r="Q38" s="348" t="n"/>
      <c r="R38" s="348" t="n"/>
      <c r="S38" s="348" t="n"/>
      <c r="T38" s="348" t="n"/>
      <c r="U38" s="348" t="n"/>
      <c r="V38" s="348" t="n"/>
      <c r="W38" s="348" t="n"/>
      <c r="X38" s="348" t="n"/>
      <c r="Y38" s="348" t="n"/>
      <c r="Z38" s="348" t="n"/>
      <c r="AA38" s="348" t="n"/>
      <c r="AB38" s="348" t="n"/>
      <c r="AC38" s="348" t="n"/>
      <c r="AD38" s="348" t="n"/>
      <c r="AE38" s="348" t="n"/>
      <c r="AF38" s="348" t="n"/>
      <c r="AG38" s="348" t="n"/>
      <c r="AH38" s="348" t="n"/>
      <c r="AI38" s="348" t="n"/>
      <c r="AJ38" s="348" t="n"/>
      <c r="AK38" s="348" t="n"/>
      <c r="AL38" s="348" t="n"/>
      <c r="AM38" s="348" t="n"/>
      <c r="AN38" s="348" t="n"/>
      <c r="AO38" s="348" t="n"/>
      <c r="AP38" s="348" t="n"/>
      <c r="AQ38" s="348" t="n"/>
      <c r="AR38" s="348" t="n"/>
      <c r="AS38" s="348" t="n"/>
      <c r="AT38" s="292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13" t="n"/>
      <c r="AT39" s="15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9" t="n"/>
      <c r="Q40" s="121" t="n"/>
      <c r="R40" s="8" t="n"/>
      <c r="S40" s="8" t="n"/>
      <c r="T40" s="8" t="n"/>
      <c r="U40" s="8" t="n"/>
      <c r="V40" s="8" t="n"/>
      <c r="W40" s="121" t="n"/>
      <c r="X40" s="121" t="n"/>
      <c r="Y40" s="8" t="n"/>
      <c r="Z40" s="8" t="n"/>
      <c r="AA40" s="8" t="n"/>
      <c r="AB40" s="8" t="n"/>
      <c r="AC40" s="8" t="n"/>
      <c r="AD40" s="121" t="n"/>
      <c r="AE40" s="121" t="n"/>
      <c r="AF40" s="8" t="n"/>
      <c r="AG40" s="8" t="n"/>
      <c r="AH40" s="8" t="n"/>
      <c r="AI40" s="8" t="n"/>
      <c r="AJ40" s="8" t="n"/>
      <c r="AK40" s="121" t="n"/>
      <c r="AL40" s="121" t="n"/>
      <c r="AM40" s="8" t="n"/>
      <c r="AN40" s="8" t="n"/>
      <c r="AO40" s="8" t="n"/>
      <c r="AP40" s="8" t="n"/>
      <c r="AQ40" s="8" t="n"/>
      <c r="AR40" s="121" t="n"/>
      <c r="AS40" s="121" t="n"/>
      <c r="AT40" s="43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9" t="n"/>
      <c r="Q41" s="121" t="n"/>
      <c r="R41" s="8" t="n"/>
      <c r="S41" s="8" t="n"/>
      <c r="T41" s="8" t="n"/>
      <c r="U41" s="8" t="n"/>
      <c r="V41" s="8" t="n"/>
      <c r="W41" s="121" t="n"/>
      <c r="X41" s="121" t="n"/>
      <c r="Y41" s="8" t="n"/>
      <c r="Z41" s="8" t="n"/>
      <c r="AA41" s="8" t="n"/>
      <c r="AB41" s="8" t="n"/>
      <c r="AC41" s="8" t="n"/>
      <c r="AD41" s="121" t="n"/>
      <c r="AE41" s="121" t="n"/>
      <c r="AF41" s="8" t="n"/>
      <c r="AG41" s="8" t="n"/>
      <c r="AH41" s="8" t="n"/>
      <c r="AI41" s="8" t="n"/>
      <c r="AJ41" s="8" t="n"/>
      <c r="AK41" s="121" t="n"/>
      <c r="AL41" s="121" t="n"/>
      <c r="AM41" s="8" t="n"/>
      <c r="AN41" s="8" t="n"/>
      <c r="AO41" s="8" t="n"/>
      <c r="AP41" s="8" t="n"/>
      <c r="AQ41" s="8" t="n"/>
      <c r="AR41" s="121" t="n"/>
      <c r="AS41" s="121" t="n"/>
      <c r="AT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9" t="n"/>
      <c r="Q42" s="121" t="n"/>
      <c r="R42" s="8" t="n"/>
      <c r="S42" s="8" t="n"/>
      <c r="T42" s="8" t="n"/>
      <c r="U42" s="8" t="n"/>
      <c r="V42" s="8" t="n"/>
      <c r="W42" s="121" t="n"/>
      <c r="X42" s="121" t="n"/>
      <c r="Y42" s="8" t="n"/>
      <c r="Z42" s="8" t="n"/>
      <c r="AA42" s="8" t="n"/>
      <c r="AB42" s="8" t="n"/>
      <c r="AC42" s="8" t="n"/>
      <c r="AD42" s="121" t="n"/>
      <c r="AE42" s="121" t="n"/>
      <c r="AF42" s="8" t="n"/>
      <c r="AG42" s="8" t="n"/>
      <c r="AH42" s="8" t="n"/>
      <c r="AI42" s="8" t="n"/>
      <c r="AJ42" s="8" t="n"/>
      <c r="AK42" s="121" t="n"/>
      <c r="AL42" s="121" t="n"/>
      <c r="AM42" s="8" t="n"/>
      <c r="AN42" s="8" t="n"/>
      <c r="AO42" s="8" t="n"/>
      <c r="AP42" s="8" t="n"/>
      <c r="AQ42" s="8" t="n"/>
      <c r="AR42" s="121" t="n"/>
      <c r="AS42" s="121" t="n"/>
      <c r="AT42" s="43" t="n"/>
    </row>
    <row r="43" ht="20.1" customHeight="1" thickBot="1">
      <c r="A43" s="172">
        <f>IFERROR(IF(config!#REF!="","",config!#REF!),"")</f>
        <v/>
      </c>
      <c r="B43" s="173">
        <f>IFERROR(IF(config!#REF!="","",config!#REF!),"")</f>
        <v/>
      </c>
      <c r="C43" s="174">
        <f>IFERROR(IF(config!#REF!="","",config!#REF!),"")</f>
        <v/>
      </c>
      <c r="D43" s="175">
        <f>COUNTIF(P43:AS43,"p")</f>
        <v/>
      </c>
      <c r="E43" s="113">
        <f>COUNTIF(P43:AS43,"PC")</f>
        <v/>
      </c>
      <c r="F43" s="113">
        <f>COUNTIF(P43:AS43,"f")</f>
        <v/>
      </c>
      <c r="G43" s="113">
        <f>COUNTIF(P43:AS43,"ast")</f>
        <v/>
      </c>
      <c r="H43" s="113">
        <f>COUNTIF(P43:AS43,"cA")</f>
        <v/>
      </c>
      <c r="I43" s="113">
        <f>COUNTIF(P43:AS43,"rtt")</f>
        <v/>
      </c>
      <c r="J43" s="113">
        <f>COUNTIF(P43:AS43,"cex")</f>
        <v/>
      </c>
      <c r="K43" s="113">
        <f>COUNTIF(P43:AS43,"res")</f>
        <v/>
      </c>
      <c r="L43" s="113">
        <f>COUNTIF(P43:AS43,"mA")</f>
        <v/>
      </c>
      <c r="M43" s="113">
        <f>COUNTIF(P43:AS43,"at")</f>
        <v/>
      </c>
      <c r="N43" s="113">
        <f>COUNTIF(P43:AS43,"TAD")</f>
        <v/>
      </c>
      <c r="O43" s="228">
        <f>COUNTIF(P43:AS43,"TP")</f>
        <v/>
      </c>
      <c r="P43" s="149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  <c r="AA43" s="121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  <c r="AK43" s="121" t="n"/>
      <c r="AL43" s="121" t="n"/>
      <c r="AM43" s="121" t="n"/>
      <c r="AN43" s="121" t="n"/>
      <c r="AO43" s="121" t="n"/>
      <c r="AP43" s="121" t="n"/>
      <c r="AQ43" s="121" t="n"/>
      <c r="AR43" s="121" t="n"/>
      <c r="AS43" s="121" t="n"/>
      <c r="AT43" s="152" t="n"/>
    </row>
    <row r="44" ht="20.1" customHeight="1" thickBot="1">
      <c r="A44" s="40">
        <f>IFERROR(IF(config!E35="","",config!E35),"")</f>
        <v/>
      </c>
      <c r="B44" s="48">
        <f>IFERROR(IF(config!F35="","",config!F35),"")</f>
        <v/>
      </c>
      <c r="C44" s="96">
        <f>IFERROR(IF(config!G35="","",config!G35),"")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9" t="n"/>
      <c r="Q44" s="121" t="n"/>
      <c r="R44" s="8" t="n"/>
      <c r="S44" s="8" t="n"/>
      <c r="T44" s="8" t="n"/>
      <c r="U44" s="8" t="n"/>
      <c r="V44" s="8" t="n"/>
      <c r="W44" s="121" t="n"/>
      <c r="X44" s="121" t="n"/>
      <c r="Y44" s="8" t="n"/>
      <c r="Z44" s="8" t="n"/>
      <c r="AA44" s="8" t="n"/>
      <c r="AB44" s="8" t="n"/>
      <c r="AC44" s="8" t="n"/>
      <c r="AD44" s="121" t="n"/>
      <c r="AE44" s="121" t="n"/>
      <c r="AF44" s="8" t="n"/>
      <c r="AG44" s="8" t="n"/>
      <c r="AH44" s="8" t="n"/>
      <c r="AI44" s="8" t="n"/>
      <c r="AJ44" s="8" t="n"/>
      <c r="AK44" s="121" t="n"/>
      <c r="AL44" s="121" t="n"/>
      <c r="AM44" s="8" t="n"/>
      <c r="AN44" s="8" t="n"/>
      <c r="AO44" s="8" t="n"/>
      <c r="AP44" s="8" t="n"/>
      <c r="AQ44" s="8" t="n"/>
      <c r="AR44" s="121" t="n"/>
      <c r="AS44" s="121" t="n"/>
      <c r="AT44" s="43" t="n"/>
    </row>
    <row r="45" ht="20.1" customHeight="1" thickBot="1">
      <c r="A45" s="40">
        <f>IFERROR(IF(config!E36="","",config!E36),"")</f>
        <v/>
      </c>
      <c r="B45" s="48">
        <f>IFERROR(IF(config!F36="","",config!F36),"")</f>
        <v/>
      </c>
      <c r="C45" s="96">
        <f>IFERROR(IF(config!G36="","",config!G36),"")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9" t="n"/>
      <c r="Q45" s="121" t="n"/>
      <c r="R45" s="8" t="n"/>
      <c r="S45" s="8" t="n"/>
      <c r="T45" s="8" t="n"/>
      <c r="U45" s="8" t="n"/>
      <c r="V45" s="8" t="n"/>
      <c r="W45" s="121" t="n"/>
      <c r="X45" s="121" t="n"/>
      <c r="Y45" s="8" t="n"/>
      <c r="Z45" s="8" t="n"/>
      <c r="AA45" s="8" t="n"/>
      <c r="AB45" s="8" t="n"/>
      <c r="AC45" s="8" t="n"/>
      <c r="AD45" s="121" t="n"/>
      <c r="AE45" s="121" t="n"/>
      <c r="AF45" s="8" t="n"/>
      <c r="AG45" s="8" t="n"/>
      <c r="AH45" s="8" t="n"/>
      <c r="AI45" s="8" t="n"/>
      <c r="AJ45" s="8" t="n"/>
      <c r="AK45" s="121" t="n"/>
      <c r="AL45" s="121" t="n"/>
      <c r="AM45" s="8" t="n"/>
      <c r="AN45" s="8" t="n"/>
      <c r="AO45" s="8" t="n"/>
      <c r="AP45" s="8" t="n"/>
      <c r="AQ45" s="8" t="n"/>
      <c r="AR45" s="121" t="n"/>
      <c r="AS45" s="121" t="n"/>
      <c r="AT45" s="43" t="n"/>
    </row>
    <row r="46" ht="20.1" customHeight="1" thickBot="1">
      <c r="A46" s="40">
        <f>IFERROR(IF(config!E37="","",config!E37),"")</f>
        <v/>
      </c>
      <c r="B46" s="48">
        <f>IFERROR(IF(config!F37="","",config!F37),"")</f>
        <v/>
      </c>
      <c r="C46" s="96">
        <f>IFERROR(IF(config!G37="","",config!G37),"")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9" t="n"/>
      <c r="Q46" s="121" t="n"/>
      <c r="R46" s="8" t="n"/>
      <c r="S46" s="8" t="n"/>
      <c r="T46" s="8" t="n"/>
      <c r="U46" s="8" t="n"/>
      <c r="V46" s="8" t="n"/>
      <c r="W46" s="121" t="n"/>
      <c r="X46" s="121" t="n"/>
      <c r="Y46" s="8" t="n"/>
      <c r="Z46" s="8" t="n"/>
      <c r="AA46" s="8" t="n"/>
      <c r="AB46" s="8" t="n"/>
      <c r="AC46" s="8" t="n"/>
      <c r="AD46" s="121" t="n"/>
      <c r="AE46" s="121" t="n"/>
      <c r="AF46" s="8" t="n"/>
      <c r="AG46" s="8" t="n"/>
      <c r="AH46" s="8" t="n"/>
      <c r="AI46" s="8" t="n"/>
      <c r="AJ46" s="8" t="n"/>
      <c r="AK46" s="121" t="n"/>
      <c r="AL46" s="121" t="n"/>
      <c r="AM46" s="8" t="n"/>
      <c r="AN46" s="8" t="n"/>
      <c r="AO46" s="8" t="n"/>
      <c r="AP46" s="8" t="n"/>
      <c r="AQ46" s="8" t="n"/>
      <c r="AR46" s="121" t="n"/>
      <c r="AS46" s="121" t="n"/>
      <c r="AT46" s="43" t="n"/>
    </row>
    <row r="47" ht="20.1" customHeight="1" thickBot="1">
      <c r="A47" s="40">
        <f>IFERROR(IF(config!E38="","",config!E38),"")</f>
        <v/>
      </c>
      <c r="B47" s="48">
        <f>IFERROR(IF(config!F38="","",config!F38),"")</f>
        <v/>
      </c>
      <c r="C47" s="96">
        <f>IFERROR(IF(config!G38="","",config!G38),"")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9" t="n"/>
      <c r="Q47" s="121" t="n"/>
      <c r="R47" s="8" t="n"/>
      <c r="S47" s="8" t="n"/>
      <c r="T47" s="8" t="n"/>
      <c r="U47" s="8" t="n"/>
      <c r="V47" s="8" t="n"/>
      <c r="W47" s="121" t="n"/>
      <c r="X47" s="121" t="n"/>
      <c r="Y47" s="8" t="n"/>
      <c r="Z47" s="8" t="n"/>
      <c r="AA47" s="8" t="n"/>
      <c r="AB47" s="8" t="n"/>
      <c r="AC47" s="8" t="n"/>
      <c r="AD47" s="121" t="n"/>
      <c r="AE47" s="121" t="n"/>
      <c r="AF47" s="8" t="n"/>
      <c r="AG47" s="8" t="n"/>
      <c r="AH47" s="8" t="n"/>
      <c r="AI47" s="8" t="n"/>
      <c r="AJ47" s="8" t="n"/>
      <c r="AK47" s="121" t="n"/>
      <c r="AL47" s="121" t="n"/>
      <c r="AM47" s="8" t="n"/>
      <c r="AN47" s="8" t="n"/>
      <c r="AO47" s="8" t="n"/>
      <c r="AP47" s="8" t="n"/>
      <c r="AQ47" s="8" t="n"/>
      <c r="AR47" s="121" t="n"/>
      <c r="AS47" s="121" t="n"/>
      <c r="AT47" s="43" t="n"/>
    </row>
    <row r="48" ht="20.1" customHeight="1" thickBot="1">
      <c r="A48" s="40">
        <f>IFERROR(IF(config!E39="","",config!E39),"")</f>
        <v/>
      </c>
      <c r="B48" s="48">
        <f>IFERROR(IF(config!F39="","",config!F39),"")</f>
        <v/>
      </c>
      <c r="C48" s="96">
        <f>IFERROR(IF(config!G39="","",config!G39),"")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9" t="n"/>
      <c r="Q48" s="121" t="n"/>
      <c r="R48" s="8" t="n"/>
      <c r="S48" s="8" t="n"/>
      <c r="T48" s="8" t="n"/>
      <c r="U48" s="8" t="n"/>
      <c r="V48" s="8" t="n"/>
      <c r="W48" s="121" t="n"/>
      <c r="X48" s="121" t="n"/>
      <c r="Y48" s="8" t="n"/>
      <c r="Z48" s="8" t="n"/>
      <c r="AA48" s="8" t="n"/>
      <c r="AB48" s="8" t="n"/>
      <c r="AC48" s="8" t="n"/>
      <c r="AD48" s="121" t="n"/>
      <c r="AE48" s="121" t="n"/>
      <c r="AF48" s="8" t="n"/>
      <c r="AG48" s="8" t="n"/>
      <c r="AH48" s="8" t="n"/>
      <c r="AI48" s="8" t="n"/>
      <c r="AJ48" s="8" t="n"/>
      <c r="AK48" s="121" t="n"/>
      <c r="AL48" s="121" t="n"/>
      <c r="AM48" s="8" t="n"/>
      <c r="AN48" s="8" t="n"/>
      <c r="AO48" s="8" t="n"/>
      <c r="AP48" s="8" t="n"/>
      <c r="AQ48" s="8" t="n"/>
      <c r="AR48" s="121" t="n"/>
      <c r="AS48" s="121" t="n"/>
      <c r="AT48" s="43" t="n"/>
    </row>
    <row r="49" ht="20.1" customHeight="1" thickBot="1">
      <c r="A49" s="40">
        <f>IFERROR(IF(config!E40="","",config!E40),"")</f>
        <v/>
      </c>
      <c r="B49" s="48">
        <f>IFERROR(IF(config!F40="","",config!F40),"")</f>
        <v/>
      </c>
      <c r="C49" s="96">
        <f>IFERROR(IF(config!G40="","",config!G40),"")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49" t="n"/>
      <c r="Q49" s="121" t="n"/>
      <c r="R49" s="8" t="n"/>
      <c r="S49" s="8" t="n"/>
      <c r="T49" s="8" t="n"/>
      <c r="U49" s="8" t="n"/>
      <c r="V49" s="8" t="n"/>
      <c r="W49" s="121" t="n"/>
      <c r="X49" s="121" t="n"/>
      <c r="Y49" s="8" t="n"/>
      <c r="Z49" s="8" t="n"/>
      <c r="AA49" s="8" t="n"/>
      <c r="AB49" s="8" t="n"/>
      <c r="AC49" s="8" t="n"/>
      <c r="AD49" s="121" t="n"/>
      <c r="AE49" s="121" t="n"/>
      <c r="AF49" s="8" t="n"/>
      <c r="AG49" s="8" t="n"/>
      <c r="AH49" s="8" t="n"/>
      <c r="AI49" s="8" t="n"/>
      <c r="AJ49" s="8" t="n"/>
      <c r="AK49" s="121" t="n"/>
      <c r="AL49" s="121" t="n"/>
      <c r="AM49" s="8" t="n"/>
      <c r="AN49" s="8" t="n"/>
      <c r="AO49" s="8" t="n"/>
      <c r="AP49" s="8" t="n"/>
      <c r="AQ49" s="8" t="n"/>
      <c r="AR49" s="121" t="n"/>
      <c r="AS49" s="121" t="n"/>
      <c r="AT49" s="43" t="n"/>
    </row>
    <row r="50" ht="20.1" customHeight="1" thickBot="1">
      <c r="A50" s="158">
        <f>IFERROR(IF(config!E41="","",config!E41),"")</f>
        <v/>
      </c>
      <c r="B50" s="159">
        <f>IFERROR(IF(config!F41="","",config!F41),"")</f>
        <v/>
      </c>
      <c r="C50" s="160">
        <f>IFERROR(IF(config!G41="","",config!G41),"")</f>
        <v/>
      </c>
      <c r="D50" s="114">
        <f>COUNTIF(P50:AS50,"p")</f>
        <v/>
      </c>
      <c r="E50" s="28">
        <f>COUNTIF(P50:AS50,"PC")</f>
        <v/>
      </c>
      <c r="F50" s="28">
        <f>COUNTIF(P50:AS50,"f")</f>
        <v/>
      </c>
      <c r="G50" s="28">
        <f>COUNTIF(P50:AS50,"ast")</f>
        <v/>
      </c>
      <c r="H50" s="28">
        <f>COUNTIF(P50:AS50,"cA")</f>
        <v/>
      </c>
      <c r="I50" s="28">
        <f>COUNTIF(P50:AS50,"rtt")</f>
        <v/>
      </c>
      <c r="J50" s="28">
        <f>COUNTIF(P50:AS50,"cex")</f>
        <v/>
      </c>
      <c r="K50" s="28">
        <f>COUNTIF(P50:AS50,"res")</f>
        <v/>
      </c>
      <c r="L50" s="28">
        <f>COUNTIF(P50:AS50,"mA")</f>
        <v/>
      </c>
      <c r="M50" s="28">
        <f>COUNTIF(P50:AS50,"at")</f>
        <v/>
      </c>
      <c r="N50" s="28">
        <f>COUNTIF(P50:AS50,"TAD")</f>
        <v/>
      </c>
      <c r="O50" s="119">
        <f>COUNTIF(P50:AS50,"TP")</f>
        <v/>
      </c>
      <c r="P50" s="192" t="n"/>
      <c r="Q50" s="122" t="n"/>
      <c r="R50" s="29" t="n"/>
      <c r="S50" s="29" t="n"/>
      <c r="T50" s="29" t="n"/>
      <c r="U50" s="29" t="n"/>
      <c r="V50" s="29" t="n"/>
      <c r="W50" s="122" t="n"/>
      <c r="X50" s="122" t="n"/>
      <c r="Y50" s="29" t="n"/>
      <c r="Z50" s="29" t="n"/>
      <c r="AA50" s="29" t="n"/>
      <c r="AB50" s="29" t="n"/>
      <c r="AC50" s="29" t="n"/>
      <c r="AD50" s="122" t="n"/>
      <c r="AE50" s="122" t="n"/>
      <c r="AF50" s="29" t="n"/>
      <c r="AG50" s="29" t="n"/>
      <c r="AH50" s="29" t="n"/>
      <c r="AI50" s="29" t="n"/>
      <c r="AJ50" s="29" t="n"/>
      <c r="AK50" s="122" t="n"/>
      <c r="AL50" s="122" t="n"/>
      <c r="AM50" s="29" t="n"/>
      <c r="AN50" s="29" t="n"/>
      <c r="AO50" s="29" t="n"/>
      <c r="AP50" s="29" t="n"/>
      <c r="AQ50" s="29" t="n"/>
      <c r="AR50" s="122" t="n"/>
      <c r="AS50" s="122" t="n"/>
      <c r="AT50" s="44" t="n"/>
    </row>
    <row r="51" ht="20.1" customHeight="1" thickBot="1">
      <c r="A51" s="64">
        <f>IFERROR(IF(config!E42="","",config!E42),"")</f>
        <v/>
      </c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206" t="n"/>
      <c r="AT51" s="206" t="n"/>
      <c r="AV51" s="345" t="inlineStr">
        <is>
          <t>ESPACES VERTS</t>
        </is>
      </c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4" t="n"/>
    </row>
    <row r="52" ht="20.1" customHeight="1" thickBot="1">
      <c r="A52" s="166">
        <f>IFERROR(IF(config!E43="","",config!E43),"")</f>
        <v/>
      </c>
      <c r="B52" s="166">
        <f>IFERROR(IF(config!F43="","",config!F43),"")</f>
        <v/>
      </c>
      <c r="C52" s="129">
        <f>IFERROR(IF(config!G43="","",config!G43),"")</f>
        <v/>
      </c>
      <c r="D52" s="130">
        <f>COUNTIF(P52:AS52,"p")</f>
        <v/>
      </c>
      <c r="E52" s="30">
        <f>COUNTIF(P52:AS52,"PC")</f>
        <v/>
      </c>
      <c r="F52" s="30">
        <f>COUNTIF(P52:AS52,"f")</f>
        <v/>
      </c>
      <c r="G52" s="30">
        <f>COUNTIF(P52:AS52,"ast")</f>
        <v/>
      </c>
      <c r="H52" s="30">
        <f>COUNTIF(P52:AS52,"cA")</f>
        <v/>
      </c>
      <c r="I52" s="30">
        <f>COUNTIF(P52:AS52,"rtt")</f>
        <v/>
      </c>
      <c r="J52" s="30">
        <f>COUNTIF(P52:AS52,"cex")</f>
        <v/>
      </c>
      <c r="K52" s="30">
        <f>COUNTIF(P52:AS52,"res")</f>
        <v/>
      </c>
      <c r="L52" s="30">
        <f>COUNTIF(P52:AS52,"mA")</f>
        <v/>
      </c>
      <c r="M52" s="30">
        <f>COUNTIF(P52:AS52,"at")</f>
        <v/>
      </c>
      <c r="N52" s="30">
        <f>COUNTIF(P52:AS52,"TAD")</f>
        <v/>
      </c>
      <c r="O52" s="133">
        <f>COUNTIF(P52:AS52,"TP")</f>
        <v/>
      </c>
      <c r="P52" s="175" t="n"/>
      <c r="Q52" s="113" t="n"/>
      <c r="R52" s="28" t="n"/>
      <c r="S52" s="28" t="n"/>
      <c r="T52" s="28" t="n"/>
      <c r="U52" s="28" t="n"/>
      <c r="V52" s="28" t="n"/>
      <c r="W52" s="113" t="n"/>
      <c r="X52" s="113" t="n"/>
      <c r="Y52" s="28" t="n"/>
      <c r="Z52" s="28" t="n"/>
      <c r="AA52" s="28" t="n"/>
      <c r="AB52" s="28" t="n"/>
      <c r="AC52" s="28" t="n"/>
      <c r="AD52" s="113" t="n"/>
      <c r="AE52" s="113" t="n"/>
      <c r="AF52" s="28" t="n"/>
      <c r="AG52" s="28" t="n"/>
      <c r="AH52" s="28" t="n"/>
      <c r="AI52" s="28" t="n"/>
      <c r="AJ52" s="28" t="n"/>
      <c r="AK52" s="113" t="n"/>
      <c r="AL52" s="113" t="n"/>
      <c r="AM52" s="28" t="n"/>
      <c r="AN52" s="28" t="n"/>
      <c r="AO52" s="28" t="n"/>
      <c r="AP52" s="28" t="n"/>
      <c r="AQ52" s="28" t="n"/>
      <c r="AR52" s="113" t="n"/>
      <c r="AS52" s="113" t="n"/>
      <c r="AT52" s="42" t="n"/>
      <c r="AV52" s="15" t="inlineStr">
        <is>
          <t>P</t>
        </is>
      </c>
      <c r="AW52" s="105" t="inlineStr">
        <is>
          <t>PC</t>
        </is>
      </c>
      <c r="AX52" s="12" t="inlineStr">
        <is>
          <t>F</t>
        </is>
      </c>
      <c r="AY52" s="106" t="inlineStr">
        <is>
          <t>AST</t>
        </is>
      </c>
      <c r="AZ52" s="10" t="inlineStr">
        <is>
          <t>CA</t>
        </is>
      </c>
      <c r="BA52" s="107" t="inlineStr">
        <is>
          <t>RTT</t>
        </is>
      </c>
      <c r="BB52" s="11" t="inlineStr">
        <is>
          <t>CEX</t>
        </is>
      </c>
      <c r="BC52" s="108" t="inlineStr">
        <is>
          <t>R</t>
        </is>
      </c>
      <c r="BD52" s="109" t="inlineStr">
        <is>
          <t>M</t>
        </is>
      </c>
      <c r="BE52" s="110" t="inlineStr">
        <is>
          <t>AT</t>
        </is>
      </c>
      <c r="BF52" s="24" t="inlineStr">
        <is>
          <t>TP</t>
        </is>
      </c>
    </row>
    <row r="53" ht="20.1" customFormat="1" customHeight="1" s="45" thickBot="1">
      <c r="A53" s="166">
        <f>IFERROR(IF(config!E44="","",config!E44),"")</f>
        <v/>
      </c>
      <c r="B53" s="166">
        <f>IFERROR(IF(config!F44="","",config!F44),"")</f>
        <v/>
      </c>
      <c r="C53" s="129">
        <f>IFERROR(IF(config!G44="","",config!G44),"")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9" t="n"/>
      <c r="Q53" s="121" t="n"/>
      <c r="R53" s="8" t="n"/>
      <c r="S53" s="8" t="n"/>
      <c r="T53" s="8" t="n"/>
      <c r="U53" s="8" t="n"/>
      <c r="V53" s="8" t="n"/>
      <c r="W53" s="121" t="n"/>
      <c r="X53" s="121" t="n"/>
      <c r="Y53" s="8" t="n"/>
      <c r="Z53" s="8" t="n"/>
      <c r="AA53" s="8" t="n"/>
      <c r="AB53" s="8" t="n"/>
      <c r="AC53" s="8" t="n"/>
      <c r="AD53" s="121" t="n"/>
      <c r="AE53" s="121" t="n"/>
      <c r="AF53" s="8" t="n"/>
      <c r="AG53" s="8" t="n"/>
      <c r="AH53" s="8" t="n"/>
      <c r="AI53" s="8" t="n"/>
      <c r="AJ53" s="8" t="n"/>
      <c r="AK53" s="121" t="n"/>
      <c r="AL53" s="121" t="n"/>
      <c r="AM53" s="8" t="n"/>
      <c r="AN53" s="8" t="n"/>
      <c r="AO53" s="8" t="n"/>
      <c r="AP53" s="8" t="n"/>
      <c r="AQ53" s="8" t="n"/>
      <c r="AR53" s="121" t="n"/>
      <c r="AS53" s="121" t="n"/>
      <c r="AT53" s="43" t="n"/>
      <c r="AV53" s="27">
        <f>COUNTIF(P52:AS63,"P")</f>
        <v/>
      </c>
      <c r="AW53" s="27">
        <f>COUNTIF(P52:AS63,"PC")</f>
        <v/>
      </c>
      <c r="AX53" s="27">
        <f>COUNTIF(P52:AS63,"F")</f>
        <v/>
      </c>
      <c r="AY53" s="27">
        <f>COUNTIF(P52:AS63,"AST")</f>
        <v/>
      </c>
      <c r="AZ53" s="27">
        <f>COUNTIF(P52:AS63,"CA")</f>
        <v/>
      </c>
      <c r="BA53" s="27">
        <f>COUNTIF(P52:AS63,"RTT")</f>
        <v/>
      </c>
      <c r="BB53" s="27">
        <f>COUNTIF(P52:AS63,"CEX")</f>
        <v/>
      </c>
      <c r="BC53" s="27">
        <f>COUNTIF(P52:AS63,"RES")</f>
        <v/>
      </c>
      <c r="BD53" s="27">
        <f>COUNTIF(P52:AS63,"MA")</f>
        <v/>
      </c>
      <c r="BE53" s="27">
        <f>COUNTIF(P52:AS63,"AT")</f>
        <v/>
      </c>
      <c r="BF53" s="27">
        <f>COUNTIF(P52:AS63,"TP")</f>
        <v/>
      </c>
    </row>
    <row r="54" ht="20.1" customHeight="1" thickBot="1">
      <c r="A54" s="166">
        <f>IFERROR(IF(config!E45="","",config!E45),"")</f>
        <v/>
      </c>
      <c r="B54" s="166">
        <f>IFERROR(IF(config!F45="","",config!F45),"")</f>
        <v/>
      </c>
      <c r="C54" s="129">
        <f>IFERROR(IF(config!G45="","",config!G45),"")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9" t="n"/>
      <c r="Q54" s="121" t="n"/>
      <c r="R54" s="8" t="n"/>
      <c r="S54" s="8" t="n"/>
      <c r="T54" s="8" t="n"/>
      <c r="U54" s="8" t="n"/>
      <c r="V54" s="8" t="n"/>
      <c r="W54" s="121" t="n"/>
      <c r="X54" s="121" t="n"/>
      <c r="Y54" s="8" t="n"/>
      <c r="Z54" s="8" t="n"/>
      <c r="AA54" s="8" t="n"/>
      <c r="AB54" s="8" t="n"/>
      <c r="AC54" s="8" t="n"/>
      <c r="AD54" s="121" t="n"/>
      <c r="AE54" s="121" t="n"/>
      <c r="AF54" s="8" t="n"/>
      <c r="AG54" s="8" t="n"/>
      <c r="AH54" s="8" t="n"/>
      <c r="AI54" s="8" t="n"/>
      <c r="AJ54" s="8" t="n"/>
      <c r="AK54" s="121" t="n"/>
      <c r="AL54" s="121" t="n"/>
      <c r="AM54" s="8" t="n"/>
      <c r="AN54" s="8" t="n"/>
      <c r="AO54" s="8" t="n"/>
      <c r="AP54" s="8" t="n"/>
      <c r="AQ54" s="8" t="n"/>
      <c r="AR54" s="121" t="n"/>
      <c r="AS54" s="121" t="n"/>
      <c r="AT54" s="43" t="n"/>
    </row>
    <row r="55" ht="20.1" customHeight="1" thickBot="1">
      <c r="A55" s="166">
        <f>IFERROR(IF(config!E46="","",config!E46),"")</f>
        <v/>
      </c>
      <c r="B55" s="166">
        <f>IFERROR(IF(config!F46="","",config!F46),"")</f>
        <v/>
      </c>
      <c r="C55" s="129">
        <f>IFERROR(IF(config!G46="","",config!G46),"")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9" t="n"/>
      <c r="Q55" s="121" t="n"/>
      <c r="R55" s="8" t="n"/>
      <c r="S55" s="8" t="n"/>
      <c r="T55" s="8" t="n"/>
      <c r="U55" s="8" t="n"/>
      <c r="V55" s="8" t="n"/>
      <c r="W55" s="121" t="n"/>
      <c r="X55" s="121" t="n"/>
      <c r="Y55" s="8" t="n"/>
      <c r="Z55" s="8" t="n"/>
      <c r="AA55" s="8" t="n"/>
      <c r="AB55" s="8" t="n"/>
      <c r="AC55" s="8" t="n"/>
      <c r="AD55" s="121" t="n"/>
      <c r="AE55" s="121" t="n"/>
      <c r="AF55" s="8" t="n"/>
      <c r="AG55" s="8" t="n"/>
      <c r="AH55" s="8" t="n"/>
      <c r="AI55" s="8" t="n"/>
      <c r="AJ55" s="8" t="n"/>
      <c r="AK55" s="121" t="n"/>
      <c r="AL55" s="121" t="n"/>
      <c r="AM55" s="8" t="n"/>
      <c r="AN55" s="8" t="n"/>
      <c r="AO55" s="8" t="n"/>
      <c r="AP55" s="8" t="n"/>
      <c r="AQ55" s="8" t="n"/>
      <c r="AR55" s="121" t="n"/>
      <c r="AS55" s="121" t="n"/>
      <c r="AT55" s="43" t="n"/>
    </row>
    <row r="56" ht="20.1" customHeight="1" thickBot="1">
      <c r="A56" s="166">
        <f>IFERROR(IF(config!E47="","",config!E47),"")</f>
        <v/>
      </c>
      <c r="B56" s="166">
        <f>IFERROR(IF(config!F47="","",config!F47),"")</f>
        <v/>
      </c>
      <c r="C56" s="129">
        <f>IFERROR(IF(config!G47="","",config!G47),"")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9" t="n"/>
      <c r="Q56" s="121" t="n"/>
      <c r="R56" s="8" t="n"/>
      <c r="S56" s="8" t="n"/>
      <c r="T56" s="8" t="n"/>
      <c r="U56" s="8" t="n"/>
      <c r="V56" s="8" t="n"/>
      <c r="W56" s="121" t="n"/>
      <c r="X56" s="121" t="n"/>
      <c r="Y56" s="8" t="n"/>
      <c r="Z56" s="8" t="n"/>
      <c r="AA56" s="8" t="n"/>
      <c r="AB56" s="8" t="n"/>
      <c r="AC56" s="8" t="n"/>
      <c r="AD56" s="121" t="n"/>
      <c r="AE56" s="121" t="n"/>
      <c r="AF56" s="8" t="n"/>
      <c r="AG56" s="8" t="n"/>
      <c r="AH56" s="8" t="n"/>
      <c r="AI56" s="8" t="n"/>
      <c r="AJ56" s="8" t="n"/>
      <c r="AK56" s="121" t="n"/>
      <c r="AL56" s="121" t="n"/>
      <c r="AM56" s="8" t="n"/>
      <c r="AN56" s="8" t="n"/>
      <c r="AO56" s="8" t="n"/>
      <c r="AP56" s="8" t="n"/>
      <c r="AQ56" s="8" t="n"/>
      <c r="AR56" s="121" t="n"/>
      <c r="AS56" s="121" t="n"/>
      <c r="AT56" s="43" t="n"/>
    </row>
    <row r="57" ht="20.1" customHeight="1" thickBot="1">
      <c r="A57" s="166">
        <f>IFERROR(IF(config!E48="","",config!E48),"")</f>
        <v/>
      </c>
      <c r="B57" s="166">
        <f>IFERROR(IF(config!F48="","",config!F48),"")</f>
        <v/>
      </c>
      <c r="C57" s="129">
        <f>IFERROR(IF(config!G48="","",config!G48),"")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9" t="n"/>
      <c r="Q57" s="121" t="n"/>
      <c r="R57" s="8" t="n"/>
      <c r="S57" s="8" t="n"/>
      <c r="T57" s="8" t="n"/>
      <c r="U57" s="8" t="n"/>
      <c r="V57" s="8" t="n"/>
      <c r="W57" s="121" t="n"/>
      <c r="X57" s="121" t="n"/>
      <c r="Y57" s="8" t="n"/>
      <c r="Z57" s="8" t="n"/>
      <c r="AA57" s="8" t="n"/>
      <c r="AB57" s="8" t="n"/>
      <c r="AC57" s="8" t="n"/>
      <c r="AD57" s="121" t="n"/>
      <c r="AE57" s="121" t="n"/>
      <c r="AF57" s="8" t="n"/>
      <c r="AG57" s="8" t="n"/>
      <c r="AH57" s="8" t="n"/>
      <c r="AI57" s="8" t="n"/>
      <c r="AJ57" s="8" t="n"/>
      <c r="AK57" s="121" t="n"/>
      <c r="AL57" s="121" t="n"/>
      <c r="AM57" s="8" t="n"/>
      <c r="AN57" s="8" t="n"/>
      <c r="AO57" s="8" t="n"/>
      <c r="AP57" s="8" t="n"/>
      <c r="AQ57" s="8" t="n"/>
      <c r="AR57" s="121" t="n"/>
      <c r="AS57" s="121" t="n"/>
      <c r="AT57" s="43" t="n"/>
    </row>
    <row r="58" ht="20.1" customFormat="1" customHeight="1" s="45" thickBot="1">
      <c r="A58" s="166">
        <f>IFERROR(IF(config!E49="","",config!E49),"")</f>
        <v/>
      </c>
      <c r="B58" s="166">
        <f>IFERROR(IF(config!F49="","",config!F49),"")</f>
        <v/>
      </c>
      <c r="C58" s="129">
        <f>IFERROR(IF(config!G49="","",config!G49),"")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9" t="n"/>
      <c r="Q58" s="121" t="n"/>
      <c r="R58" s="8" t="n"/>
      <c r="S58" s="8" t="n"/>
      <c r="T58" s="8" t="n"/>
      <c r="U58" s="8" t="n"/>
      <c r="V58" s="8" t="n"/>
      <c r="W58" s="121" t="n"/>
      <c r="X58" s="121" t="n"/>
      <c r="Y58" s="8" t="n"/>
      <c r="Z58" s="8" t="n"/>
      <c r="AA58" s="8" t="n"/>
      <c r="AB58" s="8" t="n"/>
      <c r="AC58" s="8" t="n"/>
      <c r="AD58" s="121" t="n"/>
      <c r="AE58" s="121" t="n"/>
      <c r="AF58" s="8" t="n"/>
      <c r="AG58" s="8" t="n"/>
      <c r="AH58" s="8" t="n"/>
      <c r="AI58" s="8" t="n"/>
      <c r="AJ58" s="8" t="n"/>
      <c r="AK58" s="121" t="n"/>
      <c r="AL58" s="121" t="n"/>
      <c r="AM58" s="8" t="n"/>
      <c r="AN58" s="8" t="n"/>
      <c r="AO58" s="8" t="n"/>
      <c r="AP58" s="8" t="n"/>
      <c r="AQ58" s="8" t="n"/>
      <c r="AR58" s="121" t="n"/>
      <c r="AS58" s="121" t="n"/>
      <c r="AT58" s="43" t="n"/>
    </row>
    <row r="59" ht="20.1" customHeight="1" thickBot="1">
      <c r="A59" s="166">
        <f>IFERROR(IF(config!E50="","",config!E50),"")</f>
        <v/>
      </c>
      <c r="B59" s="166">
        <f>IFERROR(IF(config!F50="","",config!F50),"")</f>
        <v/>
      </c>
      <c r="C59" s="129">
        <f>IFERROR(IF(config!G50="","",config!G50),"")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9" t="n"/>
      <c r="Q59" s="121" t="n"/>
      <c r="R59" s="8" t="n"/>
      <c r="S59" s="8" t="n"/>
      <c r="T59" s="8" t="n"/>
      <c r="U59" s="8" t="n"/>
      <c r="V59" s="8" t="n"/>
      <c r="W59" s="121" t="n"/>
      <c r="X59" s="121" t="n"/>
      <c r="Y59" s="8" t="n"/>
      <c r="Z59" s="8" t="n"/>
      <c r="AA59" s="8" t="n"/>
      <c r="AB59" s="8" t="n"/>
      <c r="AC59" s="8" t="n"/>
      <c r="AD59" s="121" t="n"/>
      <c r="AE59" s="121" t="n"/>
      <c r="AF59" s="8" t="n"/>
      <c r="AG59" s="8" t="n"/>
      <c r="AH59" s="8" t="n"/>
      <c r="AI59" s="8" t="n"/>
      <c r="AJ59" s="8" t="n"/>
      <c r="AK59" s="121" t="n"/>
      <c r="AL59" s="121" t="n"/>
      <c r="AM59" s="8" t="n"/>
      <c r="AN59" s="8" t="n"/>
      <c r="AO59" s="8" t="n"/>
      <c r="AP59" s="8" t="n"/>
      <c r="AQ59" s="8" t="n"/>
      <c r="AR59" s="121" t="n"/>
      <c r="AS59" s="121" t="n"/>
      <c r="AT59" s="43" t="n"/>
    </row>
    <row r="60" ht="20.1" customHeight="1" thickBot="1">
      <c r="A60" s="166">
        <f>IFERROR(IF(config!E51="","",config!E51),"")</f>
        <v/>
      </c>
      <c r="B60" s="166">
        <f>IFERROR(IF(config!F51="","",config!F51),"")</f>
        <v/>
      </c>
      <c r="C60" s="129">
        <f>IFERROR(IF(config!G51="","",config!G51),"")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9" t="n"/>
      <c r="Q60" s="121" t="n"/>
      <c r="R60" s="8" t="n"/>
      <c r="S60" s="8" t="n"/>
      <c r="T60" s="8" t="n"/>
      <c r="U60" s="8" t="n"/>
      <c r="V60" s="8" t="n"/>
      <c r="W60" s="121" t="n"/>
      <c r="X60" s="121" t="n"/>
      <c r="Y60" s="8" t="n"/>
      <c r="Z60" s="8" t="n"/>
      <c r="AA60" s="8" t="n"/>
      <c r="AB60" s="8" t="n"/>
      <c r="AC60" s="8" t="n"/>
      <c r="AD60" s="121" t="n"/>
      <c r="AE60" s="121" t="n"/>
      <c r="AF60" s="8" t="n"/>
      <c r="AG60" s="8" t="n"/>
      <c r="AH60" s="8" t="n"/>
      <c r="AI60" s="8" t="n"/>
      <c r="AJ60" s="8" t="n"/>
      <c r="AK60" s="121" t="n"/>
      <c r="AL60" s="121" t="n"/>
      <c r="AM60" s="8" t="n"/>
      <c r="AN60" s="8" t="n"/>
      <c r="AO60" s="8" t="n"/>
      <c r="AP60" s="8" t="n"/>
      <c r="AQ60" s="8" t="n"/>
      <c r="AR60" s="121" t="n"/>
      <c r="AS60" s="121" t="n"/>
      <c r="AT60" s="43" t="n"/>
    </row>
    <row r="61" ht="20.1" customHeight="1" thickBot="1">
      <c r="A61" s="166">
        <f>IFERROR(IF(config!E52="","",config!E52),"")</f>
        <v/>
      </c>
      <c r="B61" s="166">
        <f>IFERROR(IF(config!F52="","",config!F52),"")</f>
        <v/>
      </c>
      <c r="C61" s="129">
        <f>IFERROR(IF(config!G52="","",config!G52),"")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9" t="n"/>
      <c r="Q61" s="121" t="n"/>
      <c r="R61" s="8" t="n"/>
      <c r="S61" s="8" t="n"/>
      <c r="T61" s="8" t="n"/>
      <c r="U61" s="8" t="n"/>
      <c r="V61" s="8" t="n"/>
      <c r="W61" s="121" t="n"/>
      <c r="X61" s="121" t="n"/>
      <c r="Y61" s="8" t="n"/>
      <c r="Z61" s="8" t="n"/>
      <c r="AA61" s="8" t="n"/>
      <c r="AB61" s="8" t="n"/>
      <c r="AC61" s="8" t="n"/>
      <c r="AD61" s="121" t="n"/>
      <c r="AE61" s="121" t="n"/>
      <c r="AF61" s="8" t="n"/>
      <c r="AG61" s="8" t="n"/>
      <c r="AH61" s="8" t="n"/>
      <c r="AI61" s="8" t="n"/>
      <c r="AJ61" s="8" t="n"/>
      <c r="AK61" s="121" t="n"/>
      <c r="AL61" s="121" t="n"/>
      <c r="AM61" s="8" t="n"/>
      <c r="AN61" s="8" t="n"/>
      <c r="AO61" s="8" t="n"/>
      <c r="AP61" s="8" t="n"/>
      <c r="AQ61" s="8" t="n"/>
      <c r="AR61" s="121" t="n"/>
      <c r="AS61" s="121" t="n"/>
      <c r="AT61" s="43" t="n"/>
    </row>
    <row r="62" ht="20.1" customHeight="1" thickBot="1">
      <c r="A62" s="166">
        <f>IFERROR(IF(config!E53="","",config!E53),"")</f>
        <v/>
      </c>
      <c r="B62" s="166">
        <f>IFERROR(IF(config!F53="","",config!F53),"")</f>
        <v/>
      </c>
      <c r="C62" s="129">
        <f>IFERROR(IF(config!G53="","",config!G53),"")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49" t="n"/>
      <c r="Q62" s="121" t="n"/>
      <c r="R62" s="8" t="n"/>
      <c r="S62" s="8" t="n"/>
      <c r="T62" s="8" t="n"/>
      <c r="U62" s="8" t="n"/>
      <c r="V62" s="8" t="n"/>
      <c r="W62" s="121" t="n"/>
      <c r="X62" s="121" t="n"/>
      <c r="Y62" s="8" t="n"/>
      <c r="Z62" s="8" t="n"/>
      <c r="AA62" s="8" t="n"/>
      <c r="AB62" s="8" t="n"/>
      <c r="AC62" s="8" t="n"/>
      <c r="AD62" s="121" t="n"/>
      <c r="AE62" s="121" t="n"/>
      <c r="AF62" s="8" t="n"/>
      <c r="AG62" s="8" t="n"/>
      <c r="AH62" s="8" t="n"/>
      <c r="AI62" s="8" t="n"/>
      <c r="AJ62" s="8" t="n"/>
      <c r="AK62" s="121" t="n"/>
      <c r="AL62" s="121" t="n"/>
      <c r="AM62" s="8" t="n"/>
      <c r="AN62" s="8" t="n"/>
      <c r="AO62" s="8" t="n"/>
      <c r="AP62" s="8" t="n"/>
      <c r="AQ62" s="8" t="n"/>
      <c r="AR62" s="121" t="n"/>
      <c r="AS62" s="121" t="n"/>
      <c r="AT62" s="43" t="n"/>
    </row>
    <row r="63" ht="20.1" customHeight="1" thickBot="1">
      <c r="A63" s="240" t="n"/>
      <c r="B63" s="240" t="n"/>
      <c r="C63" s="241" t="n"/>
      <c r="D63" s="242">
        <f>COUNTIF(P63:AS63,"p")</f>
        <v/>
      </c>
      <c r="E63" s="243">
        <f>COUNTIF(P63:AS63,"PC")</f>
        <v/>
      </c>
      <c r="F63" s="243">
        <f>COUNTIF(P63:AS63,"f")</f>
        <v/>
      </c>
      <c r="G63" s="243">
        <f>COUNTIF(P63:AS63,"ast")</f>
        <v/>
      </c>
      <c r="H63" s="243">
        <f>COUNTIF(P63:AS63,"cA")</f>
        <v/>
      </c>
      <c r="I63" s="243">
        <f>COUNTIF(P63:AS63,"rtt")</f>
        <v/>
      </c>
      <c r="J63" s="243">
        <f>COUNTIF(P63:AS63,"cex")</f>
        <v/>
      </c>
      <c r="K63" s="243">
        <f>COUNTIF(P63:AS63,"res")</f>
        <v/>
      </c>
      <c r="L63" s="243">
        <f>COUNTIF(P63:AS63,"mA")</f>
        <v/>
      </c>
      <c r="M63" s="243">
        <f>COUNTIF(P63:AS63,"at")</f>
        <v/>
      </c>
      <c r="N63" s="243">
        <f>COUNTIF(P63:AS63,"TAD")</f>
        <v/>
      </c>
      <c r="O63" s="244">
        <f>COUNTIF(P63:AS63,"TP")</f>
        <v/>
      </c>
      <c r="P63" s="262" t="n"/>
      <c r="Q63" s="290" t="n"/>
      <c r="R63" s="290" t="n"/>
      <c r="S63" s="290" t="n"/>
      <c r="T63" s="290" t="n"/>
      <c r="U63" s="290" t="n"/>
      <c r="V63" s="290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  <c r="AM63" s="290" t="n"/>
      <c r="AN63" s="290" t="n"/>
      <c r="AO63" s="290" t="n"/>
      <c r="AP63" s="290" t="n"/>
      <c r="AQ63" s="290" t="n"/>
      <c r="AR63" s="290" t="n"/>
      <c r="AS63" s="290" t="n"/>
      <c r="AT63" s="291" t="n"/>
    </row>
    <row r="64" ht="20.1" customHeight="1" thickBot="1">
      <c r="A64" s="319">
        <f>IFERROR(IF(config!E55="","",config!E55),"")</f>
        <v/>
      </c>
      <c r="B64" s="348" t="n"/>
      <c r="C64" s="348" t="n"/>
      <c r="D64" s="348" t="n"/>
      <c r="E64" s="348" t="n"/>
      <c r="F64" s="348" t="n"/>
      <c r="G64" s="348" t="n"/>
      <c r="H64" s="348" t="n"/>
      <c r="I64" s="348" t="n"/>
      <c r="J64" s="348" t="n"/>
      <c r="K64" s="348" t="n"/>
      <c r="L64" s="348" t="n"/>
      <c r="M64" s="348" t="n"/>
      <c r="N64" s="348" t="n"/>
      <c r="O64" s="348" t="n"/>
      <c r="P64" s="348" t="n"/>
      <c r="Q64" s="348" t="n"/>
      <c r="R64" s="348" t="n"/>
      <c r="S64" s="348" t="n"/>
      <c r="T64" s="348" t="n"/>
      <c r="U64" s="348" t="n"/>
      <c r="V64" s="348" t="n"/>
      <c r="W64" s="348" t="n"/>
      <c r="X64" s="348" t="n"/>
      <c r="Y64" s="348" t="n"/>
      <c r="Z64" s="348" t="n"/>
      <c r="AA64" s="348" t="n"/>
      <c r="AB64" s="348" t="n"/>
      <c r="AC64" s="348" t="n"/>
      <c r="AD64" s="348" t="n"/>
      <c r="AE64" s="348" t="n"/>
      <c r="AF64" s="348" t="n"/>
      <c r="AG64" s="348" t="n"/>
      <c r="AH64" s="348" t="n"/>
      <c r="AI64" s="348" t="n"/>
      <c r="AJ64" s="348" t="n"/>
      <c r="AK64" s="348" t="n"/>
      <c r="AL64" s="348" t="n"/>
      <c r="AM64" s="348" t="n"/>
      <c r="AN64" s="348" t="n"/>
      <c r="AO64" s="348" t="n"/>
      <c r="AP64" s="348" t="n"/>
      <c r="AQ64" s="348" t="n"/>
      <c r="AR64" s="348" t="n"/>
      <c r="AS64" s="348" t="n"/>
      <c r="AT64" s="321" t="n"/>
      <c r="AV64" s="345" t="inlineStr">
        <is>
          <t>MAGASIN</t>
        </is>
      </c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4" t="n"/>
    </row>
    <row r="65" ht="20.1" customHeight="1" thickBot="1">
      <c r="A65" s="200">
        <f>IFERROR(IF(config!E56="","",config!E56),"")</f>
        <v/>
      </c>
      <c r="B65" s="201">
        <f>IFERROR(IF(config!F56="","",config!F56),"")</f>
        <v/>
      </c>
      <c r="C65" s="202">
        <f>IFERROR(IF(config!G56="","",config!G56),"")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75" t="n"/>
      <c r="Q65" s="113" t="n"/>
      <c r="R65" s="28" t="n"/>
      <c r="S65" s="28" t="n"/>
      <c r="T65" s="28" t="n"/>
      <c r="U65" s="28" t="n"/>
      <c r="V65" s="28" t="n"/>
      <c r="W65" s="113" t="n"/>
      <c r="X65" s="113" t="n"/>
      <c r="Y65" s="28" t="n"/>
      <c r="Z65" s="28" t="n"/>
      <c r="AA65" s="28" t="n"/>
      <c r="AB65" s="28" t="n"/>
      <c r="AC65" s="28" t="n"/>
      <c r="AD65" s="113" t="n"/>
      <c r="AE65" s="113" t="n"/>
      <c r="AF65" s="28" t="n"/>
      <c r="AG65" s="28" t="n"/>
      <c r="AH65" s="28" t="n"/>
      <c r="AI65" s="28" t="n"/>
      <c r="AJ65" s="28" t="n"/>
      <c r="AK65" s="113" t="n"/>
      <c r="AL65" s="113" t="n"/>
      <c r="AM65" s="28" t="n"/>
      <c r="AN65" s="28" t="n"/>
      <c r="AO65" s="28" t="n"/>
      <c r="AP65" s="28" t="n"/>
      <c r="AQ65" s="28" t="n"/>
      <c r="AR65" s="113" t="n"/>
      <c r="AS65" s="113" t="n"/>
      <c r="AT65" s="42" t="n"/>
      <c r="AV65" s="15" t="inlineStr">
        <is>
          <t>P</t>
        </is>
      </c>
      <c r="AW65" s="105" t="inlineStr">
        <is>
          <t>PC</t>
        </is>
      </c>
      <c r="AX65" s="12" t="inlineStr">
        <is>
          <t>F</t>
        </is>
      </c>
      <c r="AY65" s="106" t="inlineStr">
        <is>
          <t>AST</t>
        </is>
      </c>
      <c r="AZ65" s="10" t="inlineStr">
        <is>
          <t>CA</t>
        </is>
      </c>
      <c r="BA65" s="107" t="inlineStr">
        <is>
          <t>RTT</t>
        </is>
      </c>
      <c r="BB65" s="11" t="inlineStr">
        <is>
          <t>CEX</t>
        </is>
      </c>
      <c r="BC65" s="108" t="inlineStr">
        <is>
          <t>R</t>
        </is>
      </c>
      <c r="BD65" s="109" t="inlineStr">
        <is>
          <t>M</t>
        </is>
      </c>
      <c r="BE65" s="110" t="inlineStr">
        <is>
          <t>AT</t>
        </is>
      </c>
      <c r="BF65" s="24" t="inlineStr">
        <is>
          <t>TP</t>
        </is>
      </c>
    </row>
    <row r="66" ht="20.1" customHeight="1" thickBot="1">
      <c r="A66" s="39">
        <f>IFERROR(IF(config!E57="","",config!E57),"")</f>
        <v/>
      </c>
      <c r="B66" s="51">
        <f>IFERROR(IF(config!F57="","",config!F57),"")</f>
        <v/>
      </c>
      <c r="C66" s="97">
        <f>IFERROR(IF(config!G57="","",config!G57),"")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49" t="n"/>
      <c r="Q66" s="121" t="n"/>
      <c r="R66" s="8" t="n"/>
      <c r="S66" s="8" t="n"/>
      <c r="T66" s="8" t="n"/>
      <c r="U66" s="8" t="n"/>
      <c r="V66" s="8" t="n"/>
      <c r="W66" s="121" t="n"/>
      <c r="X66" s="121" t="n"/>
      <c r="Y66" s="8" t="n"/>
      <c r="Z66" s="8" t="n"/>
      <c r="AA66" s="8" t="n"/>
      <c r="AB66" s="8" t="n"/>
      <c r="AC66" s="8" t="n"/>
      <c r="AD66" s="121" t="n"/>
      <c r="AE66" s="121" t="n"/>
      <c r="AF66" s="8" t="n"/>
      <c r="AG66" s="8" t="n"/>
      <c r="AH66" s="8" t="n"/>
      <c r="AI66" s="8" t="n"/>
      <c r="AJ66" s="8" t="n"/>
      <c r="AK66" s="121" t="n"/>
      <c r="AL66" s="121" t="n"/>
      <c r="AM66" s="8" t="n"/>
      <c r="AN66" s="8" t="n"/>
      <c r="AO66" s="8" t="n"/>
      <c r="AP66" s="8" t="n"/>
      <c r="AQ66" s="8" t="n"/>
      <c r="AR66" s="121" t="n"/>
      <c r="AS66" s="121" t="n"/>
      <c r="AT66" s="43" t="n"/>
      <c r="AV66" s="27">
        <f>COUNTIF(P65:AS76,"P")</f>
        <v/>
      </c>
      <c r="AW66" s="27">
        <f>COUNTIF(P65:AS76,"PC")</f>
        <v/>
      </c>
      <c r="AX66" s="27">
        <f>COUNTIF(P65:AS76,"F")</f>
        <v/>
      </c>
      <c r="AY66" s="27">
        <f>COUNTIF(P65:AS76,"AST")</f>
        <v/>
      </c>
      <c r="AZ66" s="27">
        <f>COUNTIF(P65:AS76,"Ca")</f>
        <v/>
      </c>
      <c r="BA66" s="27">
        <f>COUNTIF(P65:AS76,"RTT")</f>
        <v/>
      </c>
      <c r="BB66" s="27">
        <f>COUNTIF(P65:AS76,"CEX")</f>
        <v/>
      </c>
      <c r="BC66" s="27">
        <f>COUNTIF(P65:AS76,"RES")</f>
        <v/>
      </c>
      <c r="BD66" s="27">
        <f>COUNTIF(P65:AS76,"MA")</f>
        <v/>
      </c>
      <c r="BE66" s="27">
        <f>COUNTIF(P65:AS76,"AT")</f>
        <v/>
      </c>
      <c r="BF66" s="27">
        <f>COUNTIF(P65:AS76,"TP")</f>
        <v/>
      </c>
    </row>
    <row r="67" ht="20.1" customHeight="1" thickBot="1">
      <c r="A67" s="39">
        <f>IFERROR(IF(config!E58="","",config!E58),"")</f>
        <v/>
      </c>
      <c r="B67" s="51">
        <f>IFERROR(IF(config!F58="","",config!F58),"")</f>
        <v/>
      </c>
      <c r="C67" s="97">
        <f>IFERROR(IF(config!G58="","",config!G58),"")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9" t="n"/>
      <c r="Q67" s="121" t="n"/>
      <c r="R67" s="8" t="n"/>
      <c r="S67" s="8" t="n"/>
      <c r="T67" s="8" t="n"/>
      <c r="U67" s="8" t="n"/>
      <c r="V67" s="8" t="n"/>
      <c r="W67" s="121" t="n"/>
      <c r="X67" s="121" t="n"/>
      <c r="Y67" s="8" t="n"/>
      <c r="Z67" s="8" t="n"/>
      <c r="AA67" s="8" t="n"/>
      <c r="AB67" s="8" t="n"/>
      <c r="AC67" s="8" t="n"/>
      <c r="AD67" s="121" t="n"/>
      <c r="AE67" s="121" t="n"/>
      <c r="AF67" s="8" t="n"/>
      <c r="AG67" s="8" t="n"/>
      <c r="AH67" s="8" t="n"/>
      <c r="AI67" s="8" t="n"/>
      <c r="AJ67" s="8" t="n"/>
      <c r="AK67" s="121" t="n"/>
      <c r="AL67" s="121" t="n"/>
      <c r="AM67" s="8" t="n"/>
      <c r="AN67" s="8" t="n"/>
      <c r="AO67" s="8" t="n"/>
      <c r="AP67" s="8" t="n"/>
      <c r="AQ67" s="8" t="n"/>
      <c r="AR67" s="121" t="n"/>
      <c r="AS67" s="121" t="n"/>
      <c r="AT67" s="43" t="n"/>
    </row>
    <row r="68" ht="20.1" customHeight="1" thickBot="1">
      <c r="A68" s="39">
        <f>IFERROR(IF(config!E59="","",config!E59),"")</f>
        <v/>
      </c>
      <c r="B68" s="51">
        <f>IFERROR(IF(config!F59="","",config!F59),"")</f>
        <v/>
      </c>
      <c r="C68" s="97">
        <f>IFERROR(IF(config!G59="","",config!G59),"")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49" t="n"/>
      <c r="Q68" s="121" t="n"/>
      <c r="R68" s="8" t="n"/>
      <c r="S68" s="8" t="n"/>
      <c r="T68" s="8" t="n"/>
      <c r="U68" s="8" t="n"/>
      <c r="V68" s="8" t="n"/>
      <c r="W68" s="121" t="n"/>
      <c r="X68" s="121" t="n"/>
      <c r="Y68" s="8" t="n"/>
      <c r="Z68" s="8" t="n"/>
      <c r="AA68" s="8" t="n"/>
      <c r="AB68" s="8" t="n"/>
      <c r="AC68" s="8" t="n"/>
      <c r="AD68" s="121" t="n"/>
      <c r="AE68" s="121" t="n"/>
      <c r="AF68" s="8" t="n"/>
      <c r="AG68" s="8" t="n"/>
      <c r="AH68" s="8" t="n"/>
      <c r="AI68" s="8" t="n"/>
      <c r="AJ68" s="8" t="n"/>
      <c r="AK68" s="121" t="n"/>
      <c r="AL68" s="121" t="n"/>
      <c r="AM68" s="8" t="n"/>
      <c r="AN68" s="8" t="n"/>
      <c r="AO68" s="8" t="n"/>
      <c r="AP68" s="8" t="n"/>
      <c r="AQ68" s="8" t="n"/>
      <c r="AR68" s="121" t="n"/>
      <c r="AS68" s="121" t="n"/>
      <c r="AT68" s="43" t="n"/>
    </row>
    <row r="69" ht="20.1" customHeight="1" thickBot="1">
      <c r="A69" s="39">
        <f>IFERROR(IF(config!E60="","",config!E60),"")</f>
        <v/>
      </c>
      <c r="B69" s="51">
        <f>IFERROR(IF(config!F60="","",config!F60),"")</f>
        <v/>
      </c>
      <c r="C69" s="97">
        <f>IFERROR(IF(config!G60="","",config!G60),"")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119">
        <f>COUNTIF(P69:AS69,"TP")</f>
        <v/>
      </c>
      <c r="P69" s="149" t="n"/>
      <c r="Q69" s="121" t="n"/>
      <c r="R69" s="8" t="n"/>
      <c r="S69" s="8" t="n"/>
      <c r="T69" s="8" t="n"/>
      <c r="U69" s="8" t="n"/>
      <c r="V69" s="8" t="n"/>
      <c r="W69" s="121" t="n"/>
      <c r="X69" s="121" t="n"/>
      <c r="Y69" s="8" t="n"/>
      <c r="Z69" s="8" t="n"/>
      <c r="AA69" s="8" t="n"/>
      <c r="AB69" s="8" t="n"/>
      <c r="AC69" s="8" t="n"/>
      <c r="AD69" s="121" t="n"/>
      <c r="AE69" s="121" t="n"/>
      <c r="AF69" s="8" t="n"/>
      <c r="AG69" s="8" t="n"/>
      <c r="AH69" s="8" t="n"/>
      <c r="AI69" s="8" t="n"/>
      <c r="AJ69" s="8" t="n"/>
      <c r="AK69" s="121" t="n"/>
      <c r="AL69" s="121" t="n"/>
      <c r="AM69" s="8" t="n"/>
      <c r="AN69" s="8" t="n"/>
      <c r="AO69" s="8" t="n"/>
      <c r="AP69" s="8" t="n"/>
      <c r="AQ69" s="8" t="n"/>
      <c r="AR69" s="121" t="n"/>
      <c r="AS69" s="121" t="n"/>
      <c r="AT69" s="43" t="n"/>
    </row>
    <row r="70" ht="20.1" customHeight="1" thickBot="1">
      <c r="A70" s="39">
        <f>IFERROR(IF(config!E69="","",config!E69),"")</f>
        <v/>
      </c>
      <c r="B70" s="51">
        <f>IFERROR(IF(config!F69="","",config!F69),"")</f>
        <v/>
      </c>
      <c r="C70" s="57">
        <f>IFERROR(IF(config!G69="","",config!G69),"")</f>
        <v/>
      </c>
      <c r="D70" s="115">
        <f>COUNTIF(P70:AS70,"p")</f>
        <v/>
      </c>
      <c r="E70" s="116">
        <f>COUNTIF(P70:AS70,"PC")</f>
        <v/>
      </c>
      <c r="F70" s="116">
        <f>COUNTIF(P70:AS70,"f")</f>
        <v/>
      </c>
      <c r="G70" s="116">
        <f>COUNTIF(P70:AS70,"ast")</f>
        <v/>
      </c>
      <c r="H70" s="116">
        <f>COUNTIF(P70:AS70,"cA")</f>
        <v/>
      </c>
      <c r="I70" s="116">
        <f>COUNTIF(P70:AS70,"rtt")</f>
        <v/>
      </c>
      <c r="J70" s="116">
        <f>COUNTIF(P70:AS70,"cex")</f>
        <v/>
      </c>
      <c r="K70" s="116">
        <f>COUNTIF(P70:AS70,"res")</f>
        <v/>
      </c>
      <c r="L70" s="116">
        <f>COUNTIF(P70:AS70,"mA")</f>
        <v/>
      </c>
      <c r="M70" s="116">
        <f>COUNTIF(P70:AS70,"at")</f>
        <v/>
      </c>
      <c r="N70" s="116">
        <f>COUNTIF(P70:AS70,"TAD")</f>
        <v/>
      </c>
      <c r="O70" s="120">
        <f>COUNTIF(P70:AS70,"TP")</f>
        <v/>
      </c>
      <c r="P70" s="192" t="n"/>
      <c r="Q70" s="122" t="n"/>
      <c r="R70" s="29" t="n"/>
      <c r="S70" s="29" t="n"/>
      <c r="T70" s="29" t="n"/>
      <c r="U70" s="29" t="n"/>
      <c r="V70" s="29" t="n"/>
      <c r="W70" s="122" t="n"/>
      <c r="X70" s="122" t="n"/>
      <c r="Y70" s="29" t="n"/>
      <c r="Z70" s="29" t="n"/>
      <c r="AA70" s="29" t="n"/>
      <c r="AB70" s="29" t="n"/>
      <c r="AC70" s="29" t="n"/>
      <c r="AD70" s="122" t="n"/>
      <c r="AE70" s="122" t="n"/>
      <c r="AF70" s="29" t="n"/>
      <c r="AG70" s="29" t="n"/>
      <c r="AH70" s="29" t="n"/>
      <c r="AI70" s="29" t="n"/>
      <c r="AJ70" s="29" t="n"/>
      <c r="AK70" s="122" t="n"/>
      <c r="AL70" s="122" t="n"/>
      <c r="AM70" s="29" t="n"/>
      <c r="AN70" s="29" t="n"/>
      <c r="AO70" s="29" t="n"/>
      <c r="AP70" s="29" t="n"/>
      <c r="AQ70" s="29" t="n"/>
      <c r="AR70" s="122" t="n"/>
      <c r="AS70" s="122" t="n"/>
      <c r="AT70" s="44" t="n"/>
    </row>
  </sheetData>
  <mergeCells count="8">
    <mergeCell ref="AV51:BF51"/>
    <mergeCell ref="AV64:BF64"/>
    <mergeCell ref="A5:AT7"/>
    <mergeCell ref="AV11:BF11"/>
    <mergeCell ref="A38:AS38"/>
    <mergeCell ref="A64:AS64"/>
    <mergeCell ref="D8:O8"/>
    <mergeCell ref="AV38:BF38"/>
  </mergeCells>
  <conditionalFormatting sqref="D10:O10">
    <cfRule type="cellIs" priority="429" operator="equal" dxfId="55">
      <formula>"repos"</formula>
    </cfRule>
    <cfRule type="cellIs" priority="430" operator="equal" dxfId="53">
      <formula>"permanence"</formula>
    </cfRule>
    <cfRule type="cellIs" priority="431" operator="equal" dxfId="53">
      <formula>"dimanche"</formula>
    </cfRule>
    <cfRule type="cellIs" priority="432" operator="equal" dxfId="52">
      <formula>"formation"</formula>
    </cfRule>
    <cfRule type="cellIs" priority="433" operator="equal" dxfId="6">
      <formula>"conges exc"</formula>
    </cfRule>
    <cfRule type="cellIs" priority="434" operator="equal" dxfId="4">
      <formula>"conges"</formula>
    </cfRule>
    <cfRule type="cellIs" priority="435" operator="equal" dxfId="5">
      <formula>"asa"</formula>
    </cfRule>
    <cfRule type="cellIs" priority="436" operator="equal" dxfId="8">
      <formula>"maladie / at"</formula>
    </cfRule>
    <cfRule type="cellIs" priority="437" operator="equal" dxfId="0">
      <formula>"presence"</formula>
    </cfRule>
  </conditionalFormatting>
  <conditionalFormatting sqref="D11:O20 D23:O24 D26:O29 D31:O36 D39:O50 D52:O63 D65:O70">
    <cfRule type="cellIs" priority="438" operator="equal" dxfId="46">
      <formula>0</formula>
    </cfRule>
  </conditionalFormatting>
  <conditionalFormatting sqref="P9:AT9">
    <cfRule type="expression" priority="440" dxfId="44">
      <formula>OR(P$9=1, P$9=7)</formula>
    </cfRule>
  </conditionalFormatting>
  <conditionalFormatting sqref="P9:AT10">
    <cfRule type="expression" priority="439" dxfId="44">
      <formula>OR(P$9=1,P$9=7)</formula>
    </cfRule>
  </conditionalFormatting>
  <conditionalFormatting sqref="P11:AT14 R15:R16 S12:S16 T15:T16">
    <cfRule type="containsText" priority="135" operator="containsText" dxfId="10" text="TP">
      <formula>NOT(ISERROR(SEARCH("TP",P11)))</formula>
    </cfRule>
    <cfRule type="containsText" priority="137" operator="containsText" dxfId="9" text="AT">
      <formula>NOT(ISERROR(SEARCH("AT",P11)))</formula>
    </cfRule>
    <cfRule type="containsText" priority="138" operator="containsText" dxfId="8" text="MA">
      <formula>NOT(ISERROR(SEARCH("MA",P11)))</formula>
    </cfRule>
    <cfRule type="containsText" priority="139" operator="containsText" dxfId="7" text="RES">
      <formula>NOT(ISERROR(SEARCH("RES",P11)))</formula>
    </cfRule>
    <cfRule type="containsText" priority="140" operator="containsText" dxfId="6" text="CEX">
      <formula>NOT(ISERROR(SEARCH("CEX",P11)))</formula>
    </cfRule>
    <cfRule type="containsText" priority="141" operator="containsText" dxfId="5" text="RTT">
      <formula>NOT(ISERROR(SEARCH("RTT",P11)))</formula>
    </cfRule>
    <cfRule type="beginsWith" priority="142" operator="beginsWith" dxfId="4" text="CA">
      <formula>LEFT(P11,LEN("CA"))="CA"</formula>
    </cfRule>
    <cfRule type="containsText" priority="143" operator="containsText" dxfId="3" text="AST">
      <formula>NOT(ISERROR(SEARCH("AST",P11)))</formula>
    </cfRule>
    <cfRule type="containsText" priority="144" operator="containsText" dxfId="2" text="F">
      <formula>NOT(ISERROR(SEARCH("F",P11)))</formula>
    </cfRule>
    <cfRule type="containsText" priority="145" operator="containsText" dxfId="1" text="PC">
      <formula>NOT(ISERROR(SEARCH("PC",P11)))</formula>
    </cfRule>
    <cfRule type="containsText" priority="146" operator="containsText" dxfId="0" text="P">
      <formula>NOT(ISERROR(SEARCH("P",P11)))</formula>
    </cfRule>
  </conditionalFormatting>
  <conditionalFormatting sqref="P11:AT20">
    <cfRule type="containsText" priority="136" operator="containsText" text="TAD">
      <formula>NOT(ISERROR(SEARCH("TAD",P11)))</formula>
    </cfRule>
  </conditionalFormatting>
  <conditionalFormatting sqref="P15:AT20">
    <cfRule type="containsText" priority="417" operator="containsText" dxfId="10" text="TP">
      <formula>NOT(ISERROR(SEARCH("TP",P15)))</formula>
    </cfRule>
    <cfRule type="containsText" priority="419" operator="containsText" dxfId="9" text="AT">
      <formula>NOT(ISERROR(SEARCH("AT",P15)))</formula>
    </cfRule>
    <cfRule type="containsText" priority="420" operator="containsText" dxfId="8" text="MA">
      <formula>NOT(ISERROR(SEARCH("MA",P15)))</formula>
    </cfRule>
    <cfRule type="containsText" priority="421" operator="containsText" dxfId="7" text="RES">
      <formula>NOT(ISERROR(SEARCH("RES",P15)))</formula>
    </cfRule>
    <cfRule type="containsText" priority="422" operator="containsText" dxfId="6" text="CEX">
      <formula>NOT(ISERROR(SEARCH("CEX",P15)))</formula>
    </cfRule>
    <cfRule type="containsText" priority="423" operator="containsText" dxfId="5" text="RTT">
      <formula>NOT(ISERROR(SEARCH("RTT",P15)))</formula>
    </cfRule>
    <cfRule type="beginsWith" priority="424" operator="beginsWith" dxfId="4" text="CA">
      <formula>LEFT(P15,LEN("CA"))="CA"</formula>
    </cfRule>
    <cfRule type="containsText" priority="425" operator="containsText" dxfId="3" text="AST">
      <formula>NOT(ISERROR(SEARCH("AST",P15)))</formula>
    </cfRule>
    <cfRule type="containsText" priority="426" operator="containsText" dxfId="2" text="F">
      <formula>NOT(ISERROR(SEARCH("F",P15)))</formula>
    </cfRule>
    <cfRule type="containsText" priority="427" operator="containsText" dxfId="1" text="PC">
      <formula>NOT(ISERROR(SEARCH("PC",P15)))</formula>
    </cfRule>
    <cfRule type="containsText" priority="428" operator="containsText" dxfId="0" text="P">
      <formula>NOT(ISERROR(SEARCH("P",P15)))</formula>
    </cfRule>
  </conditionalFormatting>
  <conditionalFormatting sqref="P23:AT24">
    <cfRule type="containsText" priority="123" operator="containsText" dxfId="10" text="TP">
      <formula>NOT(ISERROR(SEARCH("TP",P23)))</formula>
    </cfRule>
    <cfRule type="containsText" priority="124" operator="containsText" text="TAD">
      <formula>NOT(ISERROR(SEARCH("TAD",P23)))</formula>
    </cfRule>
    <cfRule type="containsText" priority="125" operator="containsText" dxfId="9" text="AT">
      <formula>NOT(ISERROR(SEARCH("AT",P23)))</formula>
    </cfRule>
    <cfRule type="containsText" priority="126" operator="containsText" dxfId="8" text="MA">
      <formula>NOT(ISERROR(SEARCH("MA",P23)))</formula>
    </cfRule>
    <cfRule type="containsText" priority="127" operator="containsText" dxfId="7" text="RES">
      <formula>NOT(ISERROR(SEARCH("RES",P23)))</formula>
    </cfRule>
    <cfRule type="containsText" priority="128" operator="containsText" dxfId="6" text="CEX">
      <formula>NOT(ISERROR(SEARCH("CEX",P23)))</formula>
    </cfRule>
    <cfRule type="containsText" priority="129" operator="containsText" dxfId="5" text="RTT">
      <formula>NOT(ISERROR(SEARCH("RTT",P23)))</formula>
    </cfRule>
    <cfRule type="beginsWith" priority="130" operator="beginsWith" dxfId="4" text="CA">
      <formula>LEFT(P23,LEN("CA"))="CA"</formula>
    </cfRule>
    <cfRule type="containsText" priority="131" operator="containsText" dxfId="3" text="AST">
      <formula>NOT(ISERROR(SEARCH("AST",P23)))</formula>
    </cfRule>
    <cfRule type="containsText" priority="132" operator="containsText" dxfId="2" text="F">
      <formula>NOT(ISERROR(SEARCH("F",P23)))</formula>
    </cfRule>
    <cfRule type="containsText" priority="133" operator="containsText" dxfId="1" text="PC">
      <formula>NOT(ISERROR(SEARCH("PC",P23)))</formula>
    </cfRule>
    <cfRule type="containsText" priority="134" operator="containsText" dxfId="0" text="P">
      <formula>NOT(ISERROR(SEARCH("P",P23)))</formula>
    </cfRule>
  </conditionalFormatting>
  <conditionalFormatting sqref="P26:AT29 P31:AT36">
    <cfRule type="containsText" priority="51" operator="containsText" dxfId="10" text="TP">
      <formula>NOT(ISERROR(SEARCH("TP",P26)))</formula>
    </cfRule>
    <cfRule type="containsText" priority="52" operator="containsText" text="TAD">
      <formula>NOT(ISERROR(SEARCH("TAD",P26)))</formula>
    </cfRule>
    <cfRule type="containsText" priority="53" operator="containsText" dxfId="9" text="AT">
      <formula>NOT(ISERROR(SEARCH("AT",P26)))</formula>
    </cfRule>
    <cfRule type="containsText" priority="54" operator="containsText" dxfId="8" text="MA">
      <formula>NOT(ISERROR(SEARCH("MA",P26)))</formula>
    </cfRule>
    <cfRule type="containsText" priority="55" operator="containsText" dxfId="7" text="RES">
      <formula>NOT(ISERROR(SEARCH("RES",P26)))</formula>
    </cfRule>
    <cfRule type="containsText" priority="56" operator="containsText" dxfId="6" text="CEX">
      <formula>NOT(ISERROR(SEARCH("CEX",P26)))</formula>
    </cfRule>
    <cfRule type="containsText" priority="57" operator="containsText" dxfId="5" text="RTT">
      <formula>NOT(ISERROR(SEARCH("RTT",P26)))</formula>
    </cfRule>
    <cfRule type="beginsWith" priority="58" operator="beginsWith" dxfId="4" text="CA">
      <formula>LEFT(P26,LEN("CA"))="CA"</formula>
    </cfRule>
    <cfRule type="containsText" priority="59" operator="containsText" dxfId="3" text="AST">
      <formula>NOT(ISERROR(SEARCH("AST",P26)))</formula>
    </cfRule>
    <cfRule type="containsText" priority="60" operator="containsText" dxfId="2" text="F">
      <formula>NOT(ISERROR(SEARCH("F",P26)))</formula>
    </cfRule>
    <cfRule type="containsText" priority="61" operator="containsText" dxfId="1" text="PC">
      <formula>NOT(ISERROR(SEARCH("PC",P26)))</formula>
    </cfRule>
    <cfRule type="containsText" priority="62" operator="containsText" dxfId="0" text="P">
      <formula>NOT(ISERROR(SEARCH("P",P26)))</formula>
    </cfRule>
  </conditionalFormatting>
  <conditionalFormatting sqref="P39:AT50">
    <cfRule type="containsText" priority="317" operator="containsText" dxfId="10" text="TP">
      <formula>NOT(ISERROR(SEARCH("TP",P39)))</formula>
    </cfRule>
    <cfRule type="containsText" priority="318" operator="containsText" text="TAD">
      <formula>NOT(ISERROR(SEARCH("TAD",P39)))</formula>
    </cfRule>
    <cfRule type="containsText" priority="319" operator="containsText" dxfId="9" text="AT">
      <formula>NOT(ISERROR(SEARCH("AT",P39)))</formula>
    </cfRule>
    <cfRule type="containsText" priority="320" operator="containsText" dxfId="8" text="MA">
      <formula>NOT(ISERROR(SEARCH("MA",P39)))</formula>
    </cfRule>
    <cfRule type="containsText" priority="321" operator="containsText" dxfId="7" text="RES">
      <formula>NOT(ISERROR(SEARCH("RES",P39)))</formula>
    </cfRule>
    <cfRule type="containsText" priority="322" operator="containsText" dxfId="6" text="CEX">
      <formula>NOT(ISERROR(SEARCH("CEX",P39)))</formula>
    </cfRule>
    <cfRule type="containsText" priority="323" operator="containsText" dxfId="5" text="RTT">
      <formula>NOT(ISERROR(SEARCH("RTT",P39)))</formula>
    </cfRule>
    <cfRule type="beginsWith" priority="324" operator="beginsWith" dxfId="4" text="CA">
      <formula>LEFT(P39,LEN("CA"))="CA"</formula>
    </cfRule>
    <cfRule type="containsText" priority="325" operator="containsText" dxfId="3" text="AST">
      <formula>NOT(ISERROR(SEARCH("AST",P39)))</formula>
    </cfRule>
    <cfRule type="containsText" priority="326" operator="containsText" dxfId="2" text="F">
      <formula>NOT(ISERROR(SEARCH("F",P39)))</formula>
    </cfRule>
    <cfRule type="containsText" priority="327" operator="containsText" dxfId="1" text="PC">
      <formula>NOT(ISERROR(SEARCH("PC",P39)))</formula>
    </cfRule>
    <cfRule type="containsText" priority="328" operator="containsText" dxfId="0" text="P">
      <formula>NOT(ISERROR(SEARCH("P",P39)))</formula>
    </cfRule>
  </conditionalFormatting>
  <conditionalFormatting sqref="P52:AT63">
    <cfRule type="containsText" priority="63" operator="containsText" dxfId="10" text="TP">
      <formula>NOT(ISERROR(SEARCH("TP",P52)))</formula>
    </cfRule>
    <cfRule type="containsText" priority="64" operator="containsText" text="TAD">
      <formula>NOT(ISERROR(SEARCH("TAD",P52)))</formula>
    </cfRule>
    <cfRule type="containsText" priority="65" operator="containsText" dxfId="9" text="AT">
      <formula>NOT(ISERROR(SEARCH("AT",P52)))</formula>
    </cfRule>
    <cfRule type="containsText" priority="66" operator="containsText" dxfId="8" text="MA">
      <formula>NOT(ISERROR(SEARCH("MA",P52)))</formula>
    </cfRule>
    <cfRule type="containsText" priority="67" operator="containsText" dxfId="7" text="RES">
      <formula>NOT(ISERROR(SEARCH("RES",P52)))</formula>
    </cfRule>
    <cfRule type="containsText" priority="68" operator="containsText" dxfId="6" text="CEX">
      <formula>NOT(ISERROR(SEARCH("CEX",P52)))</formula>
    </cfRule>
    <cfRule type="containsText" priority="69" operator="containsText" dxfId="5" text="RTT">
      <formula>NOT(ISERROR(SEARCH("RTT",P52)))</formula>
    </cfRule>
    <cfRule type="beginsWith" priority="70" operator="beginsWith" dxfId="4" text="CA">
      <formula>LEFT(P52,LEN("CA"))="CA"</formula>
    </cfRule>
    <cfRule type="containsText" priority="71" operator="containsText" dxfId="3" text="AST">
      <formula>NOT(ISERROR(SEARCH("AST",P52)))</formula>
    </cfRule>
    <cfRule type="containsText" priority="72" operator="containsText" dxfId="2" text="F">
      <formula>NOT(ISERROR(SEARCH("F",P52)))</formula>
    </cfRule>
    <cfRule type="containsText" priority="73" operator="containsText" dxfId="1" text="PC">
      <formula>NOT(ISERROR(SEARCH("PC",P52)))</formula>
    </cfRule>
    <cfRule type="containsText" priority="74" operator="containsText" dxfId="0" text="P">
      <formula>NOT(ISERROR(SEARCH("P",P52)))</formula>
    </cfRule>
  </conditionalFormatting>
  <conditionalFormatting sqref="P65:AT70">
    <cfRule type="containsText" priority="3" operator="containsText" dxfId="10" text="TP">
      <formula>NOT(ISERROR(SEARCH("TP",P65)))</formula>
    </cfRule>
    <cfRule type="containsText" priority="4" operator="containsText" text="TAD">
      <formula>NOT(ISERROR(SEARCH("TAD",P65)))</formula>
    </cfRule>
    <cfRule type="containsText" priority="5" operator="containsText" dxfId="9" text="AT">
      <formula>NOT(ISERROR(SEARCH("AT",P65)))</formula>
    </cfRule>
    <cfRule type="containsText" priority="6" operator="containsText" dxfId="8" text="MA">
      <formula>NOT(ISERROR(SEARCH("MA",P65)))</formula>
    </cfRule>
    <cfRule type="containsText" priority="7" operator="containsText" dxfId="7" text="RES">
      <formula>NOT(ISERROR(SEARCH("RES",P65)))</formula>
    </cfRule>
    <cfRule type="containsText" priority="8" operator="containsText" dxfId="6" text="CEX">
      <formula>NOT(ISERROR(SEARCH("CEX",P65)))</formula>
    </cfRule>
    <cfRule type="containsText" priority="9" operator="containsText" dxfId="5" text="RTT">
      <formula>NOT(ISERROR(SEARCH("RTT",P65)))</formula>
    </cfRule>
    <cfRule type="beginsWith" priority="10" operator="beginsWith" dxfId="4" text="CA">
      <formula>LEFT(P65,LEN("CA"))="CA"</formula>
    </cfRule>
    <cfRule type="containsText" priority="11" operator="containsText" dxfId="3" text="AST">
      <formula>NOT(ISERROR(SEARCH("AST",P65)))</formula>
    </cfRule>
    <cfRule type="containsText" priority="12" operator="containsText" dxfId="2" text="F">
      <formula>NOT(ISERROR(SEARCH("F",P65)))</formula>
    </cfRule>
    <cfRule type="containsText" priority="13" operator="containsText" dxfId="1" text="PC">
      <formula>NOT(ISERROR(SEARCH("PC",P65)))</formula>
    </cfRule>
    <cfRule type="containsText" priority="14" operator="containsText" dxfId="0" text="P">
      <formula>NOT(ISERROR(SEARCH("P",P65)))</formula>
    </cfRule>
  </conditionalFormatting>
  <conditionalFormatting sqref="S20">
    <cfRule type="colorScale" priority="413">
      <colorScale>
        <cfvo type="min"/>
        <cfvo type="max"/>
        <color rgb="FFFF7128"/>
        <color rgb="FFFFEF9C"/>
      </colorScale>
    </cfRule>
  </conditionalFormatting>
  <conditionalFormatting sqref="T24">
    <cfRule type="colorScale" priority="232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414">
      <colorScale>
        <cfvo type="min"/>
        <cfvo type="max"/>
        <color rgb="FFFF7128"/>
        <color rgb="FFFFEF9C"/>
      </colorScale>
    </cfRule>
  </conditionalFormatting>
  <conditionalFormatting sqref="V20:W20">
    <cfRule type="colorScale" priority="415">
      <colorScale>
        <cfvo type="min"/>
        <cfvo type="max"/>
        <color rgb="FFFF7128"/>
        <color rgb="FFFFEF9C"/>
      </colorScale>
    </cfRule>
  </conditionalFormatting>
  <conditionalFormatting sqref="X20:Y20">
    <cfRule type="colorScale" priority="416">
      <colorScale>
        <cfvo type="min"/>
        <cfvo type="max"/>
        <color rgb="FFFF7128"/>
        <color rgb="FFFFEF9C"/>
      </colorScale>
    </cfRule>
  </conditionalFormatting>
  <conditionalFormatting sqref="AH24">
    <cfRule type="colorScale" priority="219">
      <colorScale>
        <cfvo type="min"/>
        <cfvo type="max"/>
        <color rgb="FFFF7128"/>
        <color rgb="FFFFEF9C"/>
      </colorScale>
    </cfRule>
  </conditionalFormatting>
  <conditionalFormatting sqref="AH20:AT20">
    <cfRule type="colorScale" priority="441">
      <colorScale>
        <cfvo type="min"/>
        <cfvo type="max"/>
        <color rgb="FFFF7128"/>
        <color rgb="FFFFEF9C"/>
      </colorScale>
    </cfRule>
  </conditionalFormatting>
  <conditionalFormatting sqref="AO24">
    <cfRule type="colorScale" priority="2">
      <colorScale>
        <cfvo type="min"/>
        <cfvo type="max"/>
        <color rgb="FFFF7128"/>
        <color rgb="FFFFEF9C"/>
      </colorScale>
    </cfRule>
  </conditionalFormatting>
  <conditionalFormatting sqref="AT24">
    <cfRule type="colorScale" priority="1">
      <colorScale>
        <cfvo type="min"/>
        <cfvo type="max"/>
        <color rgb="FFFF7128"/>
        <color rgb="FFFFEF9C"/>
      </colorScale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9" showDropDown="0" showInputMessage="1" showErrorMessage="1" allowBlank="1" type="list">
      <formula1>$D$9:$O$9</formula1>
    </dataValidation>
    <dataValidation sqref="P11:AT20 P23:AT24 P26:AT29 P31:AT36 P39:AT50 P52:AT63 P65:AT70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4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E78"/>
  <sheetViews>
    <sheetView zoomScale="85" zoomScaleNormal="85" workbookViewId="0">
      <pane xSplit="2" ySplit="10" topLeftCell="C34" activePane="bottomRight" state="frozen"/>
      <selection pane="topRight" activeCell="AQ41" sqref="AQ41"/>
      <selection pane="bottomLeft" activeCell="AQ41" sqref="AQ41"/>
      <selection pane="bottomRight" activeCell="A1" sqref="A1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config!B13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config!C13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5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48" t="n"/>
      <c r="AS8" s="148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55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1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8" t="n"/>
      <c r="R11" s="28" t="n"/>
      <c r="S11" s="28" t="n"/>
      <c r="T11" s="113" t="n"/>
      <c r="U11" s="113" t="n"/>
      <c r="V11" s="28" t="n"/>
      <c r="W11" s="28" t="n"/>
      <c r="X11" s="28" t="n"/>
      <c r="Y11" s="28" t="n"/>
      <c r="Z11" s="28" t="n"/>
      <c r="AA11" s="113" t="n"/>
      <c r="AB11" s="113" t="n"/>
      <c r="AC11" s="28" t="n"/>
      <c r="AD11" s="28" t="n"/>
      <c r="AE11" s="28" t="n"/>
      <c r="AF11" s="28" t="n"/>
      <c r="AG11" s="28" t="n"/>
      <c r="AH11" s="113" t="n"/>
      <c r="AI11" s="113" t="n"/>
      <c r="AJ11" s="28" t="n"/>
      <c r="AK11" s="28" t="n"/>
      <c r="AL11" s="28" t="n"/>
      <c r="AM11" s="28" t="n"/>
      <c r="AN11" s="28" t="n"/>
      <c r="AO11" s="113" t="n"/>
      <c r="AP11" s="113" t="n"/>
      <c r="AQ11" s="28" t="n"/>
      <c r="AR11" s="28" t="n"/>
      <c r="AS11" s="42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8" t="n"/>
      <c r="S12" s="8" t="n"/>
      <c r="T12" s="121" t="n"/>
      <c r="U12" s="121" t="n"/>
      <c r="V12" s="8" t="n"/>
      <c r="W12" s="8" t="n"/>
      <c r="X12" s="8" t="n"/>
      <c r="Y12" s="8" t="n"/>
      <c r="Z12" s="8" t="n"/>
      <c r="AA12" s="121" t="n"/>
      <c r="AB12" s="121" t="n"/>
      <c r="AC12" s="8" t="n"/>
      <c r="AD12" s="8" t="n"/>
      <c r="AE12" s="8" t="n"/>
      <c r="AF12" s="8" t="n"/>
      <c r="AG12" s="8" t="n"/>
      <c r="AH12" s="121" t="n"/>
      <c r="AI12" s="121" t="n"/>
      <c r="AJ12" s="8" t="n"/>
      <c r="AK12" s="8" t="n"/>
      <c r="AL12" s="8" t="n"/>
      <c r="AM12" s="8" t="n"/>
      <c r="AN12" s="8" t="n"/>
      <c r="AO12" s="121" t="n"/>
      <c r="AP12" s="121" t="n"/>
      <c r="AQ12" s="8" t="n"/>
      <c r="AR12" s="8" t="n"/>
      <c r="AS12" s="43" t="n"/>
      <c r="AU12" s="15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8" t="n"/>
      <c r="S13" s="8" t="n"/>
      <c r="T13" s="121" t="n"/>
      <c r="U13" s="121" t="n"/>
      <c r="V13" s="8" t="n"/>
      <c r="W13" s="8" t="n"/>
      <c r="X13" s="8" t="n"/>
      <c r="Y13" s="8" t="n"/>
      <c r="Z13" s="8" t="n"/>
      <c r="AA13" s="121" t="n"/>
      <c r="AB13" s="121" t="n"/>
      <c r="AC13" s="8" t="n"/>
      <c r="AD13" s="8" t="n"/>
      <c r="AE13" s="8" t="n"/>
      <c r="AF13" s="8" t="n"/>
      <c r="AG13" s="8" t="n"/>
      <c r="AH13" s="121" t="n"/>
      <c r="AI13" s="121" t="n"/>
      <c r="AJ13" s="8" t="n"/>
      <c r="AK13" s="8" t="n"/>
      <c r="AL13" s="8" t="n"/>
      <c r="AM13" s="8" t="n"/>
      <c r="AN13" s="8" t="n"/>
      <c r="AO13" s="121" t="n"/>
      <c r="AP13" s="121" t="n"/>
      <c r="AQ13" s="8" t="n"/>
      <c r="AR13" s="8" t="n"/>
      <c r="AS13" s="43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8" t="n"/>
      <c r="S14" s="8" t="n"/>
      <c r="T14" s="121" t="n"/>
      <c r="U14" s="121" t="n"/>
      <c r="V14" s="8" t="n"/>
      <c r="W14" s="8" t="n"/>
      <c r="X14" s="8" t="n"/>
      <c r="Y14" s="8" t="n"/>
      <c r="Z14" s="8" t="n"/>
      <c r="AA14" s="121" t="n"/>
      <c r="AB14" s="121" t="n"/>
      <c r="AC14" s="8" t="n"/>
      <c r="AD14" s="8" t="n"/>
      <c r="AE14" s="8" t="n"/>
      <c r="AF14" s="8" t="n"/>
      <c r="AG14" s="8" t="n"/>
      <c r="AH14" s="121" t="n"/>
      <c r="AI14" s="121" t="n"/>
      <c r="AJ14" s="8" t="n"/>
      <c r="AK14" s="8" t="n"/>
      <c r="AL14" s="8" t="n"/>
      <c r="AM14" s="8" t="n"/>
      <c r="AN14" s="8" t="n"/>
      <c r="AO14" s="121" t="n"/>
      <c r="AP14" s="121" t="n"/>
      <c r="AQ14" s="8" t="n"/>
      <c r="AR14" s="8" t="n"/>
      <c r="AS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8" t="n"/>
      <c r="S15" s="8" t="n"/>
      <c r="T15" s="121" t="n"/>
      <c r="U15" s="121" t="n"/>
      <c r="V15" s="8" t="n"/>
      <c r="W15" s="8" t="n"/>
      <c r="X15" s="8" t="n"/>
      <c r="Y15" s="8" t="n"/>
      <c r="Z15" s="8" t="n"/>
      <c r="AA15" s="121" t="n"/>
      <c r="AB15" s="121" t="n"/>
      <c r="AC15" s="8" t="n"/>
      <c r="AD15" s="8" t="n"/>
      <c r="AE15" s="8" t="n"/>
      <c r="AF15" s="8" t="n"/>
      <c r="AG15" s="8" t="n"/>
      <c r="AH15" s="121" t="n"/>
      <c r="AI15" s="121" t="n"/>
      <c r="AJ15" s="8" t="n"/>
      <c r="AK15" s="8" t="n"/>
      <c r="AL15" s="8" t="n"/>
      <c r="AM15" s="8" t="n"/>
      <c r="AN15" s="8" t="n"/>
      <c r="AO15" s="121" t="n"/>
      <c r="AP15" s="121" t="n"/>
      <c r="AQ15" s="8" t="n"/>
      <c r="AR15" s="8" t="n"/>
      <c r="AS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8" t="n"/>
      <c r="S16" s="8" t="n"/>
      <c r="T16" s="121" t="n"/>
      <c r="U16" s="121" t="n"/>
      <c r="V16" s="8" t="n"/>
      <c r="W16" s="8" t="n"/>
      <c r="X16" s="8" t="n"/>
      <c r="Y16" s="8" t="n"/>
      <c r="Z16" s="8" t="n"/>
      <c r="AA16" s="121" t="n"/>
      <c r="AB16" s="121" t="n"/>
      <c r="AC16" s="8" t="n"/>
      <c r="AD16" s="8" t="n"/>
      <c r="AE16" s="8" t="n"/>
      <c r="AF16" s="8" t="n"/>
      <c r="AG16" s="8" t="n"/>
      <c r="AH16" s="121" t="n"/>
      <c r="AI16" s="121" t="n"/>
      <c r="AJ16" s="8" t="n"/>
      <c r="AK16" s="8" t="n"/>
      <c r="AL16" s="8" t="n"/>
      <c r="AM16" s="8" t="n"/>
      <c r="AN16" s="8" t="n"/>
      <c r="AO16" s="121" t="n"/>
      <c r="AP16" s="121" t="n"/>
      <c r="AQ16" s="8" t="n"/>
      <c r="AR16" s="8" t="n"/>
      <c r="AS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8" t="n"/>
      <c r="S17" s="8" t="n"/>
      <c r="T17" s="121" t="n"/>
      <c r="U17" s="121" t="n"/>
      <c r="V17" s="8" t="n"/>
      <c r="W17" s="8" t="n"/>
      <c r="X17" s="8" t="n"/>
      <c r="Y17" s="8" t="n"/>
      <c r="Z17" s="8" t="n"/>
      <c r="AA17" s="121" t="n"/>
      <c r="AB17" s="121" t="n"/>
      <c r="AC17" s="8" t="n"/>
      <c r="AD17" s="8" t="n"/>
      <c r="AE17" s="8" t="n"/>
      <c r="AF17" s="8" t="n"/>
      <c r="AG17" s="8" t="n"/>
      <c r="AH17" s="121" t="n"/>
      <c r="AI17" s="121" t="n"/>
      <c r="AJ17" s="8" t="n"/>
      <c r="AK17" s="8" t="n"/>
      <c r="AL17" s="8" t="n"/>
      <c r="AM17" s="8" t="n"/>
      <c r="AN17" s="8" t="n"/>
      <c r="AO17" s="121" t="n"/>
      <c r="AP17" s="121" t="n"/>
      <c r="AQ17" s="8" t="n"/>
      <c r="AR17" s="8" t="n"/>
      <c r="AS17" s="43" t="n"/>
    </row>
    <row r="18" ht="20.1" customHeight="1" thickBot="1">
      <c r="A18" s="294" t="n"/>
      <c r="B18" s="295" t="n"/>
      <c r="C18" s="296" t="n"/>
      <c r="D18" s="297">
        <f>COUNTIF(P18:AS18,"p")</f>
        <v/>
      </c>
      <c r="E18" s="298">
        <f>COUNTIF(P18:AS18,"PC")</f>
        <v/>
      </c>
      <c r="F18" s="298">
        <f>COUNTIF(P18:AS18,"f")</f>
        <v/>
      </c>
      <c r="G18" s="298">
        <f>COUNTIF(P18:AS18,"ast")</f>
        <v/>
      </c>
      <c r="H18" s="298">
        <f>COUNTIF(P18:AS18,"cA")</f>
        <v/>
      </c>
      <c r="I18" s="298">
        <f>COUNTIF(P18:AS18,"rtt")</f>
        <v/>
      </c>
      <c r="J18" s="298">
        <f>COUNTIF(P18:AS18,"cex")</f>
        <v/>
      </c>
      <c r="K18" s="298">
        <f>COUNTIF(P18:AS18,"res")</f>
        <v/>
      </c>
      <c r="L18" s="298">
        <f>COUNTIF(P18:AS18,"mA")</f>
        <v/>
      </c>
      <c r="M18" s="298">
        <f>COUNTIF(P18:AS18,"at")</f>
        <v/>
      </c>
      <c r="N18" s="298">
        <f>COUNTIF(P18:AS18,"TAD")</f>
        <v/>
      </c>
      <c r="O18" s="299">
        <f>COUNTIF(P18:AS18,"TP")</f>
        <v/>
      </c>
      <c r="P18" s="300" t="n"/>
      <c r="Q18" s="301" t="n"/>
      <c r="R18" s="301" t="n"/>
      <c r="S18" s="301" t="n"/>
      <c r="T18" s="301" t="n"/>
      <c r="U18" s="301" t="n"/>
      <c r="V18" s="301" t="n"/>
      <c r="W18" s="301" t="n"/>
      <c r="X18" s="301" t="n"/>
      <c r="Y18" s="301" t="n"/>
      <c r="Z18" s="301" t="n"/>
      <c r="AA18" s="301" t="n"/>
      <c r="AB18" s="301" t="n"/>
      <c r="AC18" s="301" t="n"/>
      <c r="AD18" s="301" t="n"/>
      <c r="AE18" s="301" t="n"/>
      <c r="AF18" s="301" t="n"/>
      <c r="AG18" s="301" t="n"/>
      <c r="AH18" s="301" t="n"/>
      <c r="AI18" s="301" t="n"/>
      <c r="AJ18" s="301" t="n"/>
      <c r="AK18" s="301" t="n"/>
      <c r="AL18" s="301" t="n"/>
      <c r="AM18" s="301" t="n"/>
      <c r="AN18" s="301" t="n"/>
      <c r="AO18" s="301" t="n"/>
      <c r="AP18" s="301" t="n"/>
      <c r="AQ18" s="301" t="n"/>
      <c r="AR18" s="301" t="n"/>
      <c r="AS18" s="30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8" t="n"/>
      <c r="S19" s="8" t="n"/>
      <c r="T19" s="121" t="n"/>
      <c r="U19" s="121" t="n"/>
      <c r="V19" s="8" t="n"/>
      <c r="W19" s="8" t="n"/>
      <c r="X19" s="8" t="n"/>
      <c r="Y19" s="8" t="n"/>
      <c r="Z19" s="8" t="n"/>
      <c r="AA19" s="121" t="n"/>
      <c r="AB19" s="121" t="n"/>
      <c r="AC19" s="8" t="n"/>
      <c r="AD19" s="8" t="n"/>
      <c r="AE19" s="8" t="n"/>
      <c r="AF19" s="8" t="n"/>
      <c r="AG19" s="8" t="n"/>
      <c r="AH19" s="121" t="n"/>
      <c r="AI19" s="121" t="n"/>
      <c r="AJ19" s="8" t="n"/>
      <c r="AK19" s="8" t="n"/>
      <c r="AL19" s="8" t="n"/>
      <c r="AM19" s="8" t="n"/>
      <c r="AN19" s="8" t="n"/>
      <c r="AO19" s="121" t="n"/>
      <c r="AP19" s="121" t="n"/>
      <c r="AQ19" s="8" t="n"/>
      <c r="AR19" s="8" t="n"/>
      <c r="AS19" s="43" t="n"/>
    </row>
    <row r="20" ht="20.1" customHeight="1" thickBot="1">
      <c r="A20" s="39">
        <f>IFERROR(IF(config!E12="","",config!E12),"")</f>
        <v/>
      </c>
      <c r="B20" s="51">
        <f>IFERROR(IF(config!F12="","",config!F12),"")</f>
        <v/>
      </c>
      <c r="C20" s="97">
        <f>IFERROR(IF(config!G12="","",config!G12),"")</f>
        <v/>
      </c>
      <c r="D20" s="115">
        <f>COUNTIF(P20:AS20,"p")</f>
        <v/>
      </c>
      <c r="E20" s="116">
        <f>COUNTIF(P20:AS20,"PC")</f>
        <v/>
      </c>
      <c r="F20" s="116">
        <f>COUNTIF(P20:AS20,"f")</f>
        <v/>
      </c>
      <c r="G20" s="116">
        <f>COUNTIF(P20:AS20,"ast")</f>
        <v/>
      </c>
      <c r="H20" s="116">
        <f>COUNTIF(P20:AS20,"cA")</f>
        <v/>
      </c>
      <c r="I20" s="116">
        <f>COUNTIF(P20:AS20,"rtt")</f>
        <v/>
      </c>
      <c r="J20" s="116">
        <f>COUNTIF(P20:AS20,"cex")</f>
        <v/>
      </c>
      <c r="K20" s="116">
        <f>COUNTIF(P20:AS20,"res")</f>
        <v/>
      </c>
      <c r="L20" s="116">
        <f>COUNTIF(P20:AS20,"mA")</f>
        <v/>
      </c>
      <c r="M20" s="116">
        <f>COUNTIF(P20:AS20,"at")</f>
        <v/>
      </c>
      <c r="N20" s="116">
        <f>COUNTIF(P20:AS20,"TAD")</f>
        <v/>
      </c>
      <c r="O20" s="120">
        <f>COUNTIF(P20:AS20,"TP")</f>
        <v/>
      </c>
      <c r="P20" s="118" t="n"/>
      <c r="Q20" s="29" t="n"/>
      <c r="R20" s="29" t="n"/>
      <c r="S20" s="29" t="n"/>
      <c r="T20" s="122" t="n"/>
      <c r="U20" s="122" t="n"/>
      <c r="V20" s="29" t="n"/>
      <c r="W20" s="29" t="n"/>
      <c r="X20" s="29" t="n"/>
      <c r="Y20" s="29" t="n"/>
      <c r="Z20" s="29" t="n"/>
      <c r="AA20" s="122" t="n"/>
      <c r="AB20" s="122" t="n"/>
      <c r="AC20" s="29" t="n"/>
      <c r="AD20" s="29" t="n"/>
      <c r="AE20" s="29" t="n"/>
      <c r="AF20" s="29" t="n"/>
      <c r="AG20" s="29" t="n"/>
      <c r="AH20" s="122" t="n"/>
      <c r="AI20" s="122" t="n"/>
      <c r="AJ20" s="29" t="n"/>
      <c r="AK20" s="29" t="n"/>
      <c r="AL20" s="29" t="n"/>
      <c r="AM20" s="29" t="n"/>
      <c r="AN20" s="29" t="n"/>
      <c r="AO20" s="122" t="n"/>
      <c r="AP20" s="122" t="n"/>
      <c r="AQ20" s="29" t="n"/>
      <c r="AR20" s="29" t="n"/>
      <c r="AS20" s="44" t="n"/>
    </row>
    <row r="21" ht="20.1" customHeight="1" thickBot="1">
      <c r="A21" s="220">
        <f>IFERROR(IF(config!E13="","",config!E13),"")</f>
        <v/>
      </c>
      <c r="B21" s="126" t="n"/>
      <c r="C21" s="126" t="n"/>
      <c r="D21" s="221" t="n"/>
      <c r="E21" s="222" t="n"/>
      <c r="F21" s="222" t="n"/>
      <c r="G21" s="222" t="n"/>
      <c r="H21" s="222" t="n"/>
      <c r="I21" s="222" t="n"/>
      <c r="J21" s="222" t="n"/>
      <c r="K21" s="223" t="n"/>
      <c r="L21" s="224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14" t="n"/>
      <c r="Q23" s="28" t="n"/>
      <c r="R23" s="28" t="n"/>
      <c r="S23" s="28" t="n"/>
      <c r="T23" s="113" t="n"/>
      <c r="U23" s="113" t="n"/>
      <c r="V23" s="28" t="n"/>
      <c r="W23" s="28" t="n"/>
      <c r="X23" s="28" t="n"/>
      <c r="Y23" s="28" t="n"/>
      <c r="Z23" s="28" t="n"/>
      <c r="AA23" s="113" t="n"/>
      <c r="AB23" s="113" t="n"/>
      <c r="AC23" s="28" t="n"/>
      <c r="AD23" s="28" t="n"/>
      <c r="AE23" s="28" t="n"/>
      <c r="AF23" s="28" t="n"/>
      <c r="AG23" s="28" t="n"/>
      <c r="AH23" s="113" t="n"/>
      <c r="AI23" s="113" t="n"/>
      <c r="AJ23" s="28" t="n"/>
      <c r="AK23" s="28" t="n"/>
      <c r="AL23" s="28" t="n"/>
      <c r="AM23" s="28" t="n"/>
      <c r="AN23" s="28" t="n"/>
      <c r="AO23" s="113" t="n"/>
      <c r="AP23" s="113" t="n"/>
      <c r="AQ23" s="28" t="n"/>
      <c r="AR23" s="28" t="n"/>
      <c r="AS23" s="4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118" t="n"/>
      <c r="Q24" s="29" t="n"/>
      <c r="R24" s="29" t="n"/>
      <c r="S24" s="29" t="n"/>
      <c r="T24" s="122" t="n"/>
      <c r="U24" s="122" t="n"/>
      <c r="V24" s="29" t="n"/>
      <c r="W24" s="29" t="n"/>
      <c r="X24" s="29" t="n"/>
      <c r="Y24" s="29" t="n"/>
      <c r="Z24" s="29" t="n"/>
      <c r="AA24" s="122" t="n"/>
      <c r="AB24" s="122" t="n"/>
      <c r="AC24" s="29" t="n"/>
      <c r="AD24" s="29" t="n"/>
      <c r="AE24" s="29" t="n"/>
      <c r="AF24" s="29" t="n"/>
      <c r="AG24" s="29" t="n"/>
      <c r="AH24" s="122" t="n"/>
      <c r="AI24" s="122" t="n"/>
      <c r="AJ24" s="29" t="n"/>
      <c r="AK24" s="29" t="n"/>
      <c r="AL24" s="29" t="n"/>
      <c r="AM24" s="29" t="n"/>
      <c r="AN24" s="29" t="n"/>
      <c r="AO24" s="122" t="n"/>
      <c r="AP24" s="122" t="n"/>
      <c r="AQ24" s="29" t="n"/>
      <c r="AR24" s="29" t="n"/>
      <c r="AS24" s="44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119">
        <f>COUNTIF(P26:AS26,"TP")</f>
        <v/>
      </c>
      <c r="P26" s="114" t="n"/>
      <c r="Q26" s="28" t="n"/>
      <c r="R26" s="28" t="n"/>
      <c r="S26" s="28" t="n"/>
      <c r="T26" s="113" t="n"/>
      <c r="U26" s="113" t="n"/>
      <c r="V26" s="28" t="n"/>
      <c r="W26" s="28" t="n"/>
      <c r="X26" s="28" t="n"/>
      <c r="Y26" s="28" t="n"/>
      <c r="Z26" s="28" t="n"/>
      <c r="AA26" s="113" t="n"/>
      <c r="AB26" s="113" t="n"/>
      <c r="AC26" s="28" t="n"/>
      <c r="AD26" s="28" t="n"/>
      <c r="AE26" s="28" t="n"/>
      <c r="AF26" s="28" t="n"/>
      <c r="AG26" s="28" t="n"/>
      <c r="AH26" s="113" t="n"/>
      <c r="AI26" s="113" t="n"/>
      <c r="AJ26" s="28" t="n"/>
      <c r="AK26" s="28" t="n"/>
      <c r="AL26" s="28" t="n"/>
      <c r="AM26" s="28" t="n"/>
      <c r="AN26" s="28" t="n"/>
      <c r="AO26" s="113" t="n"/>
      <c r="AP26" s="113" t="n"/>
      <c r="AQ26" s="28" t="n"/>
      <c r="AR26" s="28" t="n"/>
      <c r="AS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8" t="n"/>
      <c r="T27" s="121" t="n"/>
      <c r="U27" s="121" t="n"/>
      <c r="V27" s="8" t="n"/>
      <c r="W27" s="8" t="n"/>
      <c r="X27" s="8" t="n"/>
      <c r="Y27" s="8" t="n"/>
      <c r="Z27" s="8" t="n"/>
      <c r="AA27" s="121" t="n"/>
      <c r="AB27" s="121" t="n"/>
      <c r="AC27" s="8" t="n"/>
      <c r="AD27" s="8" t="n"/>
      <c r="AE27" s="8" t="n"/>
      <c r="AF27" s="8" t="n"/>
      <c r="AG27" s="8" t="n"/>
      <c r="AH27" s="121" t="n"/>
      <c r="AI27" s="121" t="n"/>
      <c r="AJ27" s="8" t="n"/>
      <c r="AK27" s="8" t="n"/>
      <c r="AL27" s="8" t="n"/>
      <c r="AM27" s="8" t="n"/>
      <c r="AN27" s="8" t="n"/>
      <c r="AO27" s="121" t="n"/>
      <c r="AP27" s="121" t="n"/>
      <c r="AQ27" s="8" t="n"/>
      <c r="AR27" s="8" t="n"/>
      <c r="AS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8" t="n"/>
      <c r="T28" s="121" t="n"/>
      <c r="U28" s="121" t="n"/>
      <c r="V28" s="8" t="n"/>
      <c r="W28" s="8" t="n"/>
      <c r="X28" s="8" t="n"/>
      <c r="Y28" s="8" t="n"/>
      <c r="Z28" s="8" t="n"/>
      <c r="AA28" s="121" t="n"/>
      <c r="AB28" s="121" t="n"/>
      <c r="AC28" s="8" t="n"/>
      <c r="AD28" s="8" t="n"/>
      <c r="AE28" s="8" t="n"/>
      <c r="AF28" s="8" t="n"/>
      <c r="AG28" s="8" t="n"/>
      <c r="AH28" s="121" t="n"/>
      <c r="AI28" s="121" t="n"/>
      <c r="AJ28" s="8" t="n"/>
      <c r="AK28" s="8" t="n"/>
      <c r="AL28" s="8" t="n"/>
      <c r="AM28" s="8" t="n"/>
      <c r="AN28" s="8" t="n"/>
      <c r="AO28" s="121" t="n"/>
      <c r="AP28" s="121" t="n"/>
      <c r="AQ28" s="8" t="n"/>
      <c r="AR28" s="8" t="n"/>
      <c r="AS28" s="43" t="n"/>
    </row>
    <row r="29" ht="20.1" customHeight="1" thickBot="1">
      <c r="A29" s="39">
        <f>IFERROR(IF(config!E21="","",config!E21),"")</f>
        <v/>
      </c>
      <c r="B29" s="51">
        <f>IFERROR(IF(config!F21="","",config!F21),"")</f>
        <v/>
      </c>
      <c r="C29" s="97">
        <f>IFERROR(IF(config!G21="","",config!G21),"")</f>
        <v/>
      </c>
      <c r="D29" s="114">
        <f>COUNTIF(P29:AS29,"p")</f>
        <v/>
      </c>
      <c r="E29" s="28">
        <f>COUNTIF(P29:AS29,"PC")</f>
        <v/>
      </c>
      <c r="F29" s="28">
        <f>COUNTIF(P29:AS29,"f")</f>
        <v/>
      </c>
      <c r="G29" s="28">
        <f>COUNTIF(P29:AS29,"ast")</f>
        <v/>
      </c>
      <c r="H29" s="28">
        <f>COUNTIF(P29:AS29,"cA")</f>
        <v/>
      </c>
      <c r="I29" s="28">
        <f>COUNTIF(P29:AS29,"rtt")</f>
        <v/>
      </c>
      <c r="J29" s="28">
        <f>COUNTIF(P29:AS29,"cex")</f>
        <v/>
      </c>
      <c r="K29" s="28">
        <f>COUNTIF(P29:AS29,"res")</f>
        <v/>
      </c>
      <c r="L29" s="28">
        <f>COUNTIF(P29:AS29,"mA")</f>
        <v/>
      </c>
      <c r="M29" s="28">
        <f>COUNTIF(P29:AS29,"at")</f>
        <v/>
      </c>
      <c r="N29" s="28">
        <f>COUNTIF(P29:AS29,"TAD")</f>
        <v/>
      </c>
      <c r="O29" s="119">
        <f>COUNTIF(P29:AS29,"TP")</f>
        <v/>
      </c>
      <c r="P29" s="19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  <c r="AE29" s="122" t="n"/>
      <c r="AF29" s="122" t="n"/>
      <c r="AG29" s="122" t="n"/>
      <c r="AH29" s="122" t="n"/>
      <c r="AI29" s="122" t="n"/>
      <c r="AJ29" s="122" t="n"/>
      <c r="AK29" s="122" t="n"/>
      <c r="AL29" s="122" t="n"/>
      <c r="AM29" s="122" t="n"/>
      <c r="AN29" s="122" t="n"/>
      <c r="AO29" s="122" t="n"/>
      <c r="AP29" s="122" t="n"/>
      <c r="AQ29" s="122" t="n"/>
      <c r="AR29" s="122" t="n"/>
      <c r="AS29" s="153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87" t="n"/>
      <c r="Q30" s="287" t="n"/>
      <c r="R30" s="287" t="n"/>
      <c r="S30" s="287" t="n"/>
      <c r="T30" s="287" t="n"/>
      <c r="U30" s="287" t="n"/>
      <c r="V30" s="287" t="n"/>
      <c r="W30" s="287" t="n"/>
      <c r="X30" s="287" t="n"/>
      <c r="Y30" s="287" t="n"/>
      <c r="Z30" s="287" t="n"/>
      <c r="AA30" s="287" t="n"/>
      <c r="AB30" s="287" t="n"/>
      <c r="AC30" s="287" t="n"/>
      <c r="AD30" s="287" t="n"/>
      <c r="AE30" s="287" t="n"/>
      <c r="AF30" s="287" t="n"/>
      <c r="AG30" s="287" t="n"/>
      <c r="AH30" s="287" t="n"/>
      <c r="AI30" s="287" t="n"/>
      <c r="AJ30" s="287" t="n"/>
      <c r="AK30" s="287" t="n"/>
      <c r="AL30" s="287" t="n"/>
      <c r="AM30" s="287" t="n"/>
      <c r="AN30" s="287" t="n"/>
      <c r="AO30" s="287" t="n"/>
      <c r="AP30" s="287" t="n"/>
      <c r="AQ30" s="303" t="n"/>
      <c r="AR30" s="303" t="n"/>
      <c r="AS30" s="303" t="n"/>
      <c r="AT30" s="293" t="n"/>
    </row>
    <row r="31" ht="20.1" customHeight="1" thickBot="1">
      <c r="A31" s="39">
        <f>IFERROR(IF(config!E23="","",config!E23),"")</f>
        <v/>
      </c>
      <c r="B31" s="51">
        <f>IFERROR(IF(config!F23="","",config!F23),"")</f>
        <v/>
      </c>
      <c r="C31" s="97">
        <f>IFERROR(IF(config!G23="","",config!G23),"")</f>
        <v/>
      </c>
      <c r="D31" s="114">
        <f>COUNTIF(P31:AS31,"p")</f>
        <v/>
      </c>
      <c r="E31" s="28">
        <f>COUNTIF(P31:AS31,"PC")</f>
        <v/>
      </c>
      <c r="F31" s="28">
        <f>COUNTIF(P31:AS31,"f")</f>
        <v/>
      </c>
      <c r="G31" s="28">
        <f>COUNTIF(P31:AS31,"ast")</f>
        <v/>
      </c>
      <c r="H31" s="28">
        <f>COUNTIF(P31:AS31,"cA")</f>
        <v/>
      </c>
      <c r="I31" s="28">
        <f>COUNTIF(P31:AS31,"rtt")</f>
        <v/>
      </c>
      <c r="J31" s="28">
        <f>COUNTIF(P31:AS31,"cex")</f>
        <v/>
      </c>
      <c r="K31" s="28">
        <f>COUNTIF(P31:AS31,"res")</f>
        <v/>
      </c>
      <c r="L31" s="28">
        <f>COUNTIF(P31:AS31,"mA")</f>
        <v/>
      </c>
      <c r="M31" s="28">
        <f>COUNTIF(P31:AS31,"at")</f>
        <v/>
      </c>
      <c r="N31" s="28">
        <f>COUNTIF(P31:AS31,"TAD")</f>
        <v/>
      </c>
      <c r="O31" s="119">
        <f>COUNTIF(P31:AS31,"TP")</f>
        <v/>
      </c>
      <c r="P31" s="114" t="n"/>
      <c r="Q31" s="28" t="n"/>
      <c r="R31" s="28" t="n"/>
      <c r="S31" s="28" t="n"/>
      <c r="T31" s="113" t="n"/>
      <c r="U31" s="113" t="n"/>
      <c r="V31" s="28" t="n"/>
      <c r="W31" s="28" t="n"/>
      <c r="X31" s="28" t="n"/>
      <c r="Y31" s="28" t="n"/>
      <c r="Z31" s="28" t="n"/>
      <c r="AA31" s="113" t="n"/>
      <c r="AB31" s="113" t="n"/>
      <c r="AC31" s="28" t="n"/>
      <c r="AD31" s="28" t="n"/>
      <c r="AE31" s="28" t="n"/>
      <c r="AF31" s="28" t="n"/>
      <c r="AG31" s="28" t="n"/>
      <c r="AH31" s="113" t="n"/>
      <c r="AI31" s="113" t="n"/>
      <c r="AJ31" s="28" t="n"/>
      <c r="AK31" s="28" t="n"/>
      <c r="AL31" s="28" t="n"/>
      <c r="AM31" s="28" t="n"/>
      <c r="AN31" s="28" t="n"/>
      <c r="AO31" s="113" t="n"/>
      <c r="AP31" s="113" t="n"/>
      <c r="AQ31" s="28" t="n"/>
      <c r="AR31" s="28" t="n"/>
      <c r="AS31" s="28" t="n"/>
    </row>
    <row r="32" ht="20.1" customHeight="1" thickBot="1">
      <c r="A32" s="39">
        <f>IFERROR(IF(config!E24="","",config!E24),"")</f>
        <v/>
      </c>
      <c r="B32" s="51">
        <f>IFERROR(IF(config!F24="","",config!F24),"")</f>
        <v/>
      </c>
      <c r="C32" s="97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119">
        <f>COUNTIF(P32:AS32,"TP")</f>
        <v/>
      </c>
      <c r="P32" s="117" t="n"/>
      <c r="Q32" s="8" t="n"/>
      <c r="R32" s="8" t="n"/>
      <c r="S32" s="8" t="n"/>
      <c r="T32" s="121" t="n"/>
      <c r="U32" s="121" t="n"/>
      <c r="V32" s="8" t="n"/>
      <c r="W32" s="8" t="n"/>
      <c r="X32" s="8" t="n"/>
      <c r="Y32" s="8" t="n"/>
      <c r="Z32" s="8" t="n"/>
      <c r="AA32" s="121" t="n"/>
      <c r="AB32" s="121" t="n"/>
      <c r="AC32" s="8" t="n"/>
      <c r="AD32" s="8" t="n"/>
      <c r="AE32" s="8" t="n"/>
      <c r="AF32" s="8" t="n"/>
      <c r="AG32" s="8" t="n"/>
      <c r="AH32" s="121" t="n"/>
      <c r="AI32" s="121" t="n"/>
      <c r="AJ32" s="8" t="n"/>
      <c r="AK32" s="8" t="n"/>
      <c r="AL32" s="8" t="n"/>
      <c r="AM32" s="8" t="n"/>
      <c r="AN32" s="8" t="n"/>
      <c r="AO32" s="121" t="n"/>
      <c r="AP32" s="121" t="n"/>
      <c r="AQ32" s="8" t="n"/>
      <c r="AR32" s="8" t="n"/>
      <c r="AS32" s="8" t="n"/>
    </row>
    <row r="33" ht="20.1" customHeight="1" thickBot="1">
      <c r="A33" s="39">
        <f>IFERROR(IF(config!E25="","",config!E25),"")</f>
        <v/>
      </c>
      <c r="B33" s="51">
        <f>IFERROR(IF(config!F25="","",config!F25),"")</f>
        <v/>
      </c>
      <c r="C33" s="97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119">
        <f>COUNTIF(P33:AS33,"TP")</f>
        <v/>
      </c>
      <c r="P33" s="117" t="n"/>
      <c r="Q33" s="8" t="n"/>
      <c r="R33" s="8" t="n"/>
      <c r="S33" s="8" t="n"/>
      <c r="T33" s="121" t="n"/>
      <c r="U33" s="121" t="n"/>
      <c r="V33" s="8" t="n"/>
      <c r="W33" s="8" t="n"/>
      <c r="X33" s="8" t="n"/>
      <c r="Y33" s="8" t="n"/>
      <c r="Z33" s="8" t="n"/>
      <c r="AA33" s="121" t="n"/>
      <c r="AB33" s="121" t="n"/>
      <c r="AC33" s="8" t="n"/>
      <c r="AD33" s="8" t="n"/>
      <c r="AE33" s="8" t="n"/>
      <c r="AF33" s="8" t="n"/>
      <c r="AG33" s="8" t="n"/>
      <c r="AH33" s="121" t="n"/>
      <c r="AI33" s="121" t="n"/>
      <c r="AJ33" s="8" t="n"/>
      <c r="AK33" s="8" t="n"/>
      <c r="AL33" s="8" t="n"/>
      <c r="AM33" s="8" t="n"/>
      <c r="AN33" s="8" t="n"/>
      <c r="AO33" s="121" t="n"/>
      <c r="AP33" s="121" t="n"/>
      <c r="AQ33" s="8" t="n"/>
      <c r="AR33" s="8" t="n"/>
      <c r="AS33" s="8" t="n"/>
    </row>
    <row r="34" ht="20.1" customHeight="1" thickBot="1">
      <c r="A34" s="39">
        <f>IFERROR(IF(config!E26="","",config!E26),"")</f>
        <v/>
      </c>
      <c r="B34" s="51">
        <f>IFERROR(IF(config!F26="","",config!F26),"")</f>
        <v/>
      </c>
      <c r="C34" s="97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119">
        <f>COUNTIF(P34:AS34,"TP")</f>
        <v/>
      </c>
      <c r="P34" s="117" t="n"/>
      <c r="Q34" s="8" t="n"/>
      <c r="R34" s="8" t="n"/>
      <c r="S34" s="8" t="n"/>
      <c r="T34" s="121" t="n"/>
      <c r="U34" s="121" t="n"/>
      <c r="V34" s="8" t="n"/>
      <c r="W34" s="8" t="n"/>
      <c r="X34" s="8" t="n"/>
      <c r="Y34" s="8" t="n"/>
      <c r="Z34" s="8" t="n"/>
      <c r="AA34" s="121" t="n"/>
      <c r="AB34" s="121" t="n"/>
      <c r="AC34" s="8" t="n"/>
      <c r="AD34" s="8" t="n"/>
      <c r="AE34" s="8" t="n"/>
      <c r="AF34" s="8" t="n"/>
      <c r="AG34" s="8" t="n"/>
      <c r="AH34" s="121" t="n"/>
      <c r="AI34" s="121" t="n"/>
      <c r="AJ34" s="8" t="n"/>
      <c r="AK34" s="8" t="n"/>
      <c r="AL34" s="8" t="n"/>
      <c r="AM34" s="8" t="n"/>
      <c r="AN34" s="8" t="n"/>
      <c r="AO34" s="121" t="n"/>
      <c r="AP34" s="121" t="n"/>
      <c r="AQ34" s="8" t="n"/>
      <c r="AR34" s="8" t="n"/>
      <c r="AS34" s="8" t="n"/>
    </row>
    <row r="35" ht="20.1" customHeight="1" thickBot="1">
      <c r="A35" s="39">
        <f>IFERROR(IF(config!E27="","",config!E27),"")</f>
        <v/>
      </c>
      <c r="B35" s="51">
        <f>IFERROR(IF(config!F27="","",config!F27),"")</f>
        <v/>
      </c>
      <c r="C35" s="97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119">
        <f>COUNTIF(P35:AS35,"TP")</f>
        <v/>
      </c>
      <c r="P35" s="117" t="n"/>
      <c r="Q35" s="8" t="n"/>
      <c r="R35" s="8" t="n"/>
      <c r="S35" s="8" t="n"/>
      <c r="T35" s="121" t="n"/>
      <c r="U35" s="121" t="n"/>
      <c r="V35" s="8" t="n"/>
      <c r="W35" s="8" t="n"/>
      <c r="X35" s="8" t="n"/>
      <c r="Y35" s="8" t="n"/>
      <c r="Z35" s="8" t="n"/>
      <c r="AA35" s="121" t="n"/>
      <c r="AB35" s="121" t="n"/>
      <c r="AC35" s="8" t="n"/>
      <c r="AD35" s="8" t="n"/>
      <c r="AE35" s="8" t="n"/>
      <c r="AF35" s="8" t="n"/>
      <c r="AG35" s="8" t="n"/>
      <c r="AH35" s="121" t="n"/>
      <c r="AI35" s="121" t="n"/>
      <c r="AJ35" s="8" t="n"/>
      <c r="AK35" s="8" t="n"/>
      <c r="AL35" s="8" t="n"/>
      <c r="AM35" s="8" t="n"/>
      <c r="AN35" s="8" t="n"/>
      <c r="AO35" s="121" t="n"/>
      <c r="AP35" s="121" t="n"/>
      <c r="AQ35" s="8" t="n"/>
      <c r="AR35" s="8" t="n"/>
      <c r="AS35" s="8" t="n"/>
    </row>
    <row r="36" ht="20.1" customHeight="1" thickBot="1">
      <c r="A36" s="39">
        <f>IFERROR(IF(config!E28="","",config!E28),"")</f>
        <v/>
      </c>
      <c r="B36" s="51">
        <f>IFERROR(IF(config!F28="","",config!F28),"")</f>
        <v/>
      </c>
      <c r="C36" s="97">
        <f>IFERROR(IF(config!G28="","",config!G28),"")</f>
        <v/>
      </c>
      <c r="D36" s="114">
        <f>COUNTIF(P36:AS36,"p")</f>
        <v/>
      </c>
      <c r="E36" s="28">
        <f>COUNTIF(P36:AS36,"PC")</f>
        <v/>
      </c>
      <c r="F36" s="28">
        <f>COUNTIF(P36:AS36,"f")</f>
        <v/>
      </c>
      <c r="G36" s="28">
        <f>COUNTIF(P36:AS36,"ast")</f>
        <v/>
      </c>
      <c r="H36" s="28">
        <f>COUNTIF(P36:AS36,"cA")</f>
        <v/>
      </c>
      <c r="I36" s="28">
        <f>COUNTIF(P36:AS36,"rtt")</f>
        <v/>
      </c>
      <c r="J36" s="28">
        <f>COUNTIF(P36:AS36,"cex")</f>
        <v/>
      </c>
      <c r="K36" s="28">
        <f>COUNTIF(P36:AS36,"res")</f>
        <v/>
      </c>
      <c r="L36" s="28">
        <f>COUNTIF(P36:AS36,"mA")</f>
        <v/>
      </c>
      <c r="M36" s="28">
        <f>COUNTIF(P36:AS36,"at")</f>
        <v/>
      </c>
      <c r="N36" s="28">
        <f>COUNTIF(P36:AS36,"TAD")</f>
        <v/>
      </c>
      <c r="O36" s="119">
        <f>COUNTIF(P36:AS36,"TP")</f>
        <v/>
      </c>
      <c r="P36" s="118" t="n"/>
      <c r="Q36" s="29" t="n"/>
      <c r="R36" s="29" t="n"/>
      <c r="S36" s="29" t="n"/>
      <c r="T36" s="122" t="n"/>
      <c r="U36" s="122" t="n"/>
      <c r="V36" s="29" t="n"/>
      <c r="W36" s="29" t="n"/>
      <c r="X36" s="29" t="n"/>
      <c r="Y36" s="29" t="n"/>
      <c r="Z36" s="29" t="n"/>
      <c r="AA36" s="122" t="n"/>
      <c r="AB36" s="122" t="n"/>
      <c r="AC36" s="29" t="n"/>
      <c r="AD36" s="29" t="n"/>
      <c r="AE36" s="29" t="n"/>
      <c r="AF36" s="29" t="n"/>
      <c r="AG36" s="29" t="n"/>
      <c r="AH36" s="122" t="n"/>
      <c r="AI36" s="122" t="n"/>
      <c r="AJ36" s="29" t="n"/>
      <c r="AK36" s="29" t="n"/>
      <c r="AL36" s="29" t="n"/>
      <c r="AM36" s="29" t="n"/>
      <c r="AN36" s="29" t="n"/>
      <c r="AO36" s="122" t="n"/>
      <c r="AP36" s="122" t="n"/>
      <c r="AQ36" s="29" t="n"/>
      <c r="AR36" s="29" t="n"/>
      <c r="AS36" s="29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</row>
    <row r="38" ht="20.1" customHeight="1" thickBot="1">
      <c r="A38" s="338">
        <f>IFERROR(IF(config!E30="","",config!E30),"")</f>
        <v/>
      </c>
      <c r="B38" s="348" t="n"/>
      <c r="C38" s="348" t="n"/>
      <c r="D38" s="348" t="n"/>
      <c r="E38" s="348" t="n"/>
      <c r="F38" s="348" t="n"/>
      <c r="G38" s="348" t="n"/>
      <c r="H38" s="348" t="n"/>
      <c r="I38" s="348" t="n"/>
      <c r="J38" s="348" t="n"/>
      <c r="K38" s="348" t="n"/>
      <c r="L38" s="348" t="n"/>
      <c r="M38" s="348" t="n"/>
      <c r="N38" s="348" t="n"/>
      <c r="O38" s="348" t="n"/>
      <c r="P38" s="348" t="n"/>
      <c r="Q38" s="348" t="n"/>
      <c r="R38" s="348" t="n"/>
      <c r="S38" s="348" t="n"/>
      <c r="T38" s="348" t="n"/>
      <c r="U38" s="348" t="n"/>
      <c r="V38" s="348" t="n"/>
      <c r="W38" s="348" t="n"/>
      <c r="X38" s="348" t="n"/>
      <c r="Y38" s="348" t="n"/>
      <c r="Z38" s="348" t="n"/>
      <c r="AA38" s="348" t="n"/>
      <c r="AB38" s="348" t="n"/>
      <c r="AC38" s="348" t="n"/>
      <c r="AD38" s="348" t="n"/>
      <c r="AE38" s="348" t="n"/>
      <c r="AF38" s="348" t="n"/>
      <c r="AG38" s="348" t="n"/>
      <c r="AH38" s="348" t="n"/>
      <c r="AI38" s="348" t="n"/>
      <c r="AJ38" s="348" t="n"/>
      <c r="AK38" s="348" t="n"/>
      <c r="AL38" s="348" t="n"/>
      <c r="AM38" s="348" t="n"/>
      <c r="AN38" s="348" t="n"/>
      <c r="AO38" s="348" t="n"/>
      <c r="AP38" s="348" t="n"/>
      <c r="AQ38" s="348" t="n"/>
      <c r="AR38" s="348" t="n"/>
      <c r="AS38" s="348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14" t="n"/>
      <c r="Q39" s="28" t="n"/>
      <c r="R39" s="28" t="n"/>
      <c r="S39" s="28" t="n"/>
      <c r="T39" s="113" t="n"/>
      <c r="U39" s="113" t="n"/>
      <c r="V39" s="28" t="n"/>
      <c r="W39" s="28" t="n"/>
      <c r="X39" s="28" t="n"/>
      <c r="Y39" s="28" t="n"/>
      <c r="Z39" s="28" t="n"/>
      <c r="AA39" s="113" t="n"/>
      <c r="AB39" s="113" t="n"/>
      <c r="AC39" s="28" t="n"/>
      <c r="AD39" s="28" t="n"/>
      <c r="AE39" s="28" t="n"/>
      <c r="AF39" s="28" t="n"/>
      <c r="AG39" s="28" t="n"/>
      <c r="AH39" s="113" t="n"/>
      <c r="AI39" s="113" t="n"/>
      <c r="AJ39" s="28" t="n"/>
      <c r="AK39" s="28" t="n"/>
      <c r="AL39" s="28" t="n"/>
      <c r="AM39" s="28" t="n"/>
      <c r="AN39" s="28" t="n"/>
      <c r="AO39" s="113" t="n"/>
      <c r="AP39" s="113" t="n"/>
      <c r="AQ39" s="28" t="n"/>
      <c r="AR39" s="28" t="n"/>
      <c r="AS39" s="42" t="n"/>
      <c r="AU39" s="15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8" t="n"/>
      <c r="T40" s="121" t="n"/>
      <c r="U40" s="121" t="n"/>
      <c r="V40" s="8" t="n"/>
      <c r="W40" s="8" t="n"/>
      <c r="X40" s="8" t="n"/>
      <c r="Y40" s="8" t="n"/>
      <c r="Z40" s="8" t="n"/>
      <c r="AA40" s="121" t="n"/>
      <c r="AB40" s="121" t="n"/>
      <c r="AC40" s="8" t="n"/>
      <c r="AD40" s="8" t="n"/>
      <c r="AE40" s="8" t="n"/>
      <c r="AF40" s="8" t="n"/>
      <c r="AG40" s="8" t="n"/>
      <c r="AH40" s="121" t="n"/>
      <c r="AI40" s="121" t="n"/>
      <c r="AJ40" s="8" t="n"/>
      <c r="AK40" s="8" t="n"/>
      <c r="AL40" s="8" t="n"/>
      <c r="AM40" s="8" t="n"/>
      <c r="AN40" s="8" t="n"/>
      <c r="AO40" s="121" t="n"/>
      <c r="AP40" s="121" t="n"/>
      <c r="AQ40" s="8" t="n"/>
      <c r="AR40" s="8" t="n"/>
      <c r="AS40" s="43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8" t="n"/>
      <c r="T41" s="121" t="n"/>
      <c r="U41" s="121" t="n"/>
      <c r="V41" s="8" t="n"/>
      <c r="W41" s="8" t="n"/>
      <c r="X41" s="8" t="n"/>
      <c r="Y41" s="8" t="n"/>
      <c r="Z41" s="8" t="n"/>
      <c r="AA41" s="121" t="n"/>
      <c r="AB41" s="121" t="n"/>
      <c r="AC41" s="8" t="n"/>
      <c r="AD41" s="8" t="n"/>
      <c r="AE41" s="8" t="n"/>
      <c r="AF41" s="8" t="n"/>
      <c r="AG41" s="8" t="n"/>
      <c r="AH41" s="121" t="n"/>
      <c r="AI41" s="121" t="n"/>
      <c r="AJ41" s="8" t="n"/>
      <c r="AK41" s="8" t="n"/>
      <c r="AL41" s="8" t="n"/>
      <c r="AM41" s="8" t="n"/>
      <c r="AN41" s="8" t="n"/>
      <c r="AO41" s="121" t="n"/>
      <c r="AP41" s="121" t="n"/>
      <c r="AQ41" s="8" t="n"/>
      <c r="AR41" s="8" t="n"/>
      <c r="AS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8" t="n"/>
      <c r="T42" s="121" t="n"/>
      <c r="U42" s="121" t="n"/>
      <c r="V42" s="8" t="n"/>
      <c r="W42" s="8" t="n"/>
      <c r="X42" s="8" t="n"/>
      <c r="Y42" s="8" t="n"/>
      <c r="Z42" s="8" t="n"/>
      <c r="AA42" s="121" t="n"/>
      <c r="AB42" s="121" t="n"/>
      <c r="AC42" s="8" t="n"/>
      <c r="AD42" s="8" t="n"/>
      <c r="AE42" s="8" t="n"/>
      <c r="AF42" s="8" t="n"/>
      <c r="AG42" s="8" t="n"/>
      <c r="AH42" s="121" t="n"/>
      <c r="AI42" s="121" t="n"/>
      <c r="AJ42" s="8" t="n"/>
      <c r="AK42" s="8" t="n"/>
      <c r="AL42" s="8" t="n"/>
      <c r="AM42" s="8" t="n"/>
      <c r="AN42" s="8" t="n"/>
      <c r="AO42" s="121" t="n"/>
      <c r="AP42" s="121" t="n"/>
      <c r="AQ42" s="8" t="n"/>
      <c r="AR42" s="8" t="n"/>
      <c r="AS42" s="43" t="n"/>
    </row>
    <row r="43" ht="20.1" customHeight="1" thickBot="1">
      <c r="A43" s="40">
        <f>IFERROR(IF(config!#REF!="","",config!#REF!),"")</f>
        <v/>
      </c>
      <c r="B43" s="48">
        <f>IFERROR(IF(config!#REF!="","",config!#REF!),"")</f>
        <v/>
      </c>
      <c r="C43" s="96">
        <f>IFERROR(IF(config!#REF!="","",config!#REF!),"")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8" t="n"/>
      <c r="T43" s="121" t="n"/>
      <c r="U43" s="121" t="n"/>
      <c r="V43" s="8" t="n"/>
      <c r="W43" s="8" t="n"/>
      <c r="X43" s="8" t="n"/>
      <c r="Y43" s="8" t="n"/>
      <c r="Z43" s="8" t="n"/>
      <c r="AA43" s="121" t="n"/>
      <c r="AB43" s="121" t="n"/>
      <c r="AC43" s="8" t="n"/>
      <c r="AD43" s="8" t="n"/>
      <c r="AE43" s="8" t="n"/>
      <c r="AF43" s="8" t="n"/>
      <c r="AG43" s="8" t="n"/>
      <c r="AH43" s="121" t="n"/>
      <c r="AI43" s="121" t="n"/>
      <c r="AJ43" s="8" t="n"/>
      <c r="AK43" s="8" t="n"/>
      <c r="AL43" s="8" t="n"/>
      <c r="AM43" s="8" t="n"/>
      <c r="AN43" s="8" t="n"/>
      <c r="AO43" s="121" t="n"/>
      <c r="AP43" s="121" t="n"/>
      <c r="AQ43" s="8" t="n"/>
      <c r="AR43" s="8" t="n"/>
      <c r="AS43" s="43" t="n"/>
    </row>
    <row r="44" ht="20.1" customHeight="1" thickBot="1">
      <c r="A44" s="40">
        <f>IFERROR(IF(config!E35="","",config!E35),"")</f>
        <v/>
      </c>
      <c r="B44" s="48">
        <f>IFERROR(IF(config!F35="","",config!F35),"")</f>
        <v/>
      </c>
      <c r="C44" s="96">
        <f>IFERROR(IF(config!G35="","",config!G35),"")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8" t="n"/>
      <c r="T44" s="121" t="n"/>
      <c r="U44" s="121" t="n"/>
      <c r="V44" s="8" t="n"/>
      <c r="W44" s="8" t="n"/>
      <c r="X44" s="8" t="n"/>
      <c r="Y44" s="8" t="n"/>
      <c r="Z44" s="8" t="n"/>
      <c r="AA44" s="121" t="n"/>
      <c r="AB44" s="121" t="n"/>
      <c r="AC44" s="8" t="n"/>
      <c r="AD44" s="8" t="n"/>
      <c r="AE44" s="8" t="n"/>
      <c r="AF44" s="8" t="n"/>
      <c r="AG44" s="8" t="n"/>
      <c r="AH44" s="121" t="n"/>
      <c r="AI44" s="121" t="n"/>
      <c r="AJ44" s="8" t="n"/>
      <c r="AK44" s="8" t="n"/>
      <c r="AL44" s="8" t="n"/>
      <c r="AM44" s="8" t="n"/>
      <c r="AN44" s="8" t="n"/>
      <c r="AO44" s="121" t="n"/>
      <c r="AP44" s="121" t="n"/>
      <c r="AQ44" s="8" t="n"/>
      <c r="AR44" s="8" t="n"/>
      <c r="AS44" s="43" t="n"/>
    </row>
    <row r="45" ht="20.1" customHeight="1" thickBot="1">
      <c r="A45" s="40">
        <f>IFERROR(IF(config!E36="","",config!E36),"")</f>
        <v/>
      </c>
      <c r="B45" s="48">
        <f>IFERROR(IF(config!F36="","",config!F36),"")</f>
        <v/>
      </c>
      <c r="C45" s="96">
        <f>IFERROR(IF(config!G36="","",config!G36),"")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n"/>
      <c r="Q45" s="8" t="n"/>
      <c r="R45" s="8" t="n"/>
      <c r="S45" s="8" t="n"/>
      <c r="T45" s="121" t="n"/>
      <c r="U45" s="121" t="n"/>
      <c r="V45" s="8" t="n"/>
      <c r="W45" s="8" t="n"/>
      <c r="X45" s="8" t="n"/>
      <c r="Y45" s="8" t="n"/>
      <c r="Z45" s="8" t="n"/>
      <c r="AA45" s="121" t="n"/>
      <c r="AB45" s="121" t="n"/>
      <c r="AC45" s="8" t="n"/>
      <c r="AD45" s="8" t="n"/>
      <c r="AE45" s="8" t="n"/>
      <c r="AF45" s="8" t="n"/>
      <c r="AG45" s="8" t="n"/>
      <c r="AH45" s="121" t="n"/>
      <c r="AI45" s="121" t="n"/>
      <c r="AJ45" s="8" t="n"/>
      <c r="AK45" s="8" t="n"/>
      <c r="AL45" s="8" t="n"/>
      <c r="AM45" s="8" t="n"/>
      <c r="AN45" s="8" t="n"/>
      <c r="AO45" s="121" t="n"/>
      <c r="AP45" s="121" t="n"/>
      <c r="AQ45" s="8" t="n"/>
      <c r="AR45" s="8" t="n"/>
      <c r="AS45" s="43" t="n"/>
    </row>
    <row r="46" ht="20.1" customHeight="1" thickBot="1">
      <c r="A46" s="40">
        <f>IFERROR(IF(config!E37="","",config!E37),"")</f>
        <v/>
      </c>
      <c r="B46" s="48">
        <f>IFERROR(IF(config!F37="","",config!F37),"")</f>
        <v/>
      </c>
      <c r="C46" s="96">
        <f>IFERROR(IF(config!G37="","",config!G37),"")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8" t="n"/>
      <c r="T46" s="121" t="n"/>
      <c r="U46" s="121" t="n"/>
      <c r="V46" s="8" t="n"/>
      <c r="W46" s="8" t="n"/>
      <c r="X46" s="8" t="n"/>
      <c r="Y46" s="8" t="n"/>
      <c r="Z46" s="8" t="n"/>
      <c r="AA46" s="121" t="n"/>
      <c r="AB46" s="121" t="n"/>
      <c r="AC46" s="8" t="n"/>
      <c r="AD46" s="8" t="n"/>
      <c r="AE46" s="8" t="n"/>
      <c r="AF46" s="8" t="n"/>
      <c r="AG46" s="8" t="n"/>
      <c r="AH46" s="121" t="n"/>
      <c r="AI46" s="121" t="n"/>
      <c r="AJ46" s="8" t="n"/>
      <c r="AK46" s="8" t="n"/>
      <c r="AL46" s="8" t="n"/>
      <c r="AM46" s="8" t="n"/>
      <c r="AN46" s="8" t="n"/>
      <c r="AO46" s="121" t="n"/>
      <c r="AP46" s="121" t="n"/>
      <c r="AQ46" s="8" t="n"/>
      <c r="AR46" s="8" t="n"/>
      <c r="AS46" s="43" t="n"/>
    </row>
    <row r="47" ht="20.1" customHeight="1" thickBot="1">
      <c r="A47" s="40">
        <f>IFERROR(IF(config!E38="","",config!E38),"")</f>
        <v/>
      </c>
      <c r="B47" s="48">
        <f>IFERROR(IF(config!F38="","",config!F38),"")</f>
        <v/>
      </c>
      <c r="C47" s="96">
        <f>IFERROR(IF(config!G38="","",config!G38),"")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8" t="n"/>
      <c r="T47" s="121" t="n"/>
      <c r="U47" s="121" t="n"/>
      <c r="V47" s="8" t="n"/>
      <c r="W47" s="8" t="n"/>
      <c r="X47" s="8" t="n"/>
      <c r="Y47" s="8" t="n"/>
      <c r="Z47" s="8" t="n"/>
      <c r="AA47" s="121" t="n"/>
      <c r="AB47" s="121" t="n"/>
      <c r="AC47" s="8" t="n"/>
      <c r="AD47" s="8" t="n"/>
      <c r="AE47" s="8" t="n"/>
      <c r="AF47" s="8" t="n"/>
      <c r="AG47" s="8" t="n"/>
      <c r="AH47" s="121" t="n"/>
      <c r="AI47" s="121" t="n"/>
      <c r="AJ47" s="8" t="n"/>
      <c r="AK47" s="8" t="n"/>
      <c r="AL47" s="8" t="n"/>
      <c r="AM47" s="8" t="n"/>
      <c r="AN47" s="8" t="n"/>
      <c r="AO47" s="121" t="n"/>
      <c r="AP47" s="121" t="n"/>
      <c r="AQ47" s="8" t="n"/>
      <c r="AR47" s="8" t="n"/>
      <c r="AS47" s="43" t="n"/>
    </row>
    <row r="48" ht="20.1" customHeight="1" thickBot="1">
      <c r="A48" s="40">
        <f>IFERROR(IF(config!E39="","",config!E39),"")</f>
        <v/>
      </c>
      <c r="B48" s="48">
        <f>IFERROR(IF(config!F39="","",config!F39),"")</f>
        <v/>
      </c>
      <c r="C48" s="96">
        <f>IFERROR(IF(config!G39="","",config!G39),"")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8" t="n"/>
      <c r="T48" s="121" t="n"/>
      <c r="U48" s="121" t="n"/>
      <c r="V48" s="8" t="n"/>
      <c r="W48" s="8" t="n"/>
      <c r="X48" s="8" t="n"/>
      <c r="Y48" s="8" t="n"/>
      <c r="Z48" s="8" t="n"/>
      <c r="AA48" s="121" t="n"/>
      <c r="AB48" s="121" t="n"/>
      <c r="AC48" s="8" t="n"/>
      <c r="AD48" s="8" t="n"/>
      <c r="AE48" s="8" t="n"/>
      <c r="AF48" s="8" t="n"/>
      <c r="AG48" s="8" t="n"/>
      <c r="AH48" s="121" t="n"/>
      <c r="AI48" s="121" t="n"/>
      <c r="AJ48" s="8" t="n"/>
      <c r="AK48" s="8" t="n"/>
      <c r="AL48" s="8" t="n"/>
      <c r="AM48" s="8" t="n"/>
      <c r="AN48" s="8" t="n"/>
      <c r="AO48" s="121" t="n"/>
      <c r="AP48" s="121" t="n"/>
      <c r="AQ48" s="8" t="n"/>
      <c r="AR48" s="8" t="n"/>
      <c r="AS48" s="43" t="n"/>
    </row>
    <row r="49" ht="20.1" customHeight="1" thickBot="1">
      <c r="A49" s="39">
        <f>IFERROR(IF(config!E40="","",config!E40),"")</f>
        <v/>
      </c>
      <c r="B49" s="51">
        <f>IFERROR(IF(config!F40="","",config!F40),"")</f>
        <v/>
      </c>
      <c r="C49" s="97">
        <f>IFERROR(IF(config!G40="","",config!G40),"")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8" t="n"/>
      <c r="Q49" s="29" t="n"/>
      <c r="R49" s="29" t="n"/>
      <c r="S49" s="29" t="n"/>
      <c r="T49" s="122" t="n"/>
      <c r="U49" s="122" t="n"/>
      <c r="V49" s="29" t="n"/>
      <c r="W49" s="29" t="n"/>
      <c r="X49" s="29" t="n"/>
      <c r="Y49" s="29" t="n"/>
      <c r="Z49" s="29" t="n"/>
      <c r="AA49" s="122" t="n"/>
      <c r="AB49" s="122" t="n"/>
      <c r="AC49" s="29" t="n"/>
      <c r="AD49" s="29" t="n"/>
      <c r="AE49" s="29" t="n"/>
      <c r="AF49" s="29" t="n"/>
      <c r="AG49" s="29" t="n"/>
      <c r="AH49" s="122" t="n"/>
      <c r="AI49" s="122" t="n"/>
      <c r="AJ49" s="29" t="n"/>
      <c r="AK49" s="29" t="n"/>
      <c r="AL49" s="29" t="n"/>
      <c r="AM49" s="29" t="n"/>
      <c r="AN49" s="29" t="n"/>
      <c r="AO49" s="122" t="n"/>
      <c r="AP49" s="122" t="n"/>
      <c r="AQ49" s="29" t="n"/>
      <c r="AR49" s="29" t="n"/>
      <c r="AS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14" t="n"/>
      <c r="Q51" s="28" t="n"/>
      <c r="R51" s="28" t="n"/>
      <c r="S51" s="28" t="n"/>
      <c r="T51" s="113" t="n"/>
      <c r="U51" s="113" t="n"/>
      <c r="V51" s="28" t="n"/>
      <c r="W51" s="28" t="n"/>
      <c r="X51" s="28" t="n"/>
      <c r="Y51" s="28" t="n"/>
      <c r="Z51" s="28" t="n"/>
      <c r="AA51" s="113" t="n"/>
      <c r="AB51" s="113" t="n"/>
      <c r="AC51" s="28" t="n"/>
      <c r="AD51" s="28" t="n"/>
      <c r="AE51" s="28" t="n"/>
      <c r="AF51" s="28" t="n"/>
      <c r="AG51" s="28" t="n"/>
      <c r="AH51" s="113" t="n"/>
      <c r="AI51" s="113" t="n"/>
      <c r="AJ51" s="28" t="n"/>
      <c r="AK51" s="28" t="n"/>
      <c r="AL51" s="28" t="n"/>
      <c r="AM51" s="28" t="n"/>
      <c r="AN51" s="28" t="n"/>
      <c r="AO51" s="113" t="n"/>
      <c r="AP51" s="113" t="n"/>
      <c r="AQ51" s="28" t="n"/>
      <c r="AR51" s="28" t="n"/>
      <c r="AS51" s="42" t="n"/>
      <c r="AU51" s="15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8" t="n"/>
      <c r="T52" s="121" t="n"/>
      <c r="U52" s="121" t="n"/>
      <c r="V52" s="8" t="n"/>
      <c r="W52" s="8" t="n"/>
      <c r="X52" s="8" t="n"/>
      <c r="Y52" s="8" t="n"/>
      <c r="Z52" s="8" t="n"/>
      <c r="AA52" s="121" t="n"/>
      <c r="AB52" s="121" t="n"/>
      <c r="AC52" s="8" t="n"/>
      <c r="AD52" s="8" t="n"/>
      <c r="AE52" s="8" t="n"/>
      <c r="AF52" s="8" t="n"/>
      <c r="AG52" s="8" t="n"/>
      <c r="AH52" s="121" t="n"/>
      <c r="AI52" s="121" t="n"/>
      <c r="AJ52" s="8" t="n"/>
      <c r="AK52" s="8" t="n"/>
      <c r="AL52" s="8" t="n"/>
      <c r="AM52" s="8" t="n"/>
      <c r="AN52" s="8" t="n"/>
      <c r="AO52" s="121" t="n"/>
      <c r="AP52" s="121" t="n"/>
      <c r="AQ52" s="8" t="n"/>
      <c r="AR52" s="8" t="n"/>
      <c r="AS52" s="43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8" t="n"/>
      <c r="T53" s="121" t="n"/>
      <c r="U53" s="121" t="n"/>
      <c r="V53" s="8" t="n"/>
      <c r="W53" s="8" t="n"/>
      <c r="X53" s="8" t="n"/>
      <c r="Y53" s="8" t="n"/>
      <c r="Z53" s="8" t="n"/>
      <c r="AA53" s="121" t="n"/>
      <c r="AB53" s="121" t="n"/>
      <c r="AC53" s="8" t="n"/>
      <c r="AD53" s="8" t="n"/>
      <c r="AE53" s="8" t="n"/>
      <c r="AF53" s="8" t="n"/>
      <c r="AG53" s="8" t="n"/>
      <c r="AH53" s="121" t="n"/>
      <c r="AI53" s="121" t="n"/>
      <c r="AJ53" s="8" t="n"/>
      <c r="AK53" s="8" t="n"/>
      <c r="AL53" s="8" t="n"/>
      <c r="AM53" s="8" t="n"/>
      <c r="AN53" s="8" t="n"/>
      <c r="AO53" s="121" t="n"/>
      <c r="AP53" s="121" t="n"/>
      <c r="AQ53" s="8" t="n"/>
      <c r="AR53" s="8" t="n"/>
      <c r="AS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8" t="n"/>
      <c r="T54" s="121" t="n"/>
      <c r="U54" s="121" t="n"/>
      <c r="V54" s="8" t="n"/>
      <c r="W54" s="8" t="n"/>
      <c r="X54" s="8" t="n"/>
      <c r="Y54" s="8" t="n"/>
      <c r="Z54" s="8" t="n"/>
      <c r="AA54" s="121" t="n"/>
      <c r="AB54" s="121" t="n"/>
      <c r="AC54" s="8" t="n"/>
      <c r="AD54" s="8" t="n"/>
      <c r="AE54" s="8" t="n"/>
      <c r="AF54" s="8" t="n"/>
      <c r="AG54" s="8" t="n"/>
      <c r="AH54" s="121" t="n"/>
      <c r="AI54" s="121" t="n"/>
      <c r="AJ54" s="8" t="n"/>
      <c r="AK54" s="8" t="n"/>
      <c r="AL54" s="8" t="n"/>
      <c r="AM54" s="8" t="n"/>
      <c r="AN54" s="8" t="n"/>
      <c r="AO54" s="121" t="n"/>
      <c r="AP54" s="121" t="n"/>
      <c r="AQ54" s="8" t="n"/>
      <c r="AR54" s="8" t="n"/>
      <c r="AS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8" t="n"/>
      <c r="T55" s="121" t="n"/>
      <c r="U55" s="121" t="n"/>
      <c r="V55" s="8" t="n"/>
      <c r="W55" s="8" t="n"/>
      <c r="X55" s="8" t="n"/>
      <c r="Y55" s="8" t="n"/>
      <c r="Z55" s="8" t="n"/>
      <c r="AA55" s="121" t="n"/>
      <c r="AB55" s="121" t="n"/>
      <c r="AC55" s="8" t="n"/>
      <c r="AD55" s="8" t="n"/>
      <c r="AE55" s="8" t="n"/>
      <c r="AF55" s="8" t="n"/>
      <c r="AG55" s="8" t="n"/>
      <c r="AH55" s="121" t="n"/>
      <c r="AI55" s="121" t="n"/>
      <c r="AJ55" s="8" t="n"/>
      <c r="AK55" s="8" t="n"/>
      <c r="AL55" s="8" t="n"/>
      <c r="AM55" s="8" t="n"/>
      <c r="AN55" s="8" t="n"/>
      <c r="AO55" s="121" t="n"/>
      <c r="AP55" s="121" t="n"/>
      <c r="AQ55" s="8" t="n"/>
      <c r="AR55" s="8" t="n"/>
      <c r="AS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8" t="n"/>
      <c r="T56" s="121" t="n"/>
      <c r="U56" s="121" t="n"/>
      <c r="V56" s="8" t="n"/>
      <c r="W56" s="8" t="n"/>
      <c r="X56" s="8" t="n"/>
      <c r="Y56" s="8" t="n"/>
      <c r="Z56" s="8" t="n"/>
      <c r="AA56" s="121" t="n"/>
      <c r="AB56" s="121" t="n"/>
      <c r="AC56" s="8" t="n"/>
      <c r="AD56" s="8" t="n"/>
      <c r="AE56" s="8" t="n"/>
      <c r="AF56" s="8" t="n"/>
      <c r="AG56" s="8" t="n"/>
      <c r="AH56" s="121" t="n"/>
      <c r="AI56" s="121" t="n"/>
      <c r="AJ56" s="8" t="n"/>
      <c r="AK56" s="8" t="n"/>
      <c r="AL56" s="8" t="n"/>
      <c r="AM56" s="8" t="n"/>
      <c r="AN56" s="8" t="n"/>
      <c r="AO56" s="121" t="n"/>
      <c r="AP56" s="121" t="n"/>
      <c r="AQ56" s="8" t="n"/>
      <c r="AR56" s="8" t="n"/>
      <c r="AS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8" t="n"/>
      <c r="T57" s="121" t="n"/>
      <c r="U57" s="121" t="n"/>
      <c r="V57" s="8" t="n"/>
      <c r="W57" s="8" t="n"/>
      <c r="X57" s="8" t="n"/>
      <c r="Y57" s="8" t="n"/>
      <c r="Z57" s="8" t="n"/>
      <c r="AA57" s="121" t="n"/>
      <c r="AB57" s="121" t="n"/>
      <c r="AC57" s="8" t="n"/>
      <c r="AD57" s="8" t="n"/>
      <c r="AE57" s="8" t="n"/>
      <c r="AF57" s="8" t="n"/>
      <c r="AG57" s="8" t="n"/>
      <c r="AH57" s="121" t="n"/>
      <c r="AI57" s="121" t="n"/>
      <c r="AJ57" s="8" t="n"/>
      <c r="AK57" s="8" t="n"/>
      <c r="AL57" s="8" t="n"/>
      <c r="AM57" s="8" t="n"/>
      <c r="AN57" s="8" t="n"/>
      <c r="AO57" s="121" t="n"/>
      <c r="AP57" s="121" t="n"/>
      <c r="AQ57" s="8" t="n"/>
      <c r="AR57" s="8" t="n"/>
      <c r="AS57" s="43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8" t="n"/>
      <c r="T58" s="121" t="n"/>
      <c r="U58" s="121" t="n"/>
      <c r="V58" s="8" t="n"/>
      <c r="W58" s="8" t="n"/>
      <c r="X58" s="8" t="n"/>
      <c r="Y58" s="8" t="n"/>
      <c r="Z58" s="8" t="n"/>
      <c r="AA58" s="121" t="n"/>
      <c r="AB58" s="121" t="n"/>
      <c r="AC58" s="8" t="n"/>
      <c r="AD58" s="8" t="n"/>
      <c r="AE58" s="8" t="n"/>
      <c r="AF58" s="8" t="n"/>
      <c r="AG58" s="8" t="n"/>
      <c r="AH58" s="121" t="n"/>
      <c r="AI58" s="121" t="n"/>
      <c r="AJ58" s="8" t="n"/>
      <c r="AK58" s="8" t="n"/>
      <c r="AL58" s="8" t="n"/>
      <c r="AM58" s="8" t="n"/>
      <c r="AN58" s="8" t="n"/>
      <c r="AO58" s="121" t="n"/>
      <c r="AP58" s="121" t="n"/>
      <c r="AQ58" s="8" t="n"/>
      <c r="AR58" s="8" t="n"/>
      <c r="AS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8" t="n"/>
      <c r="T59" s="121" t="n"/>
      <c r="U59" s="121" t="n"/>
      <c r="V59" s="8" t="n"/>
      <c r="W59" s="8" t="n"/>
      <c r="X59" s="8" t="n"/>
      <c r="Y59" s="8" t="n"/>
      <c r="Z59" s="8" t="n"/>
      <c r="AA59" s="121" t="n"/>
      <c r="AB59" s="121" t="n"/>
      <c r="AC59" s="8" t="n"/>
      <c r="AD59" s="8" t="n"/>
      <c r="AE59" s="8" t="n"/>
      <c r="AF59" s="8" t="n"/>
      <c r="AG59" s="8" t="n"/>
      <c r="AH59" s="121" t="n"/>
      <c r="AI59" s="121" t="n"/>
      <c r="AJ59" s="8" t="n"/>
      <c r="AK59" s="8" t="n"/>
      <c r="AL59" s="8" t="n"/>
      <c r="AM59" s="8" t="n"/>
      <c r="AN59" s="8" t="n"/>
      <c r="AO59" s="121" t="n"/>
      <c r="AP59" s="121" t="n"/>
      <c r="AQ59" s="8" t="n"/>
      <c r="AR59" s="8" t="n"/>
      <c r="AS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8" t="n"/>
      <c r="T60" s="121" t="n"/>
      <c r="U60" s="121" t="n"/>
      <c r="V60" s="8" t="n"/>
      <c r="W60" s="8" t="n"/>
      <c r="X60" s="8" t="n"/>
      <c r="Y60" s="8" t="n"/>
      <c r="Z60" s="8" t="n"/>
      <c r="AA60" s="121" t="n"/>
      <c r="AB60" s="121" t="n"/>
      <c r="AC60" s="8" t="n"/>
      <c r="AD60" s="8" t="n"/>
      <c r="AE60" s="8" t="n"/>
      <c r="AF60" s="8" t="n"/>
      <c r="AG60" s="8" t="n"/>
      <c r="AH60" s="121" t="n"/>
      <c r="AI60" s="121" t="n"/>
      <c r="AJ60" s="8" t="n"/>
      <c r="AK60" s="8" t="n"/>
      <c r="AL60" s="8" t="n"/>
      <c r="AM60" s="8" t="n"/>
      <c r="AN60" s="8" t="n"/>
      <c r="AO60" s="121" t="n"/>
      <c r="AP60" s="121" t="n"/>
      <c r="AQ60" s="8" t="n"/>
      <c r="AR60" s="8" t="n"/>
      <c r="AS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8" t="n"/>
      <c r="T61" s="121" t="n"/>
      <c r="U61" s="121" t="n"/>
      <c r="V61" s="8" t="n"/>
      <c r="W61" s="8" t="n"/>
      <c r="X61" s="8" t="n"/>
      <c r="Y61" s="8" t="n"/>
      <c r="Z61" s="8" t="n"/>
      <c r="AA61" s="121" t="n"/>
      <c r="AB61" s="121" t="n"/>
      <c r="AC61" s="8" t="n"/>
      <c r="AD61" s="8" t="n"/>
      <c r="AE61" s="8" t="n"/>
      <c r="AF61" s="8" t="n"/>
      <c r="AG61" s="8" t="n"/>
      <c r="AH61" s="121" t="n"/>
      <c r="AI61" s="121" t="n"/>
      <c r="AJ61" s="8" t="n"/>
      <c r="AK61" s="8" t="n"/>
      <c r="AL61" s="8" t="n"/>
      <c r="AM61" s="8" t="n"/>
      <c r="AN61" s="8" t="n"/>
      <c r="AO61" s="121" t="n"/>
      <c r="AP61" s="121" t="n"/>
      <c r="AQ61" s="8" t="n"/>
      <c r="AR61" s="8" t="n"/>
      <c r="AS61" s="43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18" t="n"/>
      <c r="Q62" s="29" t="n"/>
      <c r="R62" s="29" t="n"/>
      <c r="S62" s="29" t="n"/>
      <c r="T62" s="122" t="n"/>
      <c r="U62" s="122" t="n"/>
      <c r="V62" s="29" t="n"/>
      <c r="W62" s="29" t="n"/>
      <c r="X62" s="29" t="n"/>
      <c r="Y62" s="29" t="n"/>
      <c r="Z62" s="29" t="n"/>
      <c r="AA62" s="122" t="n"/>
      <c r="AB62" s="122" t="n"/>
      <c r="AC62" s="29" t="n"/>
      <c r="AD62" s="29" t="n"/>
      <c r="AE62" s="29" t="n"/>
      <c r="AF62" s="29" t="n"/>
      <c r="AG62" s="29" t="n"/>
      <c r="AH62" s="122" t="n"/>
      <c r="AI62" s="122" t="n"/>
      <c r="AJ62" s="29" t="n"/>
      <c r="AK62" s="29" t="n"/>
      <c r="AL62" s="29" t="n"/>
      <c r="AM62" s="29" t="n"/>
      <c r="AN62" s="29" t="n"/>
      <c r="AO62" s="122" t="n"/>
      <c r="AP62" s="122" t="n"/>
      <c r="AQ62" s="29" t="n"/>
      <c r="AR62" s="29" t="n"/>
      <c r="AS62" s="44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28" t="n"/>
      <c r="T64" s="113" t="n"/>
      <c r="U64" s="113" t="n"/>
      <c r="V64" s="28" t="n"/>
      <c r="W64" s="28" t="n"/>
      <c r="X64" s="28" t="n"/>
      <c r="Y64" s="28" t="n"/>
      <c r="Z64" s="28" t="n"/>
      <c r="AA64" s="113" t="n"/>
      <c r="AB64" s="113" t="n"/>
      <c r="AC64" s="28" t="n"/>
      <c r="AD64" s="28" t="n"/>
      <c r="AE64" s="28" t="n"/>
      <c r="AF64" s="28" t="n"/>
      <c r="AG64" s="28" t="n"/>
      <c r="AH64" s="113" t="n"/>
      <c r="AI64" s="113" t="n"/>
      <c r="AJ64" s="28" t="n"/>
      <c r="AK64" s="28" t="n"/>
      <c r="AL64" s="28" t="n"/>
      <c r="AM64" s="28" t="n"/>
      <c r="AN64" s="28" t="n"/>
      <c r="AO64" s="113" t="n"/>
      <c r="AP64" s="113" t="n"/>
      <c r="AQ64" s="28" t="n"/>
      <c r="AR64" s="28" t="n"/>
      <c r="AS64" s="42" t="n"/>
      <c r="AU64" s="15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8" t="n"/>
      <c r="T65" s="121" t="n"/>
      <c r="U65" s="121" t="n"/>
      <c r="V65" s="8" t="n"/>
      <c r="W65" s="8" t="n"/>
      <c r="X65" s="8" t="n"/>
      <c r="Y65" s="8" t="n"/>
      <c r="Z65" s="8" t="n"/>
      <c r="AA65" s="121" t="n"/>
      <c r="AB65" s="121" t="n"/>
      <c r="AC65" s="8" t="n"/>
      <c r="AD65" s="8" t="n"/>
      <c r="AE65" s="8" t="n"/>
      <c r="AF65" s="8" t="n"/>
      <c r="AG65" s="8" t="n"/>
      <c r="AH65" s="121" t="n"/>
      <c r="AI65" s="121" t="n"/>
      <c r="AJ65" s="8" t="n"/>
      <c r="AK65" s="8" t="n"/>
      <c r="AL65" s="8" t="n"/>
      <c r="AM65" s="8" t="n"/>
      <c r="AN65" s="8" t="n"/>
      <c r="AO65" s="121" t="n"/>
      <c r="AP65" s="121" t="n"/>
      <c r="AQ65" s="8" t="n"/>
      <c r="AR65" s="8" t="n"/>
      <c r="AS65" s="43" t="n"/>
      <c r="AU65" s="27">
        <f>COUNTIF(P64:AS75,"P")</f>
        <v/>
      </c>
      <c r="AV65" s="27">
        <f>COUNTIF(P64:AS75,"PC")</f>
        <v/>
      </c>
      <c r="AW65" s="27">
        <f>COUNTIF(P64:AS75,"F")</f>
        <v/>
      </c>
      <c r="AX65" s="27">
        <f>COUNTIF(P64:AS75,"AST")</f>
        <v/>
      </c>
      <c r="AY65" s="27">
        <f>COUNTIF(P64:AS75,"Ca")</f>
        <v/>
      </c>
      <c r="AZ65" s="27">
        <f>COUNTIF(P64:AS75,"RTT")</f>
        <v/>
      </c>
      <c r="BA65" s="27">
        <f>COUNTIF(P64:AS75,"CEX")</f>
        <v/>
      </c>
      <c r="BB65" s="27">
        <f>COUNTIF(P64:AS75,"RES")</f>
        <v/>
      </c>
      <c r="BC65" s="27">
        <f>COUNTIF(P64:AS75,"MA")</f>
        <v/>
      </c>
      <c r="BD65" s="27">
        <f>COUNTIF(P64:AS75,"AT")</f>
        <v/>
      </c>
      <c r="BE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8" t="n"/>
      <c r="T66" s="121" t="n"/>
      <c r="U66" s="121" t="n"/>
      <c r="V66" s="8" t="n"/>
      <c r="W66" s="8" t="n"/>
      <c r="X66" s="8" t="n"/>
      <c r="Y66" s="8" t="n"/>
      <c r="Z66" s="8" t="n"/>
      <c r="AA66" s="121" t="n"/>
      <c r="AB66" s="121" t="n"/>
      <c r="AC66" s="8" t="n"/>
      <c r="AD66" s="8" t="n"/>
      <c r="AE66" s="8" t="n"/>
      <c r="AF66" s="8" t="n"/>
      <c r="AG66" s="8" t="n"/>
      <c r="AH66" s="121" t="n"/>
      <c r="AI66" s="121" t="n"/>
      <c r="AJ66" s="8" t="n"/>
      <c r="AK66" s="8" t="n"/>
      <c r="AL66" s="8" t="n"/>
      <c r="AM66" s="8" t="n"/>
      <c r="AN66" s="8" t="n"/>
      <c r="AO66" s="121" t="n"/>
      <c r="AP66" s="121" t="n"/>
      <c r="AQ66" s="8" t="n"/>
      <c r="AR66" s="8" t="n"/>
      <c r="AS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17" t="n"/>
      <c r="Q67" s="8" t="n"/>
      <c r="R67" s="8" t="n"/>
      <c r="S67" s="8" t="n"/>
      <c r="T67" s="121" t="n"/>
      <c r="U67" s="121" t="n"/>
      <c r="V67" s="8" t="n"/>
      <c r="W67" s="8" t="n"/>
      <c r="X67" s="8" t="n"/>
      <c r="Y67" s="8" t="n"/>
      <c r="Z67" s="8" t="n"/>
      <c r="AA67" s="121" t="n"/>
      <c r="AB67" s="121" t="n"/>
      <c r="AC67" s="8" t="n"/>
      <c r="AD67" s="8" t="n"/>
      <c r="AE67" s="8" t="n"/>
      <c r="AF67" s="8" t="n"/>
      <c r="AG67" s="8" t="n"/>
      <c r="AH67" s="121" t="n"/>
      <c r="AI67" s="121" t="n"/>
      <c r="AJ67" s="8" t="n"/>
      <c r="AK67" s="8" t="n"/>
      <c r="AL67" s="8" t="n"/>
      <c r="AM67" s="8" t="n"/>
      <c r="AN67" s="8" t="n"/>
      <c r="AO67" s="121" t="n"/>
      <c r="AP67" s="121" t="n"/>
      <c r="AQ67" s="8" t="n"/>
      <c r="AR67" s="8" t="n"/>
      <c r="AS67" s="43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17" t="n"/>
      <c r="Q68" s="8" t="n"/>
      <c r="R68" s="8" t="n"/>
      <c r="S68" s="8" t="n"/>
      <c r="T68" s="121" t="n"/>
      <c r="U68" s="121" t="n"/>
      <c r="V68" s="8" t="n"/>
      <c r="W68" s="8" t="n"/>
      <c r="X68" s="8" t="n"/>
      <c r="Y68" s="8" t="n"/>
      <c r="Z68" s="8" t="n"/>
      <c r="AA68" s="121" t="n"/>
      <c r="AB68" s="121" t="n"/>
      <c r="AC68" s="8" t="n"/>
      <c r="AD68" s="8" t="n"/>
      <c r="AE68" s="8" t="n"/>
      <c r="AF68" s="8" t="n"/>
      <c r="AG68" s="8" t="n"/>
      <c r="AH68" s="121" t="n"/>
      <c r="AI68" s="121" t="n"/>
      <c r="AJ68" s="8" t="n"/>
      <c r="AK68" s="8" t="n"/>
      <c r="AL68" s="8" t="n"/>
      <c r="AM68" s="8" t="n"/>
      <c r="AN68" s="8" t="n"/>
      <c r="AO68" s="121" t="n"/>
      <c r="AP68" s="121" t="n"/>
      <c r="AQ68" s="8" t="n"/>
      <c r="AR68" s="8" t="n"/>
      <c r="AS68" s="43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119">
        <f>COUNTIF(P69:AS69,"TP")</f>
        <v/>
      </c>
      <c r="P69" s="118" t="n"/>
      <c r="Q69" s="29" t="n"/>
      <c r="R69" s="29" t="n"/>
      <c r="S69" s="29" t="n"/>
      <c r="T69" s="122" t="n"/>
      <c r="U69" s="122" t="n"/>
      <c r="V69" s="29" t="n"/>
      <c r="W69" s="29" t="n"/>
      <c r="X69" s="29" t="n"/>
      <c r="Y69" s="29" t="n"/>
      <c r="Z69" s="29" t="n"/>
      <c r="AA69" s="122" t="n"/>
      <c r="AB69" s="122" t="n"/>
      <c r="AC69" s="29" t="n"/>
      <c r="AD69" s="29" t="n"/>
      <c r="AE69" s="29" t="n"/>
      <c r="AF69" s="29" t="n"/>
      <c r="AG69" s="29" t="n"/>
      <c r="AH69" s="122" t="n"/>
      <c r="AI69" s="122" t="n"/>
      <c r="AJ69" s="29" t="n"/>
      <c r="AK69" s="29" t="n"/>
      <c r="AL69" s="29" t="n"/>
      <c r="AM69" s="29" t="n"/>
      <c r="AN69" s="29" t="n"/>
      <c r="AO69" s="122" t="n"/>
      <c r="AP69" s="122" t="n"/>
      <c r="AQ69" s="29" t="n"/>
      <c r="AR69" s="29" t="n"/>
      <c r="AS69" s="44" t="n"/>
    </row>
    <row r="78">
      <c r="T78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277" operator="equal" dxfId="55">
      <formula>"repos"</formula>
    </cfRule>
    <cfRule type="cellIs" priority="278" operator="equal" dxfId="53">
      <formula>"permanence"</formula>
    </cfRule>
    <cfRule type="cellIs" priority="279" operator="equal" dxfId="53">
      <formula>"dimanche"</formula>
    </cfRule>
    <cfRule type="cellIs" priority="280" operator="equal" dxfId="52">
      <formula>"formation"</formula>
    </cfRule>
    <cfRule type="cellIs" priority="281" operator="equal" dxfId="6">
      <formula>"conges exc"</formula>
    </cfRule>
    <cfRule type="cellIs" priority="282" operator="equal" dxfId="4">
      <formula>"conges"</formula>
    </cfRule>
    <cfRule type="cellIs" priority="283" operator="equal" dxfId="5">
      <formula>"asa"</formula>
    </cfRule>
    <cfRule type="cellIs" priority="284" operator="equal" dxfId="8">
      <formula>"maladie / at"</formula>
    </cfRule>
    <cfRule type="cellIs" priority="285" operator="equal" dxfId="0">
      <formula>"presence"</formula>
    </cfRule>
  </conditionalFormatting>
  <conditionalFormatting sqref="D11:O20 D23:O24 D26:O29 D31:O36 D39:O49 D51:O62 D64:O69">
    <cfRule type="cellIs" priority="286" operator="equal" dxfId="46">
      <formula>0</formula>
    </cfRule>
  </conditionalFormatting>
  <conditionalFormatting sqref="P23 P24:U24 R23 T23:U23 AA23:AB24 AH23:AS24">
    <cfRule type="containsText" priority="261" operator="containsText" dxfId="3" text="AST">
      <formula>NOT(ISERROR(SEARCH("AST",P23)))</formula>
    </cfRule>
    <cfRule type="containsText" priority="262" operator="containsText" dxfId="2" text="F">
      <formula>NOT(ISERROR(SEARCH("F",P23)))</formula>
    </cfRule>
    <cfRule type="containsText" priority="263" operator="containsText" dxfId="1" text="MI">
      <formula>NOT(ISERROR(SEARCH("MI",P23)))</formula>
    </cfRule>
    <cfRule type="containsText" priority="264" operator="containsText" dxfId="0" text="P">
      <formula>NOT(ISERROR(SEARCH("P",P23)))</formula>
    </cfRule>
    <cfRule type="containsText" priority="260" operator="containsText" dxfId="4" text="C">
      <formula>NOT(ISERROR(SEARCH("C",P23)))</formula>
    </cfRule>
  </conditionalFormatting>
  <conditionalFormatting sqref="P23:S24 T24:AB24 AH23:AS24">
    <cfRule type="containsText" priority="228" operator="containsText" dxfId="9" text="AT">
      <formula>NOT(ISERROR(SEARCH("AT",P23)))</formula>
    </cfRule>
    <cfRule type="containsText" priority="229" operator="containsText" dxfId="8" text="MA">
      <formula>NOT(ISERROR(SEARCH("MA",P23)))</formula>
    </cfRule>
    <cfRule type="containsText" priority="230" operator="containsText" dxfId="7" text="RES">
      <formula>NOT(ISERROR(SEARCH("RES",P23)))</formula>
    </cfRule>
    <cfRule type="containsText" priority="231" operator="containsText" dxfId="6" text="CEX">
      <formula>NOT(ISERROR(SEARCH("CEX",P23)))</formula>
    </cfRule>
    <cfRule type="containsText" priority="232" operator="containsText" dxfId="5" text="RTT">
      <formula>NOT(ISERROR(SEARCH("RTT",P23)))</formula>
    </cfRule>
  </conditionalFormatting>
  <conditionalFormatting sqref="P26:S28 P29:AS29 P31:AS36 P51:S62 AQ51:AS62">
    <cfRule type="beginsWith" priority="176" operator="beginsWith" dxfId="4" text="CA">
      <formula>LEFT(P26,LEN("CA"))="CA"</formula>
    </cfRule>
    <cfRule type="containsText" priority="177" operator="containsText" dxfId="3" text="AST">
      <formula>NOT(ISERROR(SEARCH("AST",P26)))</formula>
    </cfRule>
    <cfRule type="containsText" priority="178" operator="containsText" dxfId="2" text="F">
      <formula>NOT(ISERROR(SEARCH("F",P26)))</formula>
    </cfRule>
    <cfRule type="containsText" priority="179" operator="containsText" dxfId="1" text="PC">
      <formula>NOT(ISERROR(SEARCH("PC",P26)))</formula>
    </cfRule>
    <cfRule type="containsText" priority="180" operator="containsText" dxfId="0" text="P">
      <formula>NOT(ISERROR(SEARCH("P",P26)))</formula>
    </cfRule>
  </conditionalFormatting>
  <conditionalFormatting sqref="P39:S45 P46:AS46 P47:S49">
    <cfRule type="beginsWith" priority="164" operator="beginsWith" dxfId="4" text="CA">
      <formula>LEFT(P39,LEN("CA"))="CA"</formula>
    </cfRule>
    <cfRule type="containsText" priority="165" operator="containsText" dxfId="3" text="AST">
      <formula>NOT(ISERROR(SEARCH("AST",P39)))</formula>
    </cfRule>
    <cfRule type="containsText" priority="166" operator="containsText" dxfId="2" text="F">
      <formula>NOT(ISERROR(SEARCH("F",P39)))</formula>
    </cfRule>
    <cfRule type="containsText" priority="167" operator="containsText" dxfId="1" text="PC">
      <formula>NOT(ISERROR(SEARCH("PC",P39)))</formula>
    </cfRule>
    <cfRule type="containsText" priority="168" operator="containsText" dxfId="0" text="P">
      <formula>NOT(ISERROR(SEARCH("P",P39)))</formula>
    </cfRule>
  </conditionalFormatting>
  <conditionalFormatting sqref="P65:U69 V66:AS69">
    <cfRule type="containsText" priority="111" operator="containsText" text="TAD">
      <formula>NOT(ISERROR(SEARCH("TAD",P65)))</formula>
    </cfRule>
  </conditionalFormatting>
  <conditionalFormatting sqref="P64:Z64 AA64:AS69">
    <cfRule type="containsText" priority="110" operator="containsText" dxfId="10" text="TP">
      <formula>NOT(ISERROR(SEARCH("TP",P64)))</formula>
    </cfRule>
    <cfRule type="containsText" priority="112" operator="containsText" dxfId="9" text="AT">
      <formula>NOT(ISERROR(SEARCH("AT",P64)))</formula>
    </cfRule>
    <cfRule type="containsText" priority="113" operator="containsText" dxfId="8" text="MA">
      <formula>NOT(ISERROR(SEARCH("MA",P64)))</formula>
    </cfRule>
    <cfRule type="containsText" priority="114" operator="containsText" dxfId="7" text="RES">
      <formula>NOT(ISERROR(SEARCH("RES",P64)))</formula>
    </cfRule>
    <cfRule type="containsText" priority="115" operator="containsText" dxfId="6" text="CEX">
      <formula>NOT(ISERROR(SEARCH("CEX",P64)))</formula>
    </cfRule>
    <cfRule type="containsText" priority="116" operator="containsText" dxfId="5" text="RTT">
      <formula>NOT(ISERROR(SEARCH("RTT",P64)))</formula>
    </cfRule>
  </conditionalFormatting>
  <conditionalFormatting sqref="P64:Z64 P65:S69 AJ64:AN64">
    <cfRule type="beginsWith" priority="117" operator="beginsWith" dxfId="4" text="CA">
      <formula>LEFT(P64,LEN("CA"))="CA"</formula>
    </cfRule>
    <cfRule type="containsText" priority="118" operator="containsText" dxfId="3" text="AST">
      <formula>NOT(ISERROR(SEARCH("AST",P64)))</formula>
    </cfRule>
    <cfRule type="containsText" priority="119" operator="containsText" dxfId="2" text="F">
      <formula>NOT(ISERROR(SEARCH("F",P64)))</formula>
    </cfRule>
    <cfRule type="containsText" priority="120" operator="containsText" dxfId="1" text="PC">
      <formula>NOT(ISERROR(SEARCH("PC",P64)))</formula>
    </cfRule>
    <cfRule type="containsText" priority="121" operator="containsText" dxfId="0" text="P">
      <formula>NOT(ISERROR(SEARCH("P",P64)))</formula>
    </cfRule>
  </conditionalFormatting>
  <conditionalFormatting sqref="P23:AB24 P51:AS62 AH23:AS24">
    <cfRule type="containsText" priority="216" operator="containsText" dxfId="10" text="TP">
      <formula>NOT(ISERROR(SEARCH("TP",P23)))</formula>
    </cfRule>
  </conditionalFormatting>
  <conditionalFormatting sqref="P64:AN64 V65:AN65 Z66 AJ64:AJ65">
    <cfRule type="containsText" priority="68" operator="containsText" text="TAD">
      <formula>NOT(ISERROR(SEARCH("TAD",P64)))</formula>
    </cfRule>
  </conditionalFormatting>
  <conditionalFormatting sqref="P9:AS9">
    <cfRule type="expression" priority="288" dxfId="44">
      <formula>OR(P$9=1, P$9=7)</formula>
    </cfRule>
  </conditionalFormatting>
  <conditionalFormatting sqref="P9:AS10">
    <cfRule type="expression" priority="287" dxfId="44">
      <formula>OR(P$9=1,P$9=7)</formula>
    </cfRule>
  </conditionalFormatting>
  <conditionalFormatting sqref="P11:AS20">
    <cfRule type="containsText" priority="265" operator="containsText" dxfId="10" text="TP">
      <formula>NOT(ISERROR(SEARCH("TP",P11)))</formula>
    </cfRule>
    <cfRule type="containsText" priority="266" operator="containsText" text="TAD">
      <formula>NOT(ISERROR(SEARCH("TAD",P11)))</formula>
    </cfRule>
    <cfRule type="containsText" priority="267" operator="containsText" dxfId="9" text="AT">
      <formula>NOT(ISERROR(SEARCH("AT",P11)))</formula>
    </cfRule>
    <cfRule type="containsText" priority="268" operator="containsText" dxfId="8" text="MA">
      <formula>NOT(ISERROR(SEARCH("MA",P11)))</formula>
    </cfRule>
    <cfRule type="containsText" priority="269" operator="containsText" dxfId="7" text="RES">
      <formula>NOT(ISERROR(SEARCH("RES",P11)))</formula>
    </cfRule>
    <cfRule type="containsText" priority="270" operator="containsText" dxfId="6" text="CEX">
      <formula>NOT(ISERROR(SEARCH("CEX",P11)))</formula>
    </cfRule>
    <cfRule type="containsText" priority="271" operator="containsText" dxfId="5" text="RTT">
      <formula>NOT(ISERROR(SEARCH("RTT",P11)))</formula>
    </cfRule>
    <cfRule type="beginsWith" priority="272" operator="beginsWith" dxfId="4" text="CA">
      <formula>LEFT(P11,LEN("CA"))="CA"</formula>
    </cfRule>
    <cfRule type="containsText" priority="273" operator="containsText" dxfId="3" text="AST">
      <formula>NOT(ISERROR(SEARCH("AST",P11)))</formula>
    </cfRule>
    <cfRule type="containsText" priority="274" operator="containsText" dxfId="2" text="F">
      <formula>NOT(ISERROR(SEARCH("F",P11)))</formula>
    </cfRule>
    <cfRule type="containsText" priority="275" operator="containsText" dxfId="1" text="PC">
      <formula>NOT(ISERROR(SEARCH("PC",P11)))</formula>
    </cfRule>
    <cfRule type="containsText" priority="276" operator="containsText" dxfId="0" text="P">
      <formula>NOT(ISERROR(SEARCH("P",P11)))</formula>
    </cfRule>
  </conditionalFormatting>
  <conditionalFormatting sqref="P23:AS24">
    <cfRule type="containsText" priority="46" operator="containsText" text="TAD">
      <formula>NOT(ISERROR(SEARCH("TAD",P23)))</formula>
    </cfRule>
  </conditionalFormatting>
  <conditionalFormatting sqref="P26:AS29 P31:AS36 P51:AS62">
    <cfRule type="containsText" priority="170" operator="containsText" text="TAD">
      <formula>NOT(ISERROR(SEARCH("TAD",P26)))</formula>
    </cfRule>
    <cfRule type="containsText" priority="171" operator="containsText" dxfId="9" text="AT">
      <formula>NOT(ISERROR(SEARCH("AT",P26)))</formula>
    </cfRule>
    <cfRule type="containsText" priority="172" operator="containsText" dxfId="8" text="MA">
      <formula>NOT(ISERROR(SEARCH("MA",P26)))</formula>
    </cfRule>
    <cfRule type="containsText" priority="173" operator="containsText" dxfId="7" text="RES">
      <formula>NOT(ISERROR(SEARCH("RES",P26)))</formula>
    </cfRule>
    <cfRule type="containsText" priority="174" operator="containsText" dxfId="6" text="CEX">
      <formula>NOT(ISERROR(SEARCH("CEX",P26)))</formula>
    </cfRule>
    <cfRule type="containsText" priority="175" operator="containsText" dxfId="5" text="RTT">
      <formula>NOT(ISERROR(SEARCH("RTT",P26)))</formula>
    </cfRule>
  </conditionalFormatting>
  <conditionalFormatting sqref="P26:AS29 P31:AS36">
    <cfRule type="containsText" priority="169" operator="containsText" dxfId="10" text="TP">
      <formula>NOT(ISERROR(SEARCH("TP",P26)))</formula>
    </cfRule>
  </conditionalFormatting>
  <conditionalFormatting sqref="P39:AS49">
    <cfRule type="containsText" priority="137" operator="containsText" dxfId="10" text="TP">
      <formula>NOT(ISERROR(SEARCH("TP",P39)))</formula>
    </cfRule>
    <cfRule type="containsText" priority="138" operator="containsText" text="TAD">
      <formula>NOT(ISERROR(SEARCH("TAD",P39)))</formula>
    </cfRule>
    <cfRule type="containsText" priority="139" operator="containsText" dxfId="9" text="AT">
      <formula>NOT(ISERROR(SEARCH("AT",P39)))</formula>
    </cfRule>
    <cfRule type="containsText" priority="140" operator="containsText" dxfId="8" text="MA">
      <formula>NOT(ISERROR(SEARCH("MA",P39)))</formula>
    </cfRule>
    <cfRule type="containsText" priority="141" operator="containsText" dxfId="7" text="RES">
      <formula>NOT(ISERROR(SEARCH("RES",P39)))</formula>
    </cfRule>
    <cfRule type="containsText" priority="142" operator="containsText" dxfId="6" text="CEX">
      <formula>NOT(ISERROR(SEARCH("CEX",P39)))</formula>
    </cfRule>
    <cfRule type="containsText" priority="143" operator="containsText" dxfId="5" text="RTT">
      <formula>NOT(ISERROR(SEARCH("RTT",P39)))</formula>
    </cfRule>
  </conditionalFormatting>
  <conditionalFormatting sqref="Q23:S24">
    <cfRule type="containsText" priority="227" operator="containsText" dxfId="10" text="TP">
      <formula>NOT(ISERROR(SEARCH("TP",Q23)))</formula>
    </cfRule>
    <cfRule type="beginsWith" priority="233" operator="beginsWith" dxfId="4" text="CA">
      <formula>LEFT(Q23,LEN("CA"))="CA"</formula>
    </cfRule>
    <cfRule type="containsText" priority="234" operator="containsText" dxfId="3" text="AST">
      <formula>NOT(ISERROR(SEARCH("AST",Q23)))</formula>
    </cfRule>
    <cfRule type="containsText" priority="235" operator="containsText" dxfId="2" text="F">
      <formula>NOT(ISERROR(SEARCH("F",Q23)))</formula>
    </cfRule>
    <cfRule type="containsText" priority="236" operator="containsText" dxfId="1" text="PC">
      <formula>NOT(ISERROR(SEARCH("PC",Q23)))</formula>
    </cfRule>
    <cfRule type="containsText" priority="237" operator="containsText" dxfId="0" text="P">
      <formula>NOT(ISERROR(SEARCH("P",Q23)))</formula>
    </cfRule>
  </conditionalFormatting>
  <conditionalFormatting sqref="S23">
    <cfRule type="beginsWith" priority="222" operator="beginsWith" dxfId="4" text="CA">
      <formula>LEFT(S23,LEN("CA"))="CA"</formula>
    </cfRule>
    <cfRule type="containsText" priority="223" operator="containsText" dxfId="3" text="AST">
      <formula>NOT(ISERROR(SEARCH("AST",S23)))</formula>
    </cfRule>
    <cfRule type="containsText" priority="224" operator="containsText" dxfId="2" text="F">
      <formula>NOT(ISERROR(SEARCH("F",S23)))</formula>
    </cfRule>
    <cfRule type="containsText" priority="225" operator="containsText" dxfId="1" text="PC">
      <formula>NOT(ISERROR(SEARCH("PC",S23)))</formula>
    </cfRule>
    <cfRule type="containsText" priority="226" operator="containsText" dxfId="0" text="P">
      <formula>NOT(ISERROR(SEARCH("P",S23)))</formula>
    </cfRule>
  </conditionalFormatting>
  <conditionalFormatting sqref="S23:AB23 W24:Z24">
    <cfRule type="containsText" priority="217" operator="containsText" dxfId="9" text="AT">
      <formula>NOT(ISERROR(SEARCH("AT",S23)))</formula>
    </cfRule>
    <cfRule type="containsText" priority="218" operator="containsText" dxfId="8" text="MA">
      <formula>NOT(ISERROR(SEARCH("MA",S23)))</formula>
    </cfRule>
    <cfRule type="containsText" priority="219" operator="containsText" dxfId="7" text="RES">
      <formula>NOT(ISERROR(SEARCH("RES",S23)))</formula>
    </cfRule>
    <cfRule type="containsText" priority="220" operator="containsText" dxfId="6" text="CEX">
      <formula>NOT(ISERROR(SEARCH("CEX",S23)))</formula>
    </cfRule>
    <cfRule type="containsText" priority="221" operator="containsText" dxfId="5" text="RTT">
      <formula>NOT(ISERROR(SEARCH("RTT",S23)))</formula>
    </cfRule>
  </conditionalFormatting>
  <conditionalFormatting sqref="T26:U29 T31:U36 AA26:AB29 AA31:AB36 AH26:AJ28 AO26:AP29 AO31:AP36">
    <cfRule type="containsText" priority="255" operator="containsText" dxfId="4" text="C">
      <formula>NOT(ISERROR(SEARCH("C",T26)))</formula>
    </cfRule>
    <cfRule type="containsText" priority="256" operator="containsText" dxfId="3" text="AST">
      <formula>NOT(ISERROR(SEARCH("AST",T26)))</formula>
    </cfRule>
    <cfRule type="containsText" priority="257" operator="containsText" dxfId="2" text="F">
      <formula>NOT(ISERROR(SEARCH("F",T26)))</formula>
    </cfRule>
    <cfRule type="containsText" priority="258" operator="containsText" dxfId="1" text="MI">
      <formula>NOT(ISERROR(SEARCH("MI",T26)))</formula>
    </cfRule>
    <cfRule type="containsText" priority="259" operator="containsText" dxfId="0" text="P">
      <formula>NOT(ISERROR(SEARCH("P",T26)))</formula>
    </cfRule>
  </conditionalFormatting>
  <conditionalFormatting sqref="T39:U49 AA39:AB49 AH39:AJ49 AO39:AP49">
    <cfRule type="containsText" priority="250" operator="containsText" dxfId="4" text="C">
      <formula>NOT(ISERROR(SEARCH("C",T39)))</formula>
    </cfRule>
    <cfRule type="containsText" priority="251" operator="containsText" dxfId="3" text="AST">
      <formula>NOT(ISERROR(SEARCH("AST",T39)))</formula>
    </cfRule>
    <cfRule type="containsText" priority="252" operator="containsText" dxfId="2" text="F">
      <formula>NOT(ISERROR(SEARCH("F",T39)))</formula>
    </cfRule>
    <cfRule type="containsText" priority="253" operator="containsText" dxfId="1" text="PC">
      <formula>NOT(ISERROR(SEARCH("PC",T39)))</formula>
    </cfRule>
    <cfRule type="containsText" priority="254" operator="containsText" dxfId="0" text="P">
      <formula>NOT(ISERROR(SEARCH("P",T39)))</formula>
    </cfRule>
  </conditionalFormatting>
  <conditionalFormatting sqref="T51:U62 AA51:AB62 AH51:AJ62 AO51:AP62">
    <cfRule type="containsText" priority="245" operator="containsText" dxfId="4" text="C">
      <formula>NOT(ISERROR(SEARCH("C",T51)))</formula>
    </cfRule>
    <cfRule type="containsText" priority="246" operator="containsText" dxfId="3" text="AST">
      <formula>NOT(ISERROR(SEARCH("AST",T51)))</formula>
    </cfRule>
    <cfRule type="containsText" priority="247" operator="containsText" dxfId="2" text="F">
      <formula>NOT(ISERROR(SEARCH("F",T51)))</formula>
    </cfRule>
    <cfRule type="containsText" priority="248" operator="containsText" dxfId="1" text="MI">
      <formula>NOT(ISERROR(SEARCH("MI",T51)))</formula>
    </cfRule>
    <cfRule type="containsText" priority="249" operator="containsText" dxfId="0" text="P">
      <formula>NOT(ISERROR(SEARCH("P",T51)))</formula>
    </cfRule>
  </conditionalFormatting>
  <conditionalFormatting sqref="P65:Z69 T64:U64">
    <cfRule type="containsText" priority="79" operator="containsText" dxfId="10" text="TP">
      <formula>NOT(ISERROR(SEARCH("TP",P64)))</formula>
    </cfRule>
    <cfRule type="containsText" priority="80" operator="containsText" dxfId="9" text="AT">
      <formula>NOT(ISERROR(SEARCH("AT",P64)))</formula>
    </cfRule>
    <cfRule type="containsText" priority="81" operator="containsText" dxfId="8" text="MA">
      <formula>NOT(ISERROR(SEARCH("MA",P64)))</formula>
    </cfRule>
    <cfRule type="containsText" priority="82" operator="containsText" dxfId="7" text="RES">
      <formula>NOT(ISERROR(SEARCH("RES",P64)))</formula>
    </cfRule>
    <cfRule type="containsText" priority="83" operator="containsText" dxfId="6" text="CEX">
      <formula>NOT(ISERROR(SEARCH("CEX",P64)))</formula>
    </cfRule>
    <cfRule type="containsText" priority="84" operator="containsText" dxfId="5" text="RTT">
      <formula>NOT(ISERROR(SEARCH("RTT",P64)))</formula>
    </cfRule>
  </conditionalFormatting>
  <conditionalFormatting sqref="T64:U69 W66 Y66 AA64:AB65 AA66:AC67 AA68:AB69 AD67 AE66:AE67 AF67:AS67 AG66:AN66 AH64:AI64 AH65:AJ65 AH68:AJ69 AJ66:AJ67 AO64:AP66 AO68:AP69 AQ66:AS66">
    <cfRule type="containsText" priority="240" operator="containsText" dxfId="4" text="C">
      <formula>NOT(ISERROR(SEARCH("C",T64)))</formula>
    </cfRule>
    <cfRule type="containsText" priority="241" operator="containsText" dxfId="3" text="AST">
      <formula>NOT(ISERROR(SEARCH("AST",T64)))</formula>
    </cfRule>
    <cfRule type="containsText" priority="242" operator="containsText" dxfId="2" text="F">
      <formula>NOT(ISERROR(SEARCH("F",T64)))</formula>
    </cfRule>
    <cfRule type="containsText" priority="243" operator="containsText" dxfId="1" text="MI">
      <formula>NOT(ISERROR(SEARCH("MI",T64)))</formula>
    </cfRule>
    <cfRule type="containsText" priority="244" operator="containsText" dxfId="0" text="P">
      <formula>NOT(ISERROR(SEARCH("P",T64)))</formula>
    </cfRule>
  </conditionalFormatting>
  <conditionalFormatting sqref="V66">
    <cfRule type="beginsWith" priority="105" operator="beginsWith" dxfId="4" text="CA">
      <formula>LEFT(V66,LEN("CA"))="CA"</formula>
    </cfRule>
    <cfRule type="containsText" priority="106" operator="containsText" dxfId="3" text="AST">
      <formula>NOT(ISERROR(SEARCH("AST",V66)))</formula>
    </cfRule>
    <cfRule type="containsText" priority="107" operator="containsText" dxfId="2" text="F">
      <formula>NOT(ISERROR(SEARCH("F",V66)))</formula>
    </cfRule>
    <cfRule type="containsText" priority="108" operator="containsText" dxfId="1" text="PC">
      <formula>NOT(ISERROR(SEARCH("PC",V66)))</formula>
    </cfRule>
    <cfRule type="containsText" priority="109" operator="containsText" dxfId="0" text="P">
      <formula>NOT(ISERROR(SEARCH("P",V66)))</formula>
    </cfRule>
  </conditionalFormatting>
  <conditionalFormatting sqref="V23:Z24">
    <cfRule type="beginsWith" priority="211" operator="beginsWith" dxfId="4" text="CA">
      <formula>LEFT(V23,LEN("CA"))="CA"</formula>
    </cfRule>
    <cfRule type="containsText" priority="212" operator="containsText" dxfId="3" text="AST">
      <formula>NOT(ISERROR(SEARCH("AST",V23)))</formula>
    </cfRule>
    <cfRule type="containsText" priority="213" operator="containsText" dxfId="2" text="F">
      <formula>NOT(ISERROR(SEARCH("F",V23)))</formula>
    </cfRule>
    <cfRule type="containsText" priority="214" operator="containsText" dxfId="1" text="PC">
      <formula>NOT(ISERROR(SEARCH("PC",V23)))</formula>
    </cfRule>
    <cfRule type="containsText" priority="215" operator="containsText" dxfId="0" text="P">
      <formula>NOT(ISERROR(SEARCH("P",V23)))</formula>
    </cfRule>
  </conditionalFormatting>
  <conditionalFormatting sqref="V26:Z28">
    <cfRule type="beginsWith" priority="196" operator="beginsWith" dxfId="4" text="CA">
      <formula>LEFT(V26,LEN("CA"))="CA"</formula>
    </cfRule>
    <cfRule type="containsText" priority="197" operator="containsText" dxfId="3" text="AST">
      <formula>NOT(ISERROR(SEARCH("AST",V26)))</formula>
    </cfRule>
    <cfRule type="containsText" priority="198" operator="containsText" dxfId="2" text="F">
      <formula>NOT(ISERROR(SEARCH("F",V26)))</formula>
    </cfRule>
    <cfRule type="containsText" priority="199" operator="containsText" dxfId="1" text="PC">
      <formula>NOT(ISERROR(SEARCH("PC",V26)))</formula>
    </cfRule>
    <cfRule type="containsText" priority="200" operator="containsText" dxfId="0" text="P">
      <formula>NOT(ISERROR(SEARCH("P",V26)))</formula>
    </cfRule>
  </conditionalFormatting>
  <conditionalFormatting sqref="V51:Z62">
    <cfRule type="beginsWith" priority="132" operator="beginsWith" dxfId="4" text="CA">
      <formula>LEFT(V51,LEN("CA"))="CA"</formula>
    </cfRule>
    <cfRule type="containsText" priority="133" operator="containsText" dxfId="3" text="AST">
      <formula>NOT(ISERROR(SEARCH("AST",V51)))</formula>
    </cfRule>
    <cfRule type="containsText" priority="134" operator="containsText" dxfId="2" text="F">
      <formula>NOT(ISERROR(SEARCH("F",V51)))</formula>
    </cfRule>
    <cfRule type="containsText" priority="135" operator="containsText" dxfId="1" text="PC">
      <formula>NOT(ISERROR(SEARCH("PC",V51)))</formula>
    </cfRule>
    <cfRule type="containsText" priority="136" operator="containsText" dxfId="0" text="P">
      <formula>NOT(ISERROR(SEARCH("P",V51)))</formula>
    </cfRule>
  </conditionalFormatting>
  <conditionalFormatting sqref="V65:Z65 Z66">
    <cfRule type="beginsWith" priority="90" operator="beginsWith" dxfId="4" text="CA">
      <formula>LEFT(V65,LEN("CA"))="CA"</formula>
    </cfRule>
    <cfRule type="containsText" priority="91" operator="containsText" dxfId="3" text="AST">
      <formula>NOT(ISERROR(SEARCH("AST",V65)))</formula>
    </cfRule>
    <cfRule type="containsText" priority="92" operator="containsText" dxfId="2" text="F">
      <formula>NOT(ISERROR(SEARCH("F",V65)))</formula>
    </cfRule>
    <cfRule type="containsText" priority="93" operator="containsText" dxfId="1" text="PC">
      <formula>NOT(ISERROR(SEARCH("PC",V65)))</formula>
    </cfRule>
    <cfRule type="containsText" priority="94" operator="containsText" dxfId="0" text="P">
      <formula>NOT(ISERROR(SEARCH("P",V65)))</formula>
    </cfRule>
  </conditionalFormatting>
  <conditionalFormatting sqref="V67:Z69">
    <cfRule type="beginsWith" priority="85" operator="beginsWith" dxfId="4" text="CA">
      <formula>LEFT(V67,LEN("CA"))="CA"</formula>
    </cfRule>
    <cfRule type="containsText" priority="86" operator="containsText" dxfId="3" text="AST">
      <formula>NOT(ISERROR(SEARCH("AST",V67)))</formula>
    </cfRule>
    <cfRule type="containsText" priority="87" operator="containsText" dxfId="2" text="F">
      <formula>NOT(ISERROR(SEARCH("F",V67)))</formula>
    </cfRule>
    <cfRule type="containsText" priority="88" operator="containsText" dxfId="1" text="PC">
      <formula>NOT(ISERROR(SEARCH("PC",V67)))</formula>
    </cfRule>
    <cfRule type="containsText" priority="89" operator="containsText" dxfId="0" text="P">
      <formula>NOT(ISERROR(SEARCH("P",V67)))</formula>
    </cfRule>
  </conditionalFormatting>
  <conditionalFormatting sqref="V39:V45 V47:Z49 W39:AS39 W40:Z45">
    <cfRule type="beginsWith" priority="159" operator="beginsWith" dxfId="4" text="CA">
      <formula>LEFT(V39,LEN("CA"))="CA"</formula>
    </cfRule>
    <cfRule type="containsText" priority="160" operator="containsText" dxfId="3" text="AST">
      <formula>NOT(ISERROR(SEARCH("AST",V39)))</formula>
    </cfRule>
    <cfRule type="containsText" priority="161" operator="containsText" dxfId="2" text="F">
      <formula>NOT(ISERROR(SEARCH("F",V39)))</formula>
    </cfRule>
    <cfRule type="containsText" priority="162" operator="containsText" dxfId="1" text="PC">
      <formula>NOT(ISERROR(SEARCH("PC",V39)))</formula>
    </cfRule>
    <cfRule type="containsText" priority="163" operator="containsText" dxfId="0" text="P">
      <formula>NOT(ISERROR(SEARCH("P",V39)))</formula>
    </cfRule>
  </conditionalFormatting>
  <conditionalFormatting sqref="X20">
    <cfRule type="colorScale" priority="23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priority="100" operator="beginsWith" dxfId="4" text="CA">
      <formula>LEFT(X66,LEN("CA"))="CA"</formula>
    </cfRule>
    <cfRule type="containsText" priority="101" operator="containsText" dxfId="3" text="AST">
      <formula>NOT(ISERROR(SEARCH("AST",X66)))</formula>
    </cfRule>
    <cfRule type="containsText" priority="102" operator="containsText" dxfId="2" text="F">
      <formula>NOT(ISERROR(SEARCH("F",X66)))</formula>
    </cfRule>
    <cfRule type="containsText" priority="103" operator="containsText" dxfId="1" text="PC">
      <formula>NOT(ISERROR(SEARCH("PC",X66)))</formula>
    </cfRule>
    <cfRule type="containsText" priority="104" operator="containsText" dxfId="0" text="P">
      <formula>NOT(ISERROR(SEARCH("P",X66)))</formula>
    </cfRule>
  </conditionalFormatting>
  <conditionalFormatting sqref="Z66">
    <cfRule type="beginsWith" priority="95" operator="beginsWith" dxfId="4" text="CA">
      <formula>LEFT(Z66,LEN("CA"))="CA"</formula>
    </cfRule>
    <cfRule type="containsText" priority="96" operator="containsText" dxfId="3" text="AST">
      <formula>NOT(ISERROR(SEARCH("AST",Z66)))</formula>
    </cfRule>
    <cfRule type="containsText" priority="97" operator="containsText" dxfId="2" text="F">
      <formula>NOT(ISERROR(SEARCH("F",Z66)))</formula>
    </cfRule>
    <cfRule type="containsText" priority="98" operator="containsText" dxfId="1" text="PC">
      <formula>NOT(ISERROR(SEARCH("PC",Z66)))</formula>
    </cfRule>
    <cfRule type="containsText" priority="99" operator="containsText" dxfId="0" text="P">
      <formula>NOT(ISERROR(SEARCH("P",Z66)))</formula>
    </cfRule>
  </conditionalFormatting>
  <conditionalFormatting sqref="AC23:AG24">
    <cfRule type="containsText" priority="45" operator="containsText" dxfId="10" text="TP">
      <formula>NOT(ISERROR(SEARCH("TP",AC23)))</formula>
    </cfRule>
    <cfRule type="containsText" priority="47" operator="containsText" dxfId="9" text="AT">
      <formula>NOT(ISERROR(SEARCH("AT",AC23)))</formula>
    </cfRule>
    <cfRule type="containsText" priority="48" operator="containsText" dxfId="8" text="MA">
      <formula>NOT(ISERROR(SEARCH("MA",AC23)))</formula>
    </cfRule>
    <cfRule type="containsText" priority="49" operator="containsText" dxfId="7" text="RES">
      <formula>NOT(ISERROR(SEARCH("RES",AC23)))</formula>
    </cfRule>
    <cfRule type="containsText" priority="50" operator="containsText" dxfId="6" text="CEX">
      <formula>NOT(ISERROR(SEARCH("CEX",AC23)))</formula>
    </cfRule>
    <cfRule type="containsText" priority="51" operator="containsText" dxfId="5" text="RTT">
      <formula>NOT(ISERROR(SEARCH("RTT",AC23)))</formula>
    </cfRule>
    <cfRule type="containsText" priority="52" operator="containsText" dxfId="4" text="C">
      <formula>NOT(ISERROR(SEARCH("C",AC23)))</formula>
    </cfRule>
    <cfRule type="containsText" priority="53" operator="containsText" dxfId="3" text="AST">
      <formula>NOT(ISERROR(SEARCH("AST",AC23)))</formula>
    </cfRule>
    <cfRule type="containsText" priority="54" operator="containsText" dxfId="2" text="F">
      <formula>NOT(ISERROR(SEARCH("F",AC23)))</formula>
    </cfRule>
    <cfRule type="containsText" priority="55" operator="containsText" dxfId="1" text="MI">
      <formula>NOT(ISERROR(SEARCH("MI",AC23)))</formula>
    </cfRule>
    <cfRule type="containsText" priority="56" operator="containsText" dxfId="0" text="P">
      <formula>NOT(ISERROR(SEARCH("P",AC23)))</formula>
    </cfRule>
  </conditionalFormatting>
  <conditionalFormatting sqref="AC26:AG28">
    <cfRule type="beginsWith" priority="191" operator="beginsWith" dxfId="4" text="CA">
      <formula>LEFT(AC26,LEN("CA"))="CA"</formula>
    </cfRule>
    <cfRule type="containsText" priority="192" operator="containsText" dxfId="3" text="AST">
      <formula>NOT(ISERROR(SEARCH("AST",AC26)))</formula>
    </cfRule>
    <cfRule type="containsText" priority="193" operator="containsText" dxfId="2" text="F">
      <formula>NOT(ISERROR(SEARCH("F",AC26)))</formula>
    </cfRule>
    <cfRule type="containsText" priority="194" operator="containsText" dxfId="1" text="PC">
      <formula>NOT(ISERROR(SEARCH("PC",AC26)))</formula>
    </cfRule>
    <cfRule type="containsText" priority="195" operator="containsText" dxfId="0" text="P">
      <formula>NOT(ISERROR(SEARCH("P",AC26)))</formula>
    </cfRule>
  </conditionalFormatting>
  <conditionalFormatting sqref="AC39:AG45 AC47:AG49 AH42:AN42">
    <cfRule type="containsText" priority="155" operator="containsText" dxfId="3" text="AST">
      <formula>NOT(ISERROR(SEARCH("AST",AC39)))</formula>
    </cfRule>
    <cfRule type="containsText" priority="156" operator="containsText" dxfId="2" text="F">
      <formula>NOT(ISERROR(SEARCH("F",AC39)))</formula>
    </cfRule>
    <cfRule type="containsText" priority="157" operator="containsText" dxfId="1" text="PC">
      <formula>NOT(ISERROR(SEARCH("PC",AC39)))</formula>
    </cfRule>
    <cfRule type="containsText" priority="158" operator="containsText" dxfId="0" text="P">
      <formula>NOT(ISERROR(SEARCH("P",AC39)))</formula>
    </cfRule>
    <cfRule type="beginsWith" priority="154" operator="beginsWith" dxfId="4" text="CA">
      <formula>LEFT(AC39,LEN("CA"))="CA"</formula>
    </cfRule>
  </conditionalFormatting>
  <conditionalFormatting sqref="AC51:AG62 AH57:AN57">
    <cfRule type="containsText" priority="128" operator="containsText" dxfId="3" text="AST">
      <formula>NOT(ISERROR(SEARCH("AST",AC51)))</formula>
    </cfRule>
    <cfRule type="containsText" priority="129" operator="containsText" dxfId="2" text="F">
      <formula>NOT(ISERROR(SEARCH("F",AC51)))</formula>
    </cfRule>
    <cfRule type="containsText" priority="130" operator="containsText" dxfId="1" text="PC">
      <formula>NOT(ISERROR(SEARCH("PC",AC51)))</formula>
    </cfRule>
    <cfRule type="containsText" priority="131" operator="containsText" dxfId="0" text="P">
      <formula>NOT(ISERROR(SEARCH("P",AC51)))</formula>
    </cfRule>
    <cfRule type="beginsWith" priority="127" operator="beginsWith" dxfId="4" text="CA">
      <formula>LEFT(AC51,LEN("CA"))="CA"</formula>
    </cfRule>
  </conditionalFormatting>
  <conditionalFormatting sqref="AC64:AG65 AD66:AD67 AF66:AF67">
    <cfRule type="containsText" priority="75" operator="containsText" dxfId="3" text="AST">
      <formula>NOT(ISERROR(SEARCH("AST",AC64)))</formula>
    </cfRule>
    <cfRule type="containsText" priority="76" operator="containsText" dxfId="2" text="F">
      <formula>NOT(ISERROR(SEARCH("F",AC64)))</formula>
    </cfRule>
    <cfRule type="containsText" priority="77" operator="containsText" dxfId="1" text="PC">
      <formula>NOT(ISERROR(SEARCH("PC",AC64)))</formula>
    </cfRule>
    <cfRule type="containsText" priority="78" operator="containsText" dxfId="0" text="P">
      <formula>NOT(ISERROR(SEARCH("P",AC64)))</formula>
    </cfRule>
    <cfRule type="beginsWith" priority="74" operator="beginsWith" dxfId="4" text="CA">
      <formula>LEFT(AC64,LEN("CA"))="CA"</formula>
    </cfRule>
  </conditionalFormatting>
  <conditionalFormatting sqref="AC67:AG67">
    <cfRule type="containsText" priority="34" operator="containsText" dxfId="10" text="TP">
      <formula>NOT(ISERROR(SEARCH("TP",AC67)))</formula>
    </cfRule>
    <cfRule type="containsText" priority="35" operator="containsText" dxfId="9" text="AT">
      <formula>NOT(ISERROR(SEARCH("AT",AC67)))</formula>
    </cfRule>
    <cfRule type="containsText" priority="36" operator="containsText" dxfId="8" text="MA">
      <formula>NOT(ISERROR(SEARCH("MA",AC67)))</formula>
    </cfRule>
    <cfRule type="containsText" priority="37" operator="containsText" dxfId="7" text="RES">
      <formula>NOT(ISERROR(SEARCH("RES",AC67)))</formula>
    </cfRule>
    <cfRule type="containsText" priority="38" operator="containsText" dxfId="6" text="CEX">
      <formula>NOT(ISERROR(SEARCH("CEX",AC67)))</formula>
    </cfRule>
    <cfRule type="containsText" priority="39" operator="containsText" dxfId="5" text="RTT">
      <formula>NOT(ISERROR(SEARCH("RTT",AC67)))</formula>
    </cfRule>
  </conditionalFormatting>
  <conditionalFormatting sqref="AC67:AG69">
    <cfRule type="beginsWith" priority="40" operator="beginsWith" dxfId="4" text="CA">
      <formula>LEFT(AC67,LEN("CA"))="CA"</formula>
    </cfRule>
    <cfRule type="containsText" priority="41" operator="containsText" dxfId="3" text="AST">
      <formula>NOT(ISERROR(SEARCH("AST",AC67)))</formula>
    </cfRule>
    <cfRule type="containsText" priority="42" operator="containsText" dxfId="2" text="F">
      <formula>NOT(ISERROR(SEARCH("F",AC67)))</formula>
    </cfRule>
    <cfRule type="containsText" priority="43" operator="containsText" dxfId="1" text="PC">
      <formula>NOT(ISERROR(SEARCH("PC",AC67)))</formula>
    </cfRule>
    <cfRule type="containsText" priority="44" operator="containsText" dxfId="0" text="P">
      <formula>NOT(ISERROR(SEARCH("P",AC67)))</formula>
    </cfRule>
  </conditionalFormatting>
  <conditionalFormatting sqref="AH31:AI36">
    <cfRule type="containsText" priority="6" operator="containsText" dxfId="4" text="C">
      <formula>NOT(ISERROR(SEARCH("C",AH31)))</formula>
    </cfRule>
    <cfRule type="containsText" priority="7" operator="containsText" dxfId="3" text="AST">
      <formula>NOT(ISERROR(SEARCH("AST",AH31)))</formula>
    </cfRule>
    <cfRule type="containsText" priority="8" operator="containsText" dxfId="2" text="F">
      <formula>NOT(ISERROR(SEARCH("F",AH31)))</formula>
    </cfRule>
    <cfRule type="containsText" priority="9" operator="containsText" dxfId="1" text="MI">
      <formula>NOT(ISERROR(SEARCH("MI",AH31)))</formula>
    </cfRule>
    <cfRule type="containsText" priority="10" operator="containsText" dxfId="0" text="P">
      <formula>NOT(ISERROR(SEARCH("P",AH31)))</formula>
    </cfRule>
  </conditionalFormatting>
  <conditionalFormatting sqref="AJ39:AN45 AJ47:AN49">
    <cfRule type="beginsWith" priority="149" operator="beginsWith" dxfId="4" text="CA">
      <formula>LEFT(AJ39,LEN("CA"))="CA"</formula>
    </cfRule>
    <cfRule type="containsText" priority="150" operator="containsText" dxfId="3" text="AST">
      <formula>NOT(ISERROR(SEARCH("AST",AJ39)))</formula>
    </cfRule>
    <cfRule type="containsText" priority="151" operator="containsText" dxfId="2" text="F">
      <formula>NOT(ISERROR(SEARCH("F",AJ39)))</formula>
    </cfRule>
    <cfRule type="containsText" priority="152" operator="containsText" dxfId="1" text="PC">
      <formula>NOT(ISERROR(SEARCH("PC",AJ39)))</formula>
    </cfRule>
    <cfRule type="containsText" priority="153" operator="containsText" dxfId="0" text="P">
      <formula>NOT(ISERROR(SEARCH("P",AJ39)))</formula>
    </cfRule>
  </conditionalFormatting>
  <conditionalFormatting sqref="AJ51:AN62">
    <cfRule type="beginsWith" priority="122" operator="beginsWith" dxfId="4" text="CA">
      <formula>LEFT(AJ51,LEN("CA"))="CA"</formula>
    </cfRule>
    <cfRule type="containsText" priority="123" operator="containsText" dxfId="3" text="AST">
      <formula>NOT(ISERROR(SEARCH("AST",AJ51)))</formula>
    </cfRule>
    <cfRule type="containsText" priority="124" operator="containsText" dxfId="2" text="F">
      <formula>NOT(ISERROR(SEARCH("F",AJ51)))</formula>
    </cfRule>
    <cfRule type="containsText" priority="125" operator="containsText" dxfId="1" text="PC">
      <formula>NOT(ISERROR(SEARCH("PC",AJ51)))</formula>
    </cfRule>
    <cfRule type="containsText" priority="126" operator="containsText" dxfId="0" text="P">
      <formula>NOT(ISERROR(SEARCH("P",AJ51)))</formula>
    </cfRule>
  </conditionalFormatting>
  <conditionalFormatting sqref="AJ65:AN65">
    <cfRule type="beginsWith" priority="69" operator="beginsWith" dxfId="4" text="CA">
      <formula>LEFT(AJ65,LEN("CA"))="CA"</formula>
    </cfRule>
    <cfRule type="containsText" priority="70" operator="containsText" dxfId="3" text="AST">
      <formula>NOT(ISERROR(SEARCH("AST",AJ65)))</formula>
    </cfRule>
    <cfRule type="containsText" priority="71" operator="containsText" dxfId="2" text="F">
      <formula>NOT(ISERROR(SEARCH("F",AJ65)))</formula>
    </cfRule>
    <cfRule type="containsText" priority="72" operator="containsText" dxfId="1" text="PC">
      <formula>NOT(ISERROR(SEARCH("PC",AJ65)))</formula>
    </cfRule>
    <cfRule type="containsText" priority="73" operator="containsText" dxfId="0" text="P">
      <formula>NOT(ISERROR(SEARCH("P",AJ65)))</formula>
    </cfRule>
  </conditionalFormatting>
  <conditionalFormatting sqref="AJ67:AN67">
    <cfRule type="containsText" priority="23" operator="containsText" dxfId="10" text="TP">
      <formula>NOT(ISERROR(SEARCH("TP",AJ67)))</formula>
    </cfRule>
    <cfRule type="containsText" priority="24" operator="containsText" dxfId="9" text="AT">
      <formula>NOT(ISERROR(SEARCH("AT",AJ67)))</formula>
    </cfRule>
    <cfRule type="containsText" priority="25" operator="containsText" dxfId="8" text="MA">
      <formula>NOT(ISERROR(SEARCH("MA",AJ67)))</formula>
    </cfRule>
    <cfRule type="containsText" priority="26" operator="containsText" dxfId="7" text="RES">
      <formula>NOT(ISERROR(SEARCH("RES",AJ67)))</formula>
    </cfRule>
    <cfRule type="containsText" priority="27" operator="containsText" dxfId="6" text="CEX">
      <formula>NOT(ISERROR(SEARCH("CEX",AJ67)))</formula>
    </cfRule>
    <cfRule type="containsText" priority="28" operator="containsText" dxfId="5" text="RTT">
      <formula>NOT(ISERROR(SEARCH("RTT",AJ67)))</formula>
    </cfRule>
  </conditionalFormatting>
  <conditionalFormatting sqref="AJ67:AN69">
    <cfRule type="beginsWith" priority="29" operator="beginsWith" dxfId="4" text="CA">
      <formula>LEFT(AJ67,LEN("CA"))="CA"</formula>
    </cfRule>
    <cfRule type="containsText" priority="30" operator="containsText" dxfId="3" text="AST">
      <formula>NOT(ISERROR(SEARCH("AST",AJ67)))</formula>
    </cfRule>
    <cfRule type="containsText" priority="31" operator="containsText" dxfId="2" text="F">
      <formula>NOT(ISERROR(SEARCH("F",AJ67)))</formula>
    </cfRule>
    <cfRule type="containsText" priority="32" operator="containsText" dxfId="1" text="PC">
      <formula>NOT(ISERROR(SEARCH("PC",AJ67)))</formula>
    </cfRule>
    <cfRule type="containsText" priority="33" operator="containsText" dxfId="0" text="P">
      <formula>NOT(ISERROR(SEARCH("P",AJ67)))</formula>
    </cfRule>
  </conditionalFormatting>
  <conditionalFormatting sqref="AK23:AN24">
    <cfRule type="beginsWith" priority="206" operator="beginsWith" dxfId="4" text="CA">
      <formula>LEFT(AK23,LEN("CA"))="CA"</formula>
    </cfRule>
    <cfRule type="containsText" priority="207" operator="containsText" dxfId="3" text="AST">
      <formula>NOT(ISERROR(SEARCH("AST",AK23)))</formula>
    </cfRule>
    <cfRule type="containsText" priority="208" operator="containsText" dxfId="2" text="F">
      <formula>NOT(ISERROR(SEARCH("F",AK23)))</formula>
    </cfRule>
    <cfRule type="containsText" priority="209" operator="containsText" dxfId="1" text="PC">
      <formula>NOT(ISERROR(SEARCH("PC",AK23)))</formula>
    </cfRule>
    <cfRule type="containsText" priority="210" operator="containsText" dxfId="0" text="P">
      <formula>NOT(ISERROR(SEARCH("P",AK23)))</formula>
    </cfRule>
  </conditionalFormatting>
  <conditionalFormatting sqref="AK26:AN28">
    <cfRule type="beginsWith" priority="186" operator="beginsWith" dxfId="4" text="CA">
      <formula>LEFT(AK26,LEN("CA"))="CA"</formula>
    </cfRule>
    <cfRule type="containsText" priority="187" operator="containsText" dxfId="3" text="AST">
      <formula>NOT(ISERROR(SEARCH("AST",AK26)))</formula>
    </cfRule>
    <cfRule type="containsText" priority="188" operator="containsText" dxfId="2" text="F">
      <formula>NOT(ISERROR(SEARCH("F",AK26)))</formula>
    </cfRule>
    <cfRule type="containsText" priority="189" operator="containsText" dxfId="1" text="PC">
      <formula>NOT(ISERROR(SEARCH("PC",AK26)))</formula>
    </cfRule>
    <cfRule type="containsText" priority="190" operator="containsText" dxfId="0" text="P">
      <formula>NOT(ISERROR(SEARCH("P",AK26)))</formula>
    </cfRule>
  </conditionalFormatting>
  <conditionalFormatting sqref="AM20">
    <cfRule type="colorScale" priority="22">
      <colorScale>
        <cfvo type="min"/>
        <cfvo type="max"/>
        <color rgb="FFFF7128"/>
        <color rgb="FFFFEF9C"/>
      </colorScale>
    </cfRule>
  </conditionalFormatting>
  <conditionalFormatting sqref="AO31:AP36">
    <cfRule type="containsText" priority="1" operator="containsText" dxfId="4" text="C">
      <formula>NOT(ISERROR(SEARCH("C",AO31)))</formula>
    </cfRule>
    <cfRule type="containsText" priority="2" operator="containsText" dxfId="3" text="AST">
      <formula>NOT(ISERROR(SEARCH("AST",AO31)))</formula>
    </cfRule>
    <cfRule type="containsText" priority="3" operator="containsText" dxfId="2" text="F">
      <formula>NOT(ISERROR(SEARCH("F",AO31)))</formula>
    </cfRule>
    <cfRule type="containsText" priority="4" operator="containsText" dxfId="1" text="MI">
      <formula>NOT(ISERROR(SEARCH("MI",AO31)))</formula>
    </cfRule>
    <cfRule type="containsText" priority="5" operator="containsText" dxfId="0" text="P">
      <formula>NOT(ISERROR(SEARCH("P",AO31)))</formula>
    </cfRule>
  </conditionalFormatting>
  <conditionalFormatting sqref="AO64:AS65">
    <cfRule type="containsText" priority="67" operator="containsText" text="TAD">
      <formula>NOT(ISERROR(SEARCH("TAD",AO64)))</formula>
    </cfRule>
  </conditionalFormatting>
  <conditionalFormatting sqref="AQ66">
    <cfRule type="beginsWith" priority="62" operator="beginsWith" dxfId="4" text="CA">
      <formula>LEFT(AQ66,LEN("CA"))="CA"</formula>
    </cfRule>
    <cfRule type="containsText" priority="63" operator="containsText" dxfId="3" text="AST">
      <formula>NOT(ISERROR(SEARCH("AST",AQ66)))</formula>
    </cfRule>
    <cfRule type="containsText" priority="64" operator="containsText" dxfId="2" text="F">
      <formula>NOT(ISERROR(SEARCH("F",AQ66)))</formula>
    </cfRule>
    <cfRule type="containsText" priority="65" operator="containsText" dxfId="1" text="PC">
      <formula>NOT(ISERROR(SEARCH("PC",AQ66)))</formula>
    </cfRule>
    <cfRule type="containsText" priority="66" operator="containsText" dxfId="0" text="P">
      <formula>NOT(ISERROR(SEARCH("P",AQ66)))</formula>
    </cfRule>
  </conditionalFormatting>
  <conditionalFormatting sqref="AM20:AN20 AQ20:AS20">
    <cfRule type="colorScale" priority="238">
      <colorScale>
        <cfvo type="min"/>
        <cfvo type="max"/>
        <color rgb="FFFF7128"/>
        <color rgb="FFFFEF9C"/>
      </colorScale>
    </cfRule>
  </conditionalFormatting>
  <conditionalFormatting sqref="AQ23:AS24">
    <cfRule type="beginsWith" priority="201" operator="beginsWith" dxfId="4" text="CA">
      <formula>LEFT(AQ23,LEN("CA"))="CA"</formula>
    </cfRule>
    <cfRule type="containsText" priority="202" operator="containsText" dxfId="3" text="AST">
      <formula>NOT(ISERROR(SEARCH("AST",AQ23)))</formula>
    </cfRule>
    <cfRule type="containsText" priority="203" operator="containsText" dxfId="2" text="F">
      <formula>NOT(ISERROR(SEARCH("F",AQ23)))</formula>
    </cfRule>
    <cfRule type="containsText" priority="204" operator="containsText" dxfId="1" text="PC">
      <formula>NOT(ISERROR(SEARCH("PC",AQ23)))</formula>
    </cfRule>
    <cfRule type="containsText" priority="205" operator="containsText" dxfId="0" text="P">
      <formula>NOT(ISERROR(SEARCH("P",AQ23)))</formula>
    </cfRule>
  </conditionalFormatting>
  <conditionalFormatting sqref="AQ26:AS28">
    <cfRule type="beginsWith" priority="181" operator="beginsWith" dxfId="4" text="CA">
      <formula>LEFT(AQ26,LEN("CA"))="CA"</formula>
    </cfRule>
    <cfRule type="containsText" priority="182" operator="containsText" dxfId="3" text="AST">
      <formula>NOT(ISERROR(SEARCH("AST",AQ26)))</formula>
    </cfRule>
    <cfRule type="containsText" priority="183" operator="containsText" dxfId="2" text="F">
      <formula>NOT(ISERROR(SEARCH("F",AQ26)))</formula>
    </cfRule>
    <cfRule type="containsText" priority="184" operator="containsText" dxfId="1" text="PC">
      <formula>NOT(ISERROR(SEARCH("PC",AQ26)))</formula>
    </cfRule>
    <cfRule type="containsText" priority="185" operator="containsText" dxfId="0" text="P">
      <formula>NOT(ISERROR(SEARCH("P",AQ26)))</formula>
    </cfRule>
  </conditionalFormatting>
  <conditionalFormatting sqref="AQ39:AS45 AQ47:AS49">
    <cfRule type="beginsWith" priority="144" operator="beginsWith" dxfId="4" text="CA">
      <formula>LEFT(AQ39,LEN("CA"))="CA"</formula>
    </cfRule>
    <cfRule type="containsText" priority="145" operator="containsText" dxfId="3" text="AST">
      <formula>NOT(ISERROR(SEARCH("AST",AQ39)))</formula>
    </cfRule>
    <cfRule type="containsText" priority="146" operator="containsText" dxfId="2" text="F">
      <formula>NOT(ISERROR(SEARCH("F",AQ39)))</formula>
    </cfRule>
    <cfRule type="containsText" priority="147" operator="containsText" dxfId="1" text="PC">
      <formula>NOT(ISERROR(SEARCH("PC",AQ39)))</formula>
    </cfRule>
    <cfRule type="containsText" priority="148" operator="containsText" dxfId="0" text="P">
      <formula>NOT(ISERROR(SEARCH("P",AQ39)))</formula>
    </cfRule>
  </conditionalFormatting>
  <conditionalFormatting sqref="AQ64:AS69">
    <cfRule type="beginsWith" priority="17" operator="beginsWith" dxfId="4" text="CA">
      <formula>LEFT(AQ64,LEN("CA"))="CA"</formula>
    </cfRule>
    <cfRule type="containsText" priority="18" operator="containsText" dxfId="3" text="AST">
      <formula>NOT(ISERROR(SEARCH("AST",AQ64)))</formula>
    </cfRule>
    <cfRule type="containsText" priority="19" operator="containsText" dxfId="2" text="F">
      <formula>NOT(ISERROR(SEARCH("F",AQ64)))</formula>
    </cfRule>
    <cfRule type="containsText" priority="20" operator="containsText" dxfId="1" text="PC">
      <formula>NOT(ISERROR(SEARCH("PC",AQ64)))</formula>
    </cfRule>
    <cfRule type="containsText" priority="21" operator="containsText" dxfId="0" text="P">
      <formula>NOT(ISERROR(SEARCH("P",AQ64)))</formula>
    </cfRule>
  </conditionalFormatting>
  <conditionalFormatting sqref="AQ66:AS67">
    <cfRule type="containsText" priority="11" operator="containsText" dxfId="10" text="TP">
      <formula>NOT(ISERROR(SEARCH("TP",AQ66)))</formula>
    </cfRule>
    <cfRule type="containsText" priority="12" operator="containsText" dxfId="9" text="AT">
      <formula>NOT(ISERROR(SEARCH("AT",AQ66)))</formula>
    </cfRule>
    <cfRule type="containsText" priority="13" operator="containsText" dxfId="8" text="MA">
      <formula>NOT(ISERROR(SEARCH("MA",AQ66)))</formula>
    </cfRule>
    <cfRule type="containsText" priority="14" operator="containsText" dxfId="7" text="RES">
      <formula>NOT(ISERROR(SEARCH("RES",AQ66)))</formula>
    </cfRule>
    <cfRule type="containsText" priority="15" operator="containsText" dxfId="6" text="CEX">
      <formula>NOT(ISERROR(SEARCH("CEX",AQ66)))</formula>
    </cfRule>
    <cfRule type="containsText" priority="16" operator="containsText" dxfId="5" text="RTT">
      <formula>NOT(ISERROR(SEARCH("RTT",AQ66)))</formula>
    </cfRule>
  </conditionalFormatting>
  <conditionalFormatting sqref="AS66">
    <cfRule type="beginsWith" priority="57" operator="beginsWith" dxfId="4" text="CA">
      <formula>LEFT(AS66,LEN("CA"))="CA"</formula>
    </cfRule>
    <cfRule type="containsText" priority="58" operator="containsText" dxfId="3" text="AST">
      <formula>NOT(ISERROR(SEARCH("AST",AS66)))</formula>
    </cfRule>
    <cfRule type="containsText" priority="59" operator="containsText" dxfId="2" text="F">
      <formula>NOT(ISERROR(SEARCH("F",AS66)))</formula>
    </cfRule>
    <cfRule type="containsText" priority="60" operator="containsText" dxfId="1" text="PC">
      <formula>NOT(ISERROR(SEARCH("PC",AS66)))</formula>
    </cfRule>
    <cfRule type="containsText" priority="61" operator="containsText" dxfId="0" text="P">
      <formula>NOT(ISERROR(SEARCH("P",AS66)))</formula>
    </cfRule>
  </conditionalFormatting>
  <dataValidations count="5">
    <dataValidation sqref="P11:AS20 P26:S29 P31:S36 P39:S49 P51:S62 P64:S69 Q23:S24 V23:Z24 V26:Z29 V31:Z36 V39:Z49 V51:Z62 V64:V69 W64:W65 W67:W69 X64:X69 Y64:Y65 Y67:Y69 Z64:Z69 AC26:AG28 AC29:AN29 AC31:AG36 AC39:AG49 AC51:AG62 AC64:AC65 AC67:AC69 AD64:AD69 AE64:AE65 AE67:AE69 AF64:AF69 AG64:AG65 AG67:AG69 AJ31:AN36 AJ39:AN49 AJ51:AN62 AJ64:AN69 AK23:AN24 AK26:AN28 AQ23:AS24 AQ26:AS29 AQ31:AS36 AQ39:AS49 AQ51:AS62 AQ64:AS69" showDropDown="0" showInputMessage="1" showErrorMessage="1" allowBlank="1" type="list">
      <formula1>"P, PC, F, AST, CA, RTT, CEX, RES, MA, AT, TAD, TP"</formula1>
    </dataValidation>
    <dataValidation sqref="T69:U69 AA69:AB69 AH69:AI69 AO69:AP69" showDropDown="0" showInputMessage="1" showErrorMessage="1" allowBlank="1" type="list">
      <formula1>"P, MI, F, AST, C, RTT, CEX, RES, MA, AT, TAD, TP"</formula1>
    </dataValidation>
    <dataValidation sqref="T78" showDropDown="0" showInputMessage="1" showErrorMessage="1" allowBlank="1" type="list">
      <formula1>$D$9:$O$9</formula1>
    </dataValidation>
    <dataValidation sqref="P10:AS10" showDropDown="0" showInputMessage="1" showErrorMessage="1" allowBlank="1" type="list">
      <formula1>"P,M,A,C,CEX,F,R,T,8H"</formula1>
    </dataValidation>
    <dataValidation sqref="P23:P24 T23:U24 T26:U29 T31:U36 T39:U49 T51:U62 T64:U68 W66 Y66 AA23:AJ24 AA26:AB29 AA31:AB36 AA39:AB49 AA51:AB62 AA64:AB68 AC66 AE66 AG66 AH26:AJ28 AH31:AI36 AH39:AI49 AH51:AI62 AH64:AI68 AJ66:AN66 AO23:AP24 AO26:AP29 AO31:AP36 AO39:AP49 AO51:AP62 AO64:AP68" showDropDown="0" showInputMessage="1" showErrorMessage="1" allowBlank="1" type="list">
      <formula1>"P, PC, F, AST, C,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xSplit="2" ySplit="10" topLeftCell="C17" activePane="bottomRight" state="frozen"/>
      <selection pane="topRight" activeCell="AQ41" sqref="AQ41"/>
      <selection pane="bottomLeft" activeCell="AQ41" sqref="AQ41"/>
      <selection pane="bottomRight" activeCell="A30" sqref="A30:AT30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config!B14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config!C14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</row>
    <row r="6" ht="36" customHeight="1"/>
    <row r="7" ht="36" customHeight="1"/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198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86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199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7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30" t="n"/>
      <c r="Q11" s="30" t="n"/>
      <c r="R11" s="131" t="n"/>
      <c r="S11" s="131" t="n"/>
      <c r="T11" s="30" t="n"/>
      <c r="U11" s="30" t="n"/>
      <c r="V11" s="30" t="n"/>
      <c r="W11" s="30" t="n"/>
      <c r="X11" s="30" t="n"/>
      <c r="Y11" s="131" t="n"/>
      <c r="Z11" s="131" t="n"/>
      <c r="AA11" s="30" t="n"/>
      <c r="AB11" s="30" t="n"/>
      <c r="AC11" s="30" t="n"/>
      <c r="AD11" s="30" t="n"/>
      <c r="AE11" s="30" t="n"/>
      <c r="AF11" s="131" t="n"/>
      <c r="AG11" s="131" t="n"/>
      <c r="AH11" s="30" t="n"/>
      <c r="AI11" s="30" t="n"/>
      <c r="AJ11" s="30" t="n"/>
      <c r="AK11" s="30" t="n"/>
      <c r="AL11" s="30" t="n"/>
      <c r="AM11" s="131" t="n"/>
      <c r="AN11" s="131" t="n"/>
      <c r="AO11" s="30" t="n"/>
      <c r="AP11" s="30" t="n"/>
      <c r="AQ11" s="30" t="n"/>
      <c r="AR11" s="30" t="n"/>
      <c r="AS11" s="30" t="n"/>
      <c r="AT11" s="131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121" t="n"/>
      <c r="S12" s="121" t="n"/>
      <c r="T12" s="8" t="n"/>
      <c r="U12" s="8" t="n"/>
      <c r="V12" s="8" t="n"/>
      <c r="W12" s="8" t="n"/>
      <c r="X12" s="8" t="n"/>
      <c r="Y12" s="121" t="n"/>
      <c r="Z12" s="121" t="n"/>
      <c r="AA12" s="8" t="n"/>
      <c r="AB12" s="8" t="n"/>
      <c r="AC12" s="8" t="n"/>
      <c r="AD12" s="8" t="n"/>
      <c r="AE12" s="8" t="n"/>
      <c r="AF12" s="121" t="n"/>
      <c r="AG12" s="121" t="n"/>
      <c r="AH12" s="8" t="n"/>
      <c r="AI12" s="8" t="n"/>
      <c r="AJ12" s="8" t="n"/>
      <c r="AK12" s="8" t="n"/>
      <c r="AL12" s="8" t="n"/>
      <c r="AM12" s="121" t="n"/>
      <c r="AN12" s="121" t="n"/>
      <c r="AO12" s="8" t="n"/>
      <c r="AP12" s="8" t="n"/>
      <c r="AQ12" s="8" t="n"/>
      <c r="AR12" s="8" t="n"/>
      <c r="AS12" s="8" t="n"/>
      <c r="AT12" s="121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121" t="n"/>
      <c r="S13" s="121" t="n"/>
      <c r="T13" s="8" t="n"/>
      <c r="U13" s="8" t="n"/>
      <c r="V13" s="8" t="n"/>
      <c r="W13" s="8" t="n"/>
      <c r="X13" s="8" t="n"/>
      <c r="Y13" s="121" t="n"/>
      <c r="Z13" s="121" t="n"/>
      <c r="AA13" s="8" t="n"/>
      <c r="AB13" s="8" t="n"/>
      <c r="AC13" s="8" t="n"/>
      <c r="AD13" s="8" t="n"/>
      <c r="AE13" s="8" t="n"/>
      <c r="AF13" s="121" t="n"/>
      <c r="AG13" s="121" t="n"/>
      <c r="AH13" s="8" t="n"/>
      <c r="AI13" s="8" t="n"/>
      <c r="AJ13" s="8" t="n"/>
      <c r="AK13" s="8" t="n"/>
      <c r="AL13" s="8" t="n"/>
      <c r="AM13" s="121" t="n"/>
      <c r="AN13" s="121" t="n"/>
      <c r="AO13" s="8" t="n"/>
      <c r="AP13" s="8" t="n"/>
      <c r="AQ13" s="8" t="n"/>
      <c r="AR13" s="8" t="n"/>
      <c r="AS13" s="8" t="n"/>
      <c r="AT13" s="121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121" t="n"/>
      <c r="S14" s="121" t="n"/>
      <c r="T14" s="8" t="n"/>
      <c r="U14" s="8" t="n"/>
      <c r="V14" s="8" t="n"/>
      <c r="W14" s="8" t="n"/>
      <c r="X14" s="8" t="n"/>
      <c r="Y14" s="121" t="n"/>
      <c r="Z14" s="121" t="n"/>
      <c r="AA14" s="8" t="n"/>
      <c r="AB14" s="8" t="n"/>
      <c r="AC14" s="8" t="n"/>
      <c r="AD14" s="8" t="n"/>
      <c r="AE14" s="8" t="n"/>
      <c r="AF14" s="121" t="n"/>
      <c r="AG14" s="121" t="n"/>
      <c r="AH14" s="8" t="n"/>
      <c r="AI14" s="8" t="n"/>
      <c r="AJ14" s="8" t="n"/>
      <c r="AK14" s="8" t="n"/>
      <c r="AL14" s="8" t="n"/>
      <c r="AM14" s="121" t="n"/>
      <c r="AN14" s="121" t="n"/>
      <c r="AO14" s="8" t="n"/>
      <c r="AP14" s="8" t="n"/>
      <c r="AQ14" s="8" t="n"/>
      <c r="AR14" s="8" t="n"/>
      <c r="AS14" s="8" t="n"/>
      <c r="AT14" s="121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121" t="n"/>
      <c r="S15" s="121" t="n"/>
      <c r="T15" s="8" t="n"/>
      <c r="U15" s="8" t="n"/>
      <c r="V15" s="8" t="n"/>
      <c r="W15" s="8" t="n"/>
      <c r="X15" s="8" t="n"/>
      <c r="Y15" s="121" t="n"/>
      <c r="Z15" s="121" t="n"/>
      <c r="AA15" s="8" t="n"/>
      <c r="AB15" s="8" t="n"/>
      <c r="AC15" s="8" t="n"/>
      <c r="AD15" s="8" t="n"/>
      <c r="AE15" s="8" t="n"/>
      <c r="AF15" s="121" t="n"/>
      <c r="AG15" s="121" t="n"/>
      <c r="AH15" s="8" t="n"/>
      <c r="AI15" s="8" t="n"/>
      <c r="AJ15" s="8" t="n"/>
      <c r="AK15" s="8" t="n"/>
      <c r="AL15" s="8" t="n"/>
      <c r="AM15" s="121" t="n"/>
      <c r="AN15" s="121" t="n"/>
      <c r="AO15" s="8" t="n"/>
      <c r="AP15" s="8" t="n"/>
      <c r="AQ15" s="8" t="n"/>
      <c r="AR15" s="8" t="n"/>
      <c r="AS15" s="8" t="n"/>
      <c r="AT15" s="121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121" t="n"/>
      <c r="S16" s="121" t="n"/>
      <c r="T16" s="8" t="n"/>
      <c r="U16" s="8" t="n"/>
      <c r="V16" s="8" t="n"/>
      <c r="W16" s="8" t="n"/>
      <c r="X16" s="8" t="n"/>
      <c r="Y16" s="121" t="n"/>
      <c r="Z16" s="121" t="n"/>
      <c r="AA16" s="8" t="n"/>
      <c r="AB16" s="8" t="n"/>
      <c r="AC16" s="8" t="n"/>
      <c r="AD16" s="8" t="n"/>
      <c r="AE16" s="8" t="n"/>
      <c r="AF16" s="121" t="n"/>
      <c r="AG16" s="121" t="n"/>
      <c r="AH16" s="8" t="n"/>
      <c r="AI16" s="8" t="n"/>
      <c r="AJ16" s="8" t="n"/>
      <c r="AK16" s="8" t="n"/>
      <c r="AL16" s="8" t="n"/>
      <c r="AM16" s="121" t="n"/>
      <c r="AN16" s="121" t="n"/>
      <c r="AO16" s="8" t="n"/>
      <c r="AP16" s="8" t="n"/>
      <c r="AQ16" s="8" t="n"/>
      <c r="AR16" s="8" t="n"/>
      <c r="AS16" s="8" t="n"/>
      <c r="AT16" s="121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121" t="n"/>
      <c r="S17" s="121" t="n"/>
      <c r="T17" s="8" t="n"/>
      <c r="U17" s="8" t="n"/>
      <c r="V17" s="8" t="n"/>
      <c r="W17" s="8" t="n"/>
      <c r="X17" s="8" t="n"/>
      <c r="Y17" s="121" t="n"/>
      <c r="Z17" s="121" t="n"/>
      <c r="AA17" s="8" t="n"/>
      <c r="AB17" s="8" t="n"/>
      <c r="AC17" s="8" t="n"/>
      <c r="AD17" s="8" t="n"/>
      <c r="AE17" s="8" t="n"/>
      <c r="AF17" s="121" t="n"/>
      <c r="AG17" s="121" t="n"/>
      <c r="AH17" s="8" t="n"/>
      <c r="AI17" s="8" t="n"/>
      <c r="AJ17" s="8" t="n"/>
      <c r="AK17" s="8" t="n"/>
      <c r="AL17" s="8" t="n"/>
      <c r="AM17" s="121" t="n"/>
      <c r="AN17" s="121" t="n"/>
      <c r="AO17" s="8" t="n"/>
      <c r="AP17" s="8" t="n"/>
      <c r="AQ17" s="8" t="n"/>
      <c r="AR17" s="8" t="n"/>
      <c r="AS17" s="8" t="n"/>
      <c r="AT17" s="121" t="n"/>
      <c r="AU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17" t="n"/>
      <c r="Q18" s="8" t="n"/>
      <c r="R18" s="121" t="n"/>
      <c r="S18" s="121" t="n"/>
      <c r="T18" s="8" t="n"/>
      <c r="U18" s="8" t="n"/>
      <c r="V18" s="8" t="n"/>
      <c r="W18" s="8" t="n"/>
      <c r="X18" s="8" t="n"/>
      <c r="Y18" s="121" t="n"/>
      <c r="Z18" s="121" t="n"/>
      <c r="AA18" s="8" t="n"/>
      <c r="AB18" s="8" t="n"/>
      <c r="AC18" s="8" t="n"/>
      <c r="AD18" s="8" t="n"/>
      <c r="AE18" s="8" t="n"/>
      <c r="AF18" s="121" t="n"/>
      <c r="AG18" s="121" t="n"/>
      <c r="AH18" s="8" t="n"/>
      <c r="AI18" s="8" t="n"/>
      <c r="AJ18" s="8" t="n"/>
      <c r="AK18" s="8" t="n"/>
      <c r="AL18" s="8" t="n"/>
      <c r="AM18" s="121" t="n"/>
      <c r="AN18" s="121" t="n"/>
      <c r="AO18" s="8" t="n"/>
      <c r="AP18" s="8" t="n"/>
      <c r="AQ18" s="8" t="n"/>
      <c r="AR18" s="8" t="n"/>
      <c r="AS18" s="8" t="n"/>
      <c r="AT18" s="121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121" t="n"/>
      <c r="S19" s="121" t="n"/>
      <c r="T19" s="8" t="n"/>
      <c r="U19" s="8" t="n"/>
      <c r="V19" s="8" t="n"/>
      <c r="W19" s="8" t="n"/>
      <c r="X19" s="8" t="n"/>
      <c r="Y19" s="121" t="n"/>
      <c r="Z19" s="121" t="n"/>
      <c r="AA19" s="8" t="n"/>
      <c r="AB19" s="8" t="n"/>
      <c r="AC19" s="8" t="n"/>
      <c r="AD19" s="8" t="n"/>
      <c r="AE19" s="8" t="n"/>
      <c r="AF19" s="121" t="n"/>
      <c r="AG19" s="121" t="n"/>
      <c r="AH19" s="8" t="n"/>
      <c r="AI19" s="8" t="n"/>
      <c r="AJ19" s="8" t="n"/>
      <c r="AK19" s="8" t="n"/>
      <c r="AL19" s="8" t="n"/>
      <c r="AM19" s="121" t="n"/>
      <c r="AN19" s="121" t="n"/>
      <c r="AO19" s="8" t="n"/>
      <c r="AP19" s="8" t="n"/>
      <c r="AQ19" s="8" t="n"/>
      <c r="AR19" s="8" t="n"/>
      <c r="AS19" s="8" t="n"/>
      <c r="AT19" s="121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13" t="n"/>
      <c r="R20" s="122" t="n"/>
      <c r="S20" s="122" t="n"/>
      <c r="T20" s="29" t="n"/>
      <c r="U20" s="29" t="n"/>
      <c r="V20" s="29" t="n"/>
      <c r="W20" s="29" t="n"/>
      <c r="X20" s="29" t="n"/>
      <c r="Y20" s="122" t="n"/>
      <c r="Z20" s="122" t="n"/>
      <c r="AA20" s="29" t="n"/>
      <c r="AB20" s="29" t="n"/>
      <c r="AC20" s="29" t="n"/>
      <c r="AD20" s="29" t="n"/>
      <c r="AE20" s="29" t="n"/>
      <c r="AF20" s="122" t="n"/>
      <c r="AG20" s="122" t="n"/>
      <c r="AH20" s="29" t="n"/>
      <c r="AI20" s="29" t="n"/>
      <c r="AJ20" s="29" t="n"/>
      <c r="AK20" s="29" t="n"/>
      <c r="AL20" s="29" t="n"/>
      <c r="AM20" s="122" t="n"/>
      <c r="AN20" s="122" t="n"/>
      <c r="AO20" s="29" t="n"/>
      <c r="AP20" s="29" t="n"/>
      <c r="AQ20" s="29" t="n"/>
      <c r="AR20" s="29" t="n"/>
      <c r="AS20" s="29" t="n"/>
      <c r="AT20" s="122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  <c r="AT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147" t="n"/>
      <c r="Q23" s="30" t="n"/>
      <c r="R23" s="131" t="n"/>
      <c r="S23" s="131" t="n"/>
      <c r="T23" s="30" t="n"/>
      <c r="U23" s="30" t="n"/>
      <c r="V23" s="30" t="n"/>
      <c r="W23" s="30" t="n"/>
      <c r="X23" s="30" t="n"/>
      <c r="Y23" s="131" t="n"/>
      <c r="Z23" s="131" t="n"/>
      <c r="AA23" s="30" t="n"/>
      <c r="AB23" s="30" t="n"/>
      <c r="AC23" s="30" t="n"/>
      <c r="AD23" s="30" t="n"/>
      <c r="AE23" s="30" t="n"/>
      <c r="AF23" s="131" t="n"/>
      <c r="AG23" s="131" t="n"/>
      <c r="AH23" s="30" t="n"/>
      <c r="AI23" s="30" t="n"/>
      <c r="AJ23" s="30" t="n"/>
      <c r="AK23" s="30" t="n"/>
      <c r="AL23" s="30" t="n"/>
      <c r="AM23" s="131" t="n"/>
      <c r="AN23" s="131" t="n"/>
      <c r="AO23" s="30" t="n"/>
      <c r="AP23" s="30" t="n"/>
      <c r="AQ23" s="30" t="n"/>
      <c r="AR23" s="30" t="n"/>
      <c r="AS23" s="30" t="n"/>
      <c r="AT23" s="131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147" t="n"/>
      <c r="Q24" s="30" t="n"/>
      <c r="R24" s="131" t="n"/>
      <c r="S24" s="131" t="n"/>
      <c r="T24" s="30" t="n"/>
      <c r="U24" s="30" t="n"/>
      <c r="V24" s="30" t="n"/>
      <c r="W24" s="30" t="n"/>
      <c r="X24" s="30" t="n"/>
      <c r="Y24" s="131" t="n"/>
      <c r="Z24" s="131" t="n"/>
      <c r="AA24" s="30" t="n"/>
      <c r="AB24" s="30" t="n"/>
      <c r="AC24" s="30" t="n"/>
      <c r="AD24" s="30" t="n"/>
      <c r="AE24" s="30" t="n"/>
      <c r="AF24" s="131" t="n"/>
      <c r="AG24" s="131" t="n"/>
      <c r="AH24" s="30" t="n"/>
      <c r="AI24" s="30" t="n"/>
      <c r="AJ24" s="30" t="n"/>
      <c r="AK24" s="30" t="n"/>
      <c r="AL24" s="30" t="n"/>
      <c r="AM24" s="131" t="n"/>
      <c r="AN24" s="131" t="n"/>
      <c r="AO24" s="30" t="n"/>
      <c r="AP24" s="30" t="n"/>
      <c r="AQ24" s="30" t="n"/>
      <c r="AR24" s="30" t="n"/>
      <c r="AS24" s="30" t="n"/>
      <c r="AT24" s="13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  <c r="AT25" s="207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147" t="n"/>
      <c r="Q26" s="30" t="n"/>
      <c r="R26" s="131" t="n"/>
      <c r="S26" s="131" t="n"/>
      <c r="T26" s="30" t="n"/>
      <c r="U26" s="30" t="n"/>
      <c r="V26" s="30" t="n"/>
      <c r="W26" s="30" t="n"/>
      <c r="X26" s="30" t="n"/>
      <c r="Y26" s="131" t="n"/>
      <c r="Z26" s="131" t="n"/>
      <c r="AA26" s="30" t="n"/>
      <c r="AB26" s="30" t="n"/>
      <c r="AC26" s="30" t="n"/>
      <c r="AD26" s="30" t="n"/>
      <c r="AE26" s="30" t="n"/>
      <c r="AF26" s="131" t="n"/>
      <c r="AG26" s="131" t="n"/>
      <c r="AH26" s="30" t="n"/>
      <c r="AI26" s="30" t="n"/>
      <c r="AJ26" s="30" t="n"/>
      <c r="AK26" s="30" t="n"/>
      <c r="AL26" s="30" t="n"/>
      <c r="AM26" s="131" t="n"/>
      <c r="AN26" s="131" t="n"/>
      <c r="AO26" s="30" t="n"/>
      <c r="AP26" s="30" t="n"/>
      <c r="AQ26" s="30" t="n"/>
      <c r="AR26" s="30" t="n"/>
      <c r="AS26" s="30" t="n"/>
      <c r="AT26" s="13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7" t="n"/>
      <c r="Q27" s="30" t="n"/>
      <c r="R27" s="131" t="n"/>
      <c r="S27" s="131" t="n"/>
      <c r="T27" s="30" t="n"/>
      <c r="U27" s="30" t="n"/>
      <c r="V27" s="30" t="n"/>
      <c r="W27" s="30" t="n"/>
      <c r="X27" s="30" t="n"/>
      <c r="Y27" s="131" t="n"/>
      <c r="Z27" s="131" t="n"/>
      <c r="AA27" s="30" t="n"/>
      <c r="AB27" s="30" t="n"/>
      <c r="AC27" s="30" t="n"/>
      <c r="AD27" s="30" t="n"/>
      <c r="AE27" s="30" t="n"/>
      <c r="AF27" s="131" t="n"/>
      <c r="AG27" s="131" t="n"/>
      <c r="AH27" s="30" t="n"/>
      <c r="AI27" s="30" t="n"/>
      <c r="AJ27" s="30" t="n"/>
      <c r="AK27" s="30" t="n"/>
      <c r="AL27" s="30" t="n"/>
      <c r="AM27" s="131" t="n"/>
      <c r="AN27" s="131" t="n"/>
      <c r="AO27" s="30" t="n"/>
      <c r="AP27" s="30" t="n"/>
      <c r="AQ27" s="30" t="n"/>
      <c r="AR27" s="30" t="n"/>
      <c r="AS27" s="30" t="n"/>
      <c r="AT27" s="131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7" t="n"/>
      <c r="Q28" s="30" t="n"/>
      <c r="R28" s="131" t="n"/>
      <c r="S28" s="131" t="n"/>
      <c r="T28" s="30" t="n"/>
      <c r="U28" s="30" t="n"/>
      <c r="V28" s="30" t="n"/>
      <c r="W28" s="30" t="n"/>
      <c r="X28" s="30" t="n"/>
      <c r="Y28" s="131" t="n"/>
      <c r="Z28" s="131" t="n"/>
      <c r="AA28" s="30" t="n"/>
      <c r="AB28" s="30" t="n"/>
      <c r="AC28" s="30" t="n"/>
      <c r="AD28" s="30" t="n"/>
      <c r="AE28" s="30" t="n"/>
      <c r="AF28" s="131" t="n"/>
      <c r="AG28" s="131" t="n"/>
      <c r="AH28" s="30" t="n"/>
      <c r="AI28" s="30" t="n"/>
      <c r="AJ28" s="30" t="n"/>
      <c r="AK28" s="30" t="n"/>
      <c r="AL28" s="30" t="n"/>
      <c r="AM28" s="131" t="n"/>
      <c r="AN28" s="131" t="n"/>
      <c r="AO28" s="30" t="n"/>
      <c r="AP28" s="30" t="n"/>
      <c r="AQ28" s="30" t="n"/>
      <c r="AR28" s="30" t="n"/>
      <c r="AS28" s="30" t="n"/>
      <c r="AT28" s="131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147" t="n"/>
      <c r="Q29" s="30" t="n"/>
      <c r="R29" s="131" t="n"/>
      <c r="S29" s="131" t="n"/>
      <c r="T29" s="30" t="n"/>
      <c r="U29" s="30" t="n"/>
      <c r="V29" s="30" t="n"/>
      <c r="W29" s="30" t="n"/>
      <c r="X29" s="30" t="n"/>
      <c r="Y29" s="131" t="n"/>
      <c r="Z29" s="131" t="n"/>
      <c r="AA29" s="30" t="n"/>
      <c r="AB29" s="30" t="n"/>
      <c r="AC29" s="30" t="n"/>
      <c r="AD29" s="30" t="n"/>
      <c r="AE29" s="30" t="n"/>
      <c r="AF29" s="131" t="n"/>
      <c r="AG29" s="131" t="n"/>
      <c r="AH29" s="30" t="n"/>
      <c r="AI29" s="30" t="n"/>
      <c r="AJ29" s="30" t="n"/>
      <c r="AK29" s="30" t="n"/>
      <c r="AL29" s="30" t="n"/>
      <c r="AM29" s="131" t="n"/>
      <c r="AN29" s="131" t="n"/>
      <c r="AO29" s="30" t="n"/>
      <c r="AP29" s="30" t="n"/>
      <c r="AQ29" s="30" t="n"/>
      <c r="AR29" s="30" t="n"/>
      <c r="AS29" s="30" t="n"/>
      <c r="AT29" s="13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147" t="n"/>
      <c r="Q31" s="30" t="n"/>
      <c r="R31" s="131" t="n"/>
      <c r="S31" s="131" t="n"/>
      <c r="T31" s="30" t="n"/>
      <c r="U31" s="30" t="n"/>
      <c r="V31" s="30" t="n"/>
      <c r="W31" s="30" t="n"/>
      <c r="X31" s="30" t="n"/>
      <c r="Y31" s="131" t="n"/>
      <c r="Z31" s="131" t="n"/>
      <c r="AA31" s="30" t="n"/>
      <c r="AB31" s="30" t="n"/>
      <c r="AC31" s="30" t="n"/>
      <c r="AD31" s="30" t="n"/>
      <c r="AE31" s="30" t="n"/>
      <c r="AF31" s="131" t="n"/>
      <c r="AG31" s="131" t="n"/>
      <c r="AH31" s="30" t="n"/>
      <c r="AI31" s="30" t="n"/>
      <c r="AJ31" s="30" t="n"/>
      <c r="AK31" s="30" t="n"/>
      <c r="AL31" s="30" t="n"/>
      <c r="AM31" s="131" t="n"/>
      <c r="AN31" s="131" t="n"/>
      <c r="AO31" s="30" t="n"/>
      <c r="AP31" s="30" t="n"/>
      <c r="AQ31" s="30" t="n"/>
      <c r="AR31" s="30" t="n"/>
      <c r="AS31" s="30" t="n"/>
      <c r="AT31" s="131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147" t="n"/>
      <c r="Q32" s="30" t="n"/>
      <c r="R32" s="131" t="n"/>
      <c r="S32" s="131" t="n"/>
      <c r="T32" s="30" t="n"/>
      <c r="U32" s="30" t="n"/>
      <c r="V32" s="30" t="n"/>
      <c r="W32" s="30" t="n"/>
      <c r="X32" s="30" t="n"/>
      <c r="Y32" s="131" t="n"/>
      <c r="Z32" s="131" t="n"/>
      <c r="AA32" s="30" t="n"/>
      <c r="AB32" s="30" t="n"/>
      <c r="AC32" s="30" t="n"/>
      <c r="AD32" s="30" t="n"/>
      <c r="AE32" s="30" t="n"/>
      <c r="AF32" s="131" t="n"/>
      <c r="AG32" s="131" t="n"/>
      <c r="AH32" s="30" t="n"/>
      <c r="AI32" s="30" t="n"/>
      <c r="AJ32" s="30" t="n"/>
      <c r="AK32" s="30" t="n"/>
      <c r="AL32" s="30" t="n"/>
      <c r="AM32" s="131" t="n"/>
      <c r="AN32" s="131" t="n"/>
      <c r="AO32" s="30" t="n"/>
      <c r="AP32" s="30" t="n"/>
      <c r="AQ32" s="30" t="n"/>
      <c r="AR32" s="30" t="n"/>
      <c r="AS32" s="30" t="n"/>
      <c r="AT32" s="131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147" t="n"/>
      <c r="Q33" s="30" t="n"/>
      <c r="R33" s="131" t="n"/>
      <c r="S33" s="131" t="n"/>
      <c r="T33" s="30" t="n"/>
      <c r="U33" s="30" t="n"/>
      <c r="V33" s="30" t="n"/>
      <c r="W33" s="30" t="n"/>
      <c r="X33" s="30" t="n"/>
      <c r="Y33" s="131" t="n"/>
      <c r="Z33" s="131" t="n"/>
      <c r="AA33" s="30" t="n"/>
      <c r="AB33" s="30" t="n"/>
      <c r="AC33" s="30" t="n"/>
      <c r="AD33" s="30" t="n"/>
      <c r="AE33" s="30" t="n"/>
      <c r="AF33" s="131" t="n"/>
      <c r="AG33" s="131" t="n"/>
      <c r="AH33" s="30" t="n"/>
      <c r="AI33" s="30" t="n"/>
      <c r="AJ33" s="30" t="n"/>
      <c r="AK33" s="30" t="n"/>
      <c r="AL33" s="30" t="n"/>
      <c r="AM33" s="131" t="n"/>
      <c r="AN33" s="131" t="n"/>
      <c r="AO33" s="30" t="n"/>
      <c r="AP33" s="30" t="n"/>
      <c r="AQ33" s="30" t="n"/>
      <c r="AR33" s="30" t="n"/>
      <c r="AS33" s="30" t="n"/>
      <c r="AT33" s="131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147" t="n"/>
      <c r="Q34" s="30" t="n"/>
      <c r="R34" s="131" t="n"/>
      <c r="S34" s="131" t="n"/>
      <c r="T34" s="30" t="n"/>
      <c r="U34" s="30" t="n"/>
      <c r="V34" s="30" t="n"/>
      <c r="W34" s="30" t="n"/>
      <c r="X34" s="30" t="n"/>
      <c r="Y34" s="131" t="n"/>
      <c r="Z34" s="131" t="n"/>
      <c r="AA34" s="30" t="n"/>
      <c r="AB34" s="30" t="n"/>
      <c r="AC34" s="30" t="n"/>
      <c r="AD34" s="30" t="n"/>
      <c r="AE34" s="30" t="n"/>
      <c r="AF34" s="131" t="n"/>
      <c r="AG34" s="131" t="n"/>
      <c r="AH34" s="30" t="n"/>
      <c r="AI34" s="30" t="n"/>
      <c r="AJ34" s="30" t="n"/>
      <c r="AK34" s="30" t="n"/>
      <c r="AL34" s="30" t="n"/>
      <c r="AM34" s="131" t="n"/>
      <c r="AN34" s="131" t="n"/>
      <c r="AO34" s="30" t="n"/>
      <c r="AP34" s="30" t="n"/>
      <c r="AQ34" s="30" t="n"/>
      <c r="AR34" s="30" t="n"/>
      <c r="AS34" s="30" t="n"/>
      <c r="AT34" s="131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147" t="n"/>
      <c r="Q35" s="30" t="n"/>
      <c r="R35" s="131" t="n"/>
      <c r="S35" s="131" t="n"/>
      <c r="T35" s="30" t="n"/>
      <c r="U35" s="30" t="n"/>
      <c r="V35" s="30" t="n"/>
      <c r="W35" s="30" t="n"/>
      <c r="X35" s="30" t="n"/>
      <c r="Y35" s="131" t="n"/>
      <c r="Z35" s="131" t="n"/>
      <c r="AA35" s="30" t="n"/>
      <c r="AB35" s="30" t="n"/>
      <c r="AC35" s="30" t="n"/>
      <c r="AD35" s="30" t="n"/>
      <c r="AE35" s="30" t="n"/>
      <c r="AF35" s="131" t="n"/>
      <c r="AG35" s="131" t="n"/>
      <c r="AH35" s="30" t="n"/>
      <c r="AI35" s="30" t="n"/>
      <c r="AJ35" s="30" t="n"/>
      <c r="AK35" s="30" t="n"/>
      <c r="AL35" s="30" t="n"/>
      <c r="AM35" s="131" t="n"/>
      <c r="AN35" s="131" t="n"/>
      <c r="AO35" s="30" t="n"/>
      <c r="AP35" s="30" t="n"/>
      <c r="AQ35" s="30" t="n"/>
      <c r="AR35" s="30" t="n"/>
      <c r="AS35" s="30" t="n"/>
      <c r="AT35" s="131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147" t="n"/>
      <c r="Q36" s="30" t="n"/>
      <c r="R36" s="131" t="n"/>
      <c r="S36" s="131" t="n"/>
      <c r="T36" s="30" t="n"/>
      <c r="U36" s="30" t="n"/>
      <c r="V36" s="30" t="n"/>
      <c r="W36" s="30" t="n"/>
      <c r="X36" s="30" t="n"/>
      <c r="Y36" s="131" t="n"/>
      <c r="Z36" s="131" t="n"/>
      <c r="AA36" s="30" t="n"/>
      <c r="AB36" s="30" t="n"/>
      <c r="AC36" s="30" t="n"/>
      <c r="AD36" s="30" t="n"/>
      <c r="AE36" s="30" t="n"/>
      <c r="AF36" s="131" t="n"/>
      <c r="AG36" s="131" t="n"/>
      <c r="AH36" s="30" t="n"/>
      <c r="AI36" s="30" t="n"/>
      <c r="AJ36" s="30" t="n"/>
      <c r="AK36" s="30" t="n"/>
      <c r="AL36" s="30" t="n"/>
      <c r="AM36" s="131" t="n"/>
      <c r="AN36" s="131" t="n"/>
      <c r="AO36" s="30" t="n"/>
      <c r="AP36" s="30" t="n"/>
      <c r="AQ36" s="30" t="n"/>
      <c r="AR36" s="30" t="n"/>
      <c r="AS36" s="30" t="n"/>
      <c r="AT36" s="131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37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47" t="n"/>
      <c r="Q39" s="30" t="n"/>
      <c r="R39" s="131" t="n"/>
      <c r="S39" s="131" t="n"/>
      <c r="T39" s="30" t="n"/>
      <c r="U39" s="30" t="n"/>
      <c r="V39" s="30" t="n"/>
      <c r="W39" s="30" t="n"/>
      <c r="X39" s="30" t="n"/>
      <c r="Y39" s="131" t="n"/>
      <c r="Z39" s="131" t="n"/>
      <c r="AA39" s="30" t="n"/>
      <c r="AB39" s="30" t="n"/>
      <c r="AC39" s="30" t="n"/>
      <c r="AD39" s="30" t="n"/>
      <c r="AE39" s="30" t="n"/>
      <c r="AF39" s="131" t="n"/>
      <c r="AG39" s="131" t="n"/>
      <c r="AH39" s="30" t="n"/>
      <c r="AI39" s="30" t="n"/>
      <c r="AJ39" s="30" t="n"/>
      <c r="AK39" s="30" t="n"/>
      <c r="AL39" s="30" t="n"/>
      <c r="AM39" s="131" t="n"/>
      <c r="AN39" s="131" t="n"/>
      <c r="AO39" s="30" t="n"/>
      <c r="AP39" s="30" t="n"/>
      <c r="AQ39" s="30" t="n"/>
      <c r="AR39" s="30" t="n"/>
      <c r="AS39" s="30" t="n"/>
      <c r="AT39" s="131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7" t="n"/>
      <c r="Q40" s="30" t="n"/>
      <c r="R40" s="131" t="n"/>
      <c r="S40" s="131" t="n"/>
      <c r="T40" s="30" t="n"/>
      <c r="U40" s="30" t="n"/>
      <c r="V40" s="30" t="n"/>
      <c r="W40" s="30" t="n"/>
      <c r="X40" s="30" t="n"/>
      <c r="Y40" s="131" t="n"/>
      <c r="Z40" s="131" t="n"/>
      <c r="AA40" s="30" t="n"/>
      <c r="AB40" s="30" t="n"/>
      <c r="AC40" s="30" t="n"/>
      <c r="AD40" s="30" t="n"/>
      <c r="AE40" s="30" t="n"/>
      <c r="AF40" s="131" t="n"/>
      <c r="AG40" s="131" t="n"/>
      <c r="AH40" s="30" t="n"/>
      <c r="AI40" s="30" t="n"/>
      <c r="AJ40" s="30" t="n"/>
      <c r="AK40" s="30" t="n"/>
      <c r="AL40" s="30" t="n"/>
      <c r="AM40" s="131" t="n"/>
      <c r="AN40" s="131" t="n"/>
      <c r="AO40" s="30" t="n"/>
      <c r="AP40" s="30" t="n"/>
      <c r="AQ40" s="30" t="n"/>
      <c r="AR40" s="30" t="n"/>
      <c r="AS40" s="30" t="n"/>
      <c r="AT40" s="131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7" t="n"/>
      <c r="Q41" s="30" t="n"/>
      <c r="R41" s="131" t="n"/>
      <c r="S41" s="131" t="n"/>
      <c r="T41" s="30" t="n"/>
      <c r="U41" s="30" t="n"/>
      <c r="V41" s="30" t="n"/>
      <c r="W41" s="30" t="n"/>
      <c r="X41" s="30" t="n"/>
      <c r="Y41" s="131" t="n"/>
      <c r="Z41" s="131" t="n"/>
      <c r="AA41" s="30" t="n"/>
      <c r="AB41" s="30" t="n"/>
      <c r="AC41" s="30" t="n"/>
      <c r="AD41" s="30" t="n"/>
      <c r="AE41" s="30" t="n"/>
      <c r="AF41" s="131" t="n"/>
      <c r="AG41" s="131" t="n"/>
      <c r="AH41" s="30" t="n"/>
      <c r="AI41" s="30" t="n"/>
      <c r="AJ41" s="30" t="n"/>
      <c r="AK41" s="30" t="n"/>
      <c r="AL41" s="30" t="n"/>
      <c r="AM41" s="131" t="n"/>
      <c r="AN41" s="131" t="n"/>
      <c r="AO41" s="30" t="n"/>
      <c r="AP41" s="30" t="n"/>
      <c r="AQ41" s="30" t="n"/>
      <c r="AR41" s="30" t="n"/>
      <c r="AS41" s="30" t="n"/>
      <c r="AT41" s="131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7" t="n"/>
      <c r="Q42" s="30" t="n"/>
      <c r="R42" s="131" t="n"/>
      <c r="S42" s="131" t="n"/>
      <c r="T42" s="30" t="n"/>
      <c r="U42" s="30" t="n"/>
      <c r="V42" s="30" t="n"/>
      <c r="W42" s="30" t="n"/>
      <c r="X42" s="30" t="n"/>
      <c r="Y42" s="131" t="n"/>
      <c r="Z42" s="131" t="n"/>
      <c r="AA42" s="30" t="n"/>
      <c r="AB42" s="30" t="n"/>
      <c r="AC42" s="30" t="n"/>
      <c r="AD42" s="30" t="n"/>
      <c r="AE42" s="30" t="n"/>
      <c r="AF42" s="131" t="n"/>
      <c r="AG42" s="131" t="n"/>
      <c r="AH42" s="30" t="n"/>
      <c r="AI42" s="30" t="n"/>
      <c r="AJ42" s="30" t="n"/>
      <c r="AK42" s="30" t="n"/>
      <c r="AL42" s="30" t="n"/>
      <c r="AM42" s="131" t="n"/>
      <c r="AN42" s="131" t="n"/>
      <c r="AO42" s="30" t="n"/>
      <c r="AP42" s="30" t="n"/>
      <c r="AQ42" s="30" t="n"/>
      <c r="AR42" s="30" t="n"/>
      <c r="AS42" s="30" t="n"/>
      <c r="AT42" s="131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7" t="n"/>
      <c r="Q43" s="30" t="n"/>
      <c r="R43" s="131" t="n"/>
      <c r="S43" s="131" t="n"/>
      <c r="T43" s="30" t="n"/>
      <c r="U43" s="30" t="n"/>
      <c r="V43" s="30" t="n"/>
      <c r="W43" s="30" t="n"/>
      <c r="X43" s="30" t="n"/>
      <c r="Y43" s="131" t="n"/>
      <c r="Z43" s="131" t="n"/>
      <c r="AA43" s="30" t="n"/>
      <c r="AB43" s="30" t="n"/>
      <c r="AC43" s="30" t="n"/>
      <c r="AD43" s="30" t="n"/>
      <c r="AE43" s="30" t="n"/>
      <c r="AF43" s="131" t="n"/>
      <c r="AG43" s="131" t="n"/>
      <c r="AH43" s="30" t="n"/>
      <c r="AI43" s="30" t="n"/>
      <c r="AJ43" s="30" t="n"/>
      <c r="AK43" s="30" t="n"/>
      <c r="AL43" s="30" t="n"/>
      <c r="AM43" s="131" t="n"/>
      <c r="AN43" s="131" t="n"/>
      <c r="AO43" s="30" t="n"/>
      <c r="AP43" s="30" t="n"/>
      <c r="AQ43" s="30" t="n"/>
      <c r="AR43" s="30" t="n"/>
      <c r="AS43" s="30" t="n"/>
      <c r="AT43" s="131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7" t="n"/>
      <c r="Q44" s="30" t="n"/>
      <c r="R44" s="131" t="n"/>
      <c r="S44" s="131" t="n"/>
      <c r="T44" s="30" t="n"/>
      <c r="U44" s="30" t="n"/>
      <c r="V44" s="30" t="n"/>
      <c r="W44" s="30" t="n"/>
      <c r="X44" s="30" t="n"/>
      <c r="Y44" s="131" t="n"/>
      <c r="Z44" s="131" t="n"/>
      <c r="AA44" s="30" t="n"/>
      <c r="AB44" s="30" t="n"/>
      <c r="AC44" s="30" t="n"/>
      <c r="AD44" s="30" t="n"/>
      <c r="AE44" s="30" t="n"/>
      <c r="AF44" s="131" t="n"/>
      <c r="AG44" s="131" t="n"/>
      <c r="AH44" s="30" t="n"/>
      <c r="AI44" s="30" t="n"/>
      <c r="AJ44" s="30" t="n"/>
      <c r="AK44" s="30" t="n"/>
      <c r="AL44" s="30" t="n"/>
      <c r="AM44" s="131" t="n"/>
      <c r="AN44" s="131" t="n"/>
      <c r="AO44" s="30" t="n"/>
      <c r="AP44" s="30" t="n"/>
      <c r="AQ44" s="30" t="n"/>
      <c r="AR44" s="30" t="n"/>
      <c r="AS44" s="30" t="n"/>
      <c r="AT44" s="131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7" t="n"/>
      <c r="Q45" s="30" t="n"/>
      <c r="R45" s="131" t="n"/>
      <c r="S45" s="131" t="n"/>
      <c r="T45" s="30" t="n"/>
      <c r="U45" s="30" t="n"/>
      <c r="V45" s="30" t="n"/>
      <c r="W45" s="30" t="n"/>
      <c r="X45" s="30" t="n"/>
      <c r="Y45" s="131" t="n"/>
      <c r="Z45" s="131" t="n"/>
      <c r="AA45" s="30" t="n"/>
      <c r="AB45" s="30" t="n"/>
      <c r="AC45" s="30" t="n"/>
      <c r="AD45" s="30" t="n"/>
      <c r="AE45" s="30" t="n"/>
      <c r="AF45" s="131" t="n"/>
      <c r="AG45" s="131" t="n"/>
      <c r="AH45" s="30" t="n"/>
      <c r="AI45" s="30" t="n"/>
      <c r="AJ45" s="30" t="n"/>
      <c r="AK45" s="30" t="n"/>
      <c r="AL45" s="30" t="n"/>
      <c r="AM45" s="131" t="n"/>
      <c r="AN45" s="131" t="n"/>
      <c r="AO45" s="30" t="n"/>
      <c r="AP45" s="30" t="n"/>
      <c r="AQ45" s="30" t="n"/>
      <c r="AR45" s="30" t="n"/>
      <c r="AS45" s="30" t="n"/>
      <c r="AT45" s="131" t="n"/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7" t="n"/>
      <c r="Q46" s="30" t="n"/>
      <c r="R46" s="131" t="n"/>
      <c r="S46" s="131" t="n"/>
      <c r="T46" s="30" t="n"/>
      <c r="U46" s="30" t="n"/>
      <c r="V46" s="30" t="n"/>
      <c r="W46" s="30" t="n"/>
      <c r="X46" s="30" t="n"/>
      <c r="Y46" s="131" t="n"/>
      <c r="Z46" s="131" t="n"/>
      <c r="AA46" s="30" t="n"/>
      <c r="AB46" s="30" t="n"/>
      <c r="AC46" s="30" t="n"/>
      <c r="AD46" s="30" t="n"/>
      <c r="AE46" s="30" t="n"/>
      <c r="AF46" s="131" t="n"/>
      <c r="AG46" s="131" t="n"/>
      <c r="AH46" s="30" t="n"/>
      <c r="AI46" s="30" t="n"/>
      <c r="AJ46" s="30" t="n"/>
      <c r="AK46" s="30" t="n"/>
      <c r="AL46" s="30" t="n"/>
      <c r="AM46" s="131" t="n"/>
      <c r="AN46" s="131" t="n"/>
      <c r="AO46" s="30" t="n"/>
      <c r="AP46" s="30" t="n"/>
      <c r="AQ46" s="30" t="n"/>
      <c r="AR46" s="30" t="n"/>
      <c r="AS46" s="30" t="n"/>
      <c r="AT46" s="131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7" t="n"/>
      <c r="Q47" s="30" t="n"/>
      <c r="R47" s="131" t="n"/>
      <c r="S47" s="131" t="n"/>
      <c r="T47" s="30" t="n"/>
      <c r="U47" s="30" t="n"/>
      <c r="V47" s="30" t="n"/>
      <c r="W47" s="30" t="n"/>
      <c r="X47" s="30" t="n"/>
      <c r="Y47" s="131" t="n"/>
      <c r="Z47" s="131" t="n"/>
      <c r="AA47" s="30" t="n"/>
      <c r="AB47" s="30" t="n"/>
      <c r="AC47" s="30" t="n"/>
      <c r="AD47" s="30" t="n"/>
      <c r="AE47" s="30" t="n"/>
      <c r="AF47" s="131" t="n"/>
      <c r="AG47" s="131" t="n"/>
      <c r="AH47" s="30" t="n"/>
      <c r="AI47" s="30" t="n"/>
      <c r="AJ47" s="30" t="n"/>
      <c r="AK47" s="30" t="n"/>
      <c r="AL47" s="30" t="n"/>
      <c r="AM47" s="131" t="n"/>
      <c r="AN47" s="131" t="n"/>
      <c r="AO47" s="30" t="n"/>
      <c r="AP47" s="30" t="n"/>
      <c r="AQ47" s="30" t="n"/>
      <c r="AR47" s="30" t="n"/>
      <c r="AS47" s="30" t="n"/>
      <c r="AT47" s="131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7" t="n"/>
      <c r="Q48" s="30" t="n"/>
      <c r="R48" s="131" t="n"/>
      <c r="S48" s="131" t="n"/>
      <c r="T48" s="30" t="n"/>
      <c r="U48" s="30" t="n"/>
      <c r="V48" s="30" t="n"/>
      <c r="W48" s="30" t="n"/>
      <c r="X48" s="30" t="n"/>
      <c r="Y48" s="131" t="n"/>
      <c r="Z48" s="131" t="n"/>
      <c r="AA48" s="30" t="n"/>
      <c r="AB48" s="30" t="n"/>
      <c r="AC48" s="30" t="n"/>
      <c r="AD48" s="30" t="n"/>
      <c r="AE48" s="30" t="n"/>
      <c r="AF48" s="131" t="n"/>
      <c r="AG48" s="131" t="n"/>
      <c r="AH48" s="30" t="n"/>
      <c r="AI48" s="30" t="n"/>
      <c r="AJ48" s="30" t="n"/>
      <c r="AK48" s="30" t="n"/>
      <c r="AL48" s="30" t="n"/>
      <c r="AM48" s="131" t="n"/>
      <c r="AN48" s="131" t="n"/>
      <c r="AO48" s="30" t="n"/>
      <c r="AP48" s="30" t="n"/>
      <c r="AQ48" s="30" t="n"/>
      <c r="AR48" s="30" t="n"/>
      <c r="AS48" s="30" t="n"/>
      <c r="AT48" s="131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147" t="n"/>
      <c r="Q49" s="30" t="n"/>
      <c r="R49" s="131" t="n"/>
      <c r="S49" s="131" t="n"/>
      <c r="T49" s="30" t="n"/>
      <c r="U49" s="30" t="n"/>
      <c r="V49" s="30" t="n"/>
      <c r="W49" s="30" t="n"/>
      <c r="X49" s="30" t="n"/>
      <c r="Y49" s="131" t="n"/>
      <c r="Z49" s="131" t="n"/>
      <c r="AA49" s="30" t="n"/>
      <c r="AB49" s="30" t="n"/>
      <c r="AC49" s="30" t="n"/>
      <c r="AD49" s="30" t="n"/>
      <c r="AE49" s="30" t="n"/>
      <c r="AF49" s="131" t="n"/>
      <c r="AG49" s="131" t="n"/>
      <c r="AH49" s="30" t="n"/>
      <c r="AI49" s="30" t="n"/>
      <c r="AJ49" s="30" t="n"/>
      <c r="AK49" s="30" t="n"/>
      <c r="AL49" s="30" t="n"/>
      <c r="AM49" s="131" t="n"/>
      <c r="AN49" s="131" t="n"/>
      <c r="AO49" s="30" t="n"/>
      <c r="AP49" s="30" t="n"/>
      <c r="AQ49" s="30" t="n"/>
      <c r="AR49" s="30" t="n"/>
      <c r="AS49" s="30" t="n"/>
      <c r="AT49" s="131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206" t="n"/>
      <c r="AT50" s="206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147" t="n"/>
      <c r="Q51" s="30" t="n"/>
      <c r="R51" s="131" t="n"/>
      <c r="S51" s="131" t="n"/>
      <c r="T51" s="30" t="n"/>
      <c r="U51" s="30" t="n"/>
      <c r="V51" s="30" t="n"/>
      <c r="W51" s="30" t="n"/>
      <c r="X51" s="30" t="n"/>
      <c r="Y51" s="131" t="n"/>
      <c r="Z51" s="131" t="n"/>
      <c r="AA51" s="30" t="n"/>
      <c r="AB51" s="30" t="n"/>
      <c r="AC51" s="30" t="n"/>
      <c r="AD51" s="30" t="n"/>
      <c r="AE51" s="30" t="n"/>
      <c r="AF51" s="131" t="n"/>
      <c r="AG51" s="131" t="n"/>
      <c r="AH51" s="30" t="n"/>
      <c r="AI51" s="30" t="n"/>
      <c r="AJ51" s="30" t="n"/>
      <c r="AK51" s="30" t="n"/>
      <c r="AL51" s="30" t="n"/>
      <c r="AM51" s="131" t="n"/>
      <c r="AN51" s="131" t="n"/>
      <c r="AO51" s="30" t="n"/>
      <c r="AP51" s="30" t="n"/>
      <c r="AQ51" s="30" t="n"/>
      <c r="AR51" s="30" t="n"/>
      <c r="AS51" s="30" t="n"/>
      <c r="AT51" s="131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7" t="n"/>
      <c r="Q52" s="30" t="n"/>
      <c r="R52" s="131" t="n"/>
      <c r="S52" s="131" t="n"/>
      <c r="T52" s="30" t="n"/>
      <c r="U52" s="30" t="n"/>
      <c r="V52" s="30" t="n"/>
      <c r="W52" s="30" t="n"/>
      <c r="X52" s="30" t="n"/>
      <c r="Y52" s="131" t="n"/>
      <c r="Z52" s="131" t="n"/>
      <c r="AA52" s="30" t="n"/>
      <c r="AB52" s="30" t="n"/>
      <c r="AC52" s="30" t="n"/>
      <c r="AD52" s="30" t="n"/>
      <c r="AE52" s="30" t="n"/>
      <c r="AF52" s="131" t="n"/>
      <c r="AG52" s="131" t="n"/>
      <c r="AH52" s="30" t="n"/>
      <c r="AI52" s="30" t="n"/>
      <c r="AJ52" s="30" t="n"/>
      <c r="AK52" s="30" t="n"/>
      <c r="AL52" s="30" t="n"/>
      <c r="AM52" s="131" t="n"/>
      <c r="AN52" s="131" t="n"/>
      <c r="AO52" s="30" t="n"/>
      <c r="AP52" s="30" t="n"/>
      <c r="AQ52" s="30" t="n"/>
      <c r="AR52" s="30" t="n"/>
      <c r="AS52" s="30" t="n"/>
      <c r="AT52" s="131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7" t="n"/>
      <c r="Q53" s="30" t="n"/>
      <c r="R53" s="131" t="n"/>
      <c r="S53" s="131" t="n"/>
      <c r="T53" s="30" t="n"/>
      <c r="U53" s="30" t="n"/>
      <c r="V53" s="30" t="n"/>
      <c r="W53" s="30" t="n"/>
      <c r="X53" s="30" t="n"/>
      <c r="Y53" s="131" t="n"/>
      <c r="Z53" s="131" t="n"/>
      <c r="AA53" s="30" t="n"/>
      <c r="AB53" s="30" t="n"/>
      <c r="AC53" s="30" t="n"/>
      <c r="AD53" s="30" t="n"/>
      <c r="AE53" s="30" t="n"/>
      <c r="AF53" s="131" t="n"/>
      <c r="AG53" s="131" t="n"/>
      <c r="AH53" s="30" t="n"/>
      <c r="AI53" s="30" t="n"/>
      <c r="AJ53" s="30" t="n"/>
      <c r="AK53" s="30" t="n"/>
      <c r="AL53" s="30" t="n"/>
      <c r="AM53" s="131" t="n"/>
      <c r="AN53" s="131" t="n"/>
      <c r="AO53" s="30" t="n"/>
      <c r="AP53" s="30" t="n"/>
      <c r="AQ53" s="30" t="n"/>
      <c r="AR53" s="30" t="n"/>
      <c r="AS53" s="30" t="n"/>
      <c r="AT53" s="13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7" t="n"/>
      <c r="Q54" s="30" t="n"/>
      <c r="R54" s="131" t="n"/>
      <c r="S54" s="131" t="n"/>
      <c r="T54" s="30" t="n"/>
      <c r="U54" s="30" t="n"/>
      <c r="V54" s="30" t="n"/>
      <c r="W54" s="30" t="n"/>
      <c r="X54" s="30" t="n"/>
      <c r="Y54" s="131" t="n"/>
      <c r="Z54" s="131" t="n"/>
      <c r="AA54" s="30" t="n"/>
      <c r="AB54" s="30" t="n"/>
      <c r="AC54" s="30" t="n"/>
      <c r="AD54" s="30" t="n"/>
      <c r="AE54" s="30" t="n"/>
      <c r="AF54" s="131" t="n"/>
      <c r="AG54" s="131" t="n"/>
      <c r="AH54" s="30" t="n"/>
      <c r="AI54" s="30" t="n"/>
      <c r="AJ54" s="30" t="n"/>
      <c r="AK54" s="30" t="n"/>
      <c r="AL54" s="30" t="n"/>
      <c r="AM54" s="131" t="n"/>
      <c r="AN54" s="131" t="n"/>
      <c r="AO54" s="30" t="n"/>
      <c r="AP54" s="30" t="n"/>
      <c r="AQ54" s="30" t="n"/>
      <c r="AR54" s="30" t="n"/>
      <c r="AS54" s="30" t="n"/>
      <c r="AT54" s="13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7" t="n"/>
      <c r="Q55" s="30" t="n"/>
      <c r="R55" s="131" t="n"/>
      <c r="S55" s="131" t="n"/>
      <c r="T55" s="30" t="n"/>
      <c r="U55" s="30" t="n"/>
      <c r="V55" s="30" t="n"/>
      <c r="W55" s="30" t="n"/>
      <c r="X55" s="30" t="n"/>
      <c r="Y55" s="131" t="n"/>
      <c r="Z55" s="131" t="n"/>
      <c r="AA55" s="30" t="n"/>
      <c r="AB55" s="30" t="n"/>
      <c r="AC55" s="30" t="n"/>
      <c r="AD55" s="30" t="n"/>
      <c r="AE55" s="30" t="n"/>
      <c r="AF55" s="131" t="n"/>
      <c r="AG55" s="131" t="n"/>
      <c r="AH55" s="30" t="n"/>
      <c r="AI55" s="30" t="n"/>
      <c r="AJ55" s="30" t="n"/>
      <c r="AK55" s="30" t="n"/>
      <c r="AL55" s="30" t="n"/>
      <c r="AM55" s="131" t="n"/>
      <c r="AN55" s="131" t="n"/>
      <c r="AO55" s="30" t="n"/>
      <c r="AP55" s="30" t="n"/>
      <c r="AQ55" s="30" t="n"/>
      <c r="AR55" s="30" t="n"/>
      <c r="AS55" s="30" t="n"/>
      <c r="AT55" s="13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7" t="n"/>
      <c r="Q56" s="30" t="n"/>
      <c r="R56" s="131" t="n"/>
      <c r="S56" s="131" t="n"/>
      <c r="T56" s="30" t="n"/>
      <c r="U56" s="30" t="n"/>
      <c r="V56" s="30" t="n"/>
      <c r="W56" s="30" t="n"/>
      <c r="X56" s="30" t="n"/>
      <c r="Y56" s="131" t="n"/>
      <c r="Z56" s="131" t="n"/>
      <c r="AA56" s="30" t="n"/>
      <c r="AB56" s="30" t="n"/>
      <c r="AC56" s="30" t="n"/>
      <c r="AD56" s="30" t="n"/>
      <c r="AE56" s="30" t="n"/>
      <c r="AF56" s="131" t="n"/>
      <c r="AG56" s="131" t="n"/>
      <c r="AH56" s="30" t="n"/>
      <c r="AI56" s="30" t="n"/>
      <c r="AJ56" s="30" t="n"/>
      <c r="AK56" s="30" t="n"/>
      <c r="AL56" s="30" t="n"/>
      <c r="AM56" s="131" t="n"/>
      <c r="AN56" s="131" t="n"/>
      <c r="AO56" s="30" t="n"/>
      <c r="AP56" s="30" t="n"/>
      <c r="AQ56" s="30" t="n"/>
      <c r="AR56" s="30" t="n"/>
      <c r="AS56" s="30" t="n"/>
      <c r="AT56" s="13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7" t="n"/>
      <c r="Q57" s="30" t="n"/>
      <c r="R57" s="131" t="n"/>
      <c r="S57" s="131" t="n"/>
      <c r="T57" s="30" t="n"/>
      <c r="U57" s="30" t="n"/>
      <c r="V57" s="30" t="n"/>
      <c r="W57" s="30" t="n"/>
      <c r="X57" s="30" t="n"/>
      <c r="Y57" s="131" t="n"/>
      <c r="Z57" s="131" t="n"/>
      <c r="AA57" s="30" t="n"/>
      <c r="AB57" s="30" t="n"/>
      <c r="AC57" s="30" t="n"/>
      <c r="AD57" s="30" t="n"/>
      <c r="AE57" s="30" t="n"/>
      <c r="AF57" s="131" t="n"/>
      <c r="AG57" s="131" t="n"/>
      <c r="AH57" s="30" t="n"/>
      <c r="AI57" s="30" t="n"/>
      <c r="AJ57" s="30" t="n"/>
      <c r="AK57" s="30" t="n"/>
      <c r="AL57" s="30" t="n"/>
      <c r="AM57" s="131" t="n"/>
      <c r="AN57" s="131" t="n"/>
      <c r="AO57" s="30" t="n"/>
      <c r="AP57" s="30" t="n"/>
      <c r="AQ57" s="30" t="n"/>
      <c r="AR57" s="30" t="n"/>
      <c r="AS57" s="30" t="n"/>
      <c r="AT57" s="131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7" t="n"/>
      <c r="Q58" s="30" t="n"/>
      <c r="R58" s="131" t="n"/>
      <c r="S58" s="131" t="n"/>
      <c r="T58" s="30" t="n"/>
      <c r="U58" s="30" t="n"/>
      <c r="V58" s="30" t="n"/>
      <c r="W58" s="30" t="n"/>
      <c r="X58" s="30" t="n"/>
      <c r="Y58" s="131" t="n"/>
      <c r="Z58" s="131" t="n"/>
      <c r="AA58" s="30" t="n"/>
      <c r="AB58" s="30" t="n"/>
      <c r="AC58" s="30" t="n"/>
      <c r="AD58" s="30" t="n"/>
      <c r="AE58" s="30" t="n"/>
      <c r="AF58" s="131" t="n"/>
      <c r="AG58" s="131" t="n"/>
      <c r="AH58" s="30" t="n"/>
      <c r="AI58" s="30" t="n"/>
      <c r="AJ58" s="30" t="n"/>
      <c r="AK58" s="30" t="n"/>
      <c r="AL58" s="30" t="n"/>
      <c r="AM58" s="131" t="n"/>
      <c r="AN58" s="131" t="n"/>
      <c r="AO58" s="30" t="n"/>
      <c r="AP58" s="30" t="n"/>
      <c r="AQ58" s="30" t="n"/>
      <c r="AR58" s="30" t="n"/>
      <c r="AS58" s="30" t="n"/>
      <c r="AT58" s="13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7" t="n"/>
      <c r="Q59" s="30" t="n"/>
      <c r="R59" s="131" t="n"/>
      <c r="S59" s="131" t="n"/>
      <c r="T59" s="30" t="n"/>
      <c r="U59" s="30" t="n"/>
      <c r="V59" s="30" t="n"/>
      <c r="W59" s="30" t="n"/>
      <c r="X59" s="30" t="n"/>
      <c r="Y59" s="131" t="n"/>
      <c r="Z59" s="131" t="n"/>
      <c r="AA59" s="30" t="n"/>
      <c r="AB59" s="30" t="n"/>
      <c r="AC59" s="30" t="n"/>
      <c r="AD59" s="30" t="n"/>
      <c r="AE59" s="30" t="n"/>
      <c r="AF59" s="131" t="n"/>
      <c r="AG59" s="131" t="n"/>
      <c r="AH59" s="30" t="n"/>
      <c r="AI59" s="30" t="n"/>
      <c r="AJ59" s="30" t="n"/>
      <c r="AK59" s="30" t="n"/>
      <c r="AL59" s="30" t="n"/>
      <c r="AM59" s="131" t="n"/>
      <c r="AN59" s="131" t="n"/>
      <c r="AO59" s="30" t="n"/>
      <c r="AP59" s="30" t="n"/>
      <c r="AQ59" s="30" t="n"/>
      <c r="AR59" s="30" t="n"/>
      <c r="AS59" s="30" t="n"/>
      <c r="AT59" s="13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7" t="n"/>
      <c r="Q60" s="30" t="n"/>
      <c r="R60" s="131" t="n"/>
      <c r="S60" s="131" t="n"/>
      <c r="T60" s="30" t="n"/>
      <c r="U60" s="30" t="n"/>
      <c r="V60" s="30" t="n"/>
      <c r="W60" s="30" t="n"/>
      <c r="X60" s="30" t="n"/>
      <c r="Y60" s="131" t="n"/>
      <c r="Z60" s="131" t="n"/>
      <c r="AA60" s="30" t="n"/>
      <c r="AB60" s="30" t="n"/>
      <c r="AC60" s="30" t="n"/>
      <c r="AD60" s="30" t="n"/>
      <c r="AE60" s="30" t="n"/>
      <c r="AF60" s="131" t="n"/>
      <c r="AG60" s="131" t="n"/>
      <c r="AH60" s="30" t="n"/>
      <c r="AI60" s="30" t="n"/>
      <c r="AJ60" s="30" t="n"/>
      <c r="AK60" s="30" t="n"/>
      <c r="AL60" s="30" t="n"/>
      <c r="AM60" s="131" t="n"/>
      <c r="AN60" s="131" t="n"/>
      <c r="AO60" s="30" t="n"/>
      <c r="AP60" s="30" t="n"/>
      <c r="AQ60" s="30" t="n"/>
      <c r="AR60" s="30" t="n"/>
      <c r="AS60" s="30" t="n"/>
      <c r="AT60" s="13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7" t="n"/>
      <c r="Q61" s="30" t="n"/>
      <c r="R61" s="131" t="n"/>
      <c r="S61" s="131" t="n"/>
      <c r="T61" s="30" t="n"/>
      <c r="U61" s="30" t="n"/>
      <c r="V61" s="30" t="n"/>
      <c r="W61" s="30" t="n"/>
      <c r="X61" s="30" t="n"/>
      <c r="Y61" s="131" t="n"/>
      <c r="Z61" s="131" t="n"/>
      <c r="AA61" s="30" t="n"/>
      <c r="AB61" s="30" t="n"/>
      <c r="AC61" s="30" t="n"/>
      <c r="AD61" s="30" t="n"/>
      <c r="AE61" s="30" t="n"/>
      <c r="AF61" s="131" t="n"/>
      <c r="AG61" s="131" t="n"/>
      <c r="AH61" s="30" t="n"/>
      <c r="AI61" s="30" t="n"/>
      <c r="AJ61" s="30" t="n"/>
      <c r="AK61" s="30" t="n"/>
      <c r="AL61" s="30" t="n"/>
      <c r="AM61" s="131" t="n"/>
      <c r="AN61" s="131" t="n"/>
      <c r="AO61" s="30" t="n"/>
      <c r="AP61" s="30" t="n"/>
      <c r="AQ61" s="30" t="n"/>
      <c r="AR61" s="30" t="n"/>
      <c r="AS61" s="30" t="n"/>
      <c r="AT61" s="131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147" t="n"/>
      <c r="Q62" s="30" t="n"/>
      <c r="R62" s="131" t="n"/>
      <c r="S62" s="131" t="n"/>
      <c r="T62" s="30" t="n"/>
      <c r="U62" s="30" t="n"/>
      <c r="V62" s="30" t="n"/>
      <c r="W62" s="30" t="n"/>
      <c r="X62" s="30" t="n"/>
      <c r="Y62" s="131" t="n"/>
      <c r="Z62" s="131" t="n"/>
      <c r="AA62" s="30" t="n"/>
      <c r="AB62" s="30" t="n"/>
      <c r="AC62" s="30" t="n"/>
      <c r="AD62" s="30" t="n"/>
      <c r="AE62" s="30" t="n"/>
      <c r="AF62" s="131" t="n"/>
      <c r="AG62" s="131" t="n"/>
      <c r="AH62" s="30" t="n"/>
      <c r="AI62" s="30" t="n"/>
      <c r="AJ62" s="30" t="n"/>
      <c r="AK62" s="30" t="n"/>
      <c r="AL62" s="30" t="n"/>
      <c r="AM62" s="131" t="n"/>
      <c r="AN62" s="131" t="n"/>
      <c r="AO62" s="30" t="n"/>
      <c r="AP62" s="30" t="n"/>
      <c r="AQ62" s="30" t="n"/>
      <c r="AR62" s="30" t="n"/>
      <c r="AS62" s="30" t="n"/>
      <c r="AT62" s="13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47" t="n"/>
      <c r="Q64" s="30" t="n"/>
      <c r="R64" s="131" t="n"/>
      <c r="S64" s="131" t="n"/>
      <c r="T64" s="30" t="n"/>
      <c r="U64" s="30" t="n"/>
      <c r="V64" s="30" t="n"/>
      <c r="W64" s="30" t="n"/>
      <c r="X64" s="30" t="n"/>
      <c r="Y64" s="131" t="n"/>
      <c r="Z64" s="131" t="n"/>
      <c r="AA64" s="30" t="n"/>
      <c r="AB64" s="30" t="n"/>
      <c r="AC64" s="30" t="n"/>
      <c r="AD64" s="30" t="n"/>
      <c r="AE64" s="30" t="n"/>
      <c r="AF64" s="131" t="n"/>
      <c r="AG64" s="131" t="n"/>
      <c r="AH64" s="30" t="n"/>
      <c r="AI64" s="30" t="n"/>
      <c r="AJ64" s="30" t="n"/>
      <c r="AK64" s="30" t="n"/>
      <c r="AL64" s="30" t="n"/>
      <c r="AM64" s="131" t="n"/>
      <c r="AN64" s="131" t="n"/>
      <c r="AO64" s="30" t="n"/>
      <c r="AP64" s="30" t="n"/>
      <c r="AQ64" s="30" t="n"/>
      <c r="AR64" s="30" t="n"/>
      <c r="AS64" s="30" t="n"/>
      <c r="AT64" s="131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47" t="n"/>
      <c r="Q65" s="30" t="n"/>
      <c r="R65" s="131" t="n"/>
      <c r="S65" s="131" t="n"/>
      <c r="T65" s="30" t="n"/>
      <c r="U65" s="30" t="n"/>
      <c r="V65" s="30" t="n"/>
      <c r="W65" s="30" t="n"/>
      <c r="X65" s="30" t="n"/>
      <c r="Y65" s="131" t="n"/>
      <c r="Z65" s="131" t="n"/>
      <c r="AA65" s="30" t="n"/>
      <c r="AB65" s="30" t="n"/>
      <c r="AC65" s="30" t="n"/>
      <c r="AD65" s="30" t="n"/>
      <c r="AE65" s="30" t="n"/>
      <c r="AF65" s="131" t="n"/>
      <c r="AG65" s="131" t="n"/>
      <c r="AH65" s="30" t="n"/>
      <c r="AI65" s="30" t="n"/>
      <c r="AJ65" s="30" t="n"/>
      <c r="AK65" s="30" t="n"/>
      <c r="AL65" s="30" t="n"/>
      <c r="AM65" s="131" t="n"/>
      <c r="AN65" s="131" t="n"/>
      <c r="AO65" s="30" t="n"/>
      <c r="AP65" s="30" t="n"/>
      <c r="AQ65" s="30" t="n"/>
      <c r="AR65" s="30" t="n"/>
      <c r="AS65" s="30" t="n"/>
      <c r="AT65" s="131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47" t="n"/>
      <c r="Q66" s="30" t="n"/>
      <c r="R66" s="131" t="n"/>
      <c r="S66" s="131" t="n"/>
      <c r="T66" s="30" t="n"/>
      <c r="U66" s="30" t="n"/>
      <c r="V66" s="30" t="n"/>
      <c r="W66" s="30" t="n"/>
      <c r="X66" s="30" t="n"/>
      <c r="Y66" s="131" t="n"/>
      <c r="Z66" s="131" t="n"/>
      <c r="AA66" s="30" t="n"/>
      <c r="AB66" s="30" t="n"/>
      <c r="AC66" s="30" t="n"/>
      <c r="AD66" s="30" t="n"/>
      <c r="AE66" s="30" t="n"/>
      <c r="AF66" s="131" t="n"/>
      <c r="AG66" s="131" t="n"/>
      <c r="AH66" s="30" t="n"/>
      <c r="AI66" s="30" t="n"/>
      <c r="AJ66" s="30" t="n"/>
      <c r="AK66" s="30" t="n"/>
      <c r="AL66" s="30" t="n"/>
      <c r="AM66" s="131" t="n"/>
      <c r="AN66" s="131" t="n"/>
      <c r="AO66" s="30" t="n"/>
      <c r="AP66" s="30" t="n"/>
      <c r="AQ66" s="30" t="n"/>
      <c r="AR66" s="30" t="n"/>
      <c r="AS66" s="30" t="n"/>
      <c r="AT66" s="131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7" t="n"/>
      <c r="Q67" s="30" t="n"/>
      <c r="R67" s="131" t="n"/>
      <c r="S67" s="131" t="n"/>
      <c r="T67" s="30" t="n"/>
      <c r="U67" s="30" t="n"/>
      <c r="V67" s="30" t="n"/>
      <c r="W67" s="30" t="n"/>
      <c r="X67" s="30" t="n"/>
      <c r="Y67" s="131" t="n"/>
      <c r="Z67" s="131" t="n"/>
      <c r="AA67" s="30" t="n"/>
      <c r="AB67" s="30" t="n"/>
      <c r="AC67" s="30" t="n"/>
      <c r="AD67" s="30" t="n"/>
      <c r="AE67" s="30" t="n"/>
      <c r="AF67" s="131" t="n"/>
      <c r="AG67" s="131" t="n"/>
      <c r="AH67" s="30" t="n"/>
      <c r="AI67" s="30" t="n"/>
      <c r="AJ67" s="30" t="n"/>
      <c r="AK67" s="30" t="n"/>
      <c r="AL67" s="30" t="n"/>
      <c r="AM67" s="131" t="n"/>
      <c r="AN67" s="131" t="n"/>
      <c r="AO67" s="30" t="n"/>
      <c r="AP67" s="30" t="n"/>
      <c r="AQ67" s="30" t="n"/>
      <c r="AR67" s="30" t="n"/>
      <c r="AS67" s="30" t="n"/>
      <c r="AT67" s="131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47" t="n"/>
      <c r="Q68" s="30" t="n"/>
      <c r="R68" s="131" t="n"/>
      <c r="S68" s="131" t="n"/>
      <c r="T68" s="30" t="n"/>
      <c r="U68" s="30" t="n"/>
      <c r="V68" s="30" t="n"/>
      <c r="W68" s="30" t="n"/>
      <c r="X68" s="30" t="n"/>
      <c r="Y68" s="131" t="n"/>
      <c r="Z68" s="131" t="n"/>
      <c r="AA68" s="30" t="n"/>
      <c r="AB68" s="30" t="n"/>
      <c r="AC68" s="30" t="n"/>
      <c r="AD68" s="30" t="n"/>
      <c r="AE68" s="30" t="n"/>
      <c r="AF68" s="131" t="n"/>
      <c r="AG68" s="131" t="n"/>
      <c r="AH68" s="30" t="n"/>
      <c r="AI68" s="30" t="n"/>
      <c r="AJ68" s="30" t="n"/>
      <c r="AK68" s="30" t="n"/>
      <c r="AL68" s="30" t="n"/>
      <c r="AM68" s="131" t="n"/>
      <c r="AN68" s="131" t="n"/>
      <c r="AO68" s="30" t="n"/>
      <c r="AP68" s="30" t="n"/>
      <c r="AQ68" s="30" t="n"/>
      <c r="AR68" s="30" t="n"/>
      <c r="AS68" s="30" t="n"/>
      <c r="AT68" s="131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147" t="n"/>
      <c r="Q69" s="30" t="n"/>
      <c r="R69" s="131" t="n"/>
      <c r="S69" s="131" t="n"/>
      <c r="T69" s="30" t="n"/>
      <c r="U69" s="30" t="n"/>
      <c r="V69" s="30" t="n"/>
      <c r="W69" s="30" t="n"/>
      <c r="X69" s="30" t="n"/>
      <c r="Y69" s="131" t="n"/>
      <c r="Z69" s="131" t="n"/>
      <c r="AA69" s="30" t="n"/>
      <c r="AB69" s="30" t="n"/>
      <c r="AC69" s="30" t="n"/>
      <c r="AD69" s="30" t="n"/>
      <c r="AE69" s="30" t="n"/>
      <c r="AF69" s="131" t="n"/>
      <c r="AG69" s="131" t="n"/>
      <c r="AH69" s="30" t="n"/>
      <c r="AI69" s="30" t="n"/>
      <c r="AJ69" s="30" t="n"/>
      <c r="AK69" s="30" t="n"/>
      <c r="AL69" s="30" t="n"/>
      <c r="AM69" s="131" t="n"/>
      <c r="AN69" s="131" t="n"/>
      <c r="AO69" s="30" t="n"/>
      <c r="AP69" s="30" t="n"/>
      <c r="AQ69" s="30" t="n"/>
      <c r="AR69" s="30" t="n"/>
      <c r="AS69" s="30" t="n"/>
      <c r="AT69" s="131" t="n"/>
    </row>
    <row r="78">
      <c r="T78" s="27" t="inlineStr">
        <is>
          <t>P</t>
        </is>
      </c>
    </row>
  </sheetData>
  <mergeCells count="8">
    <mergeCell ref="A63:AT63"/>
    <mergeCell ref="AV50:BF50"/>
    <mergeCell ref="A5:AT7"/>
    <mergeCell ref="AV11:BF11"/>
    <mergeCell ref="A38:AS38"/>
    <mergeCell ref="AV63:BF63"/>
    <mergeCell ref="D8:O8"/>
    <mergeCell ref="AV38:BF38"/>
  </mergeCells>
  <conditionalFormatting sqref="D10:O10">
    <cfRule type="cellIs" priority="73" operator="equal" dxfId="55">
      <formula>"repos"</formula>
    </cfRule>
    <cfRule type="cellIs" priority="74" operator="equal" dxfId="53">
      <formula>"permanence"</formula>
    </cfRule>
    <cfRule type="cellIs" priority="75" operator="equal" dxfId="53">
      <formula>"dimanche"</formula>
    </cfRule>
    <cfRule type="cellIs" priority="76" operator="equal" dxfId="52">
      <formula>"formation"</formula>
    </cfRule>
    <cfRule type="cellIs" priority="77" operator="equal" dxfId="6">
      <formula>"conges exc"</formula>
    </cfRule>
    <cfRule type="cellIs" priority="78" operator="equal" dxfId="4">
      <formula>"conges"</formula>
    </cfRule>
    <cfRule type="cellIs" priority="79" operator="equal" dxfId="5">
      <formula>"asa"</formula>
    </cfRule>
    <cfRule type="cellIs" priority="80" operator="equal" dxfId="8">
      <formula>"maladie / at"</formula>
    </cfRule>
    <cfRule type="cellIs" priority="81" operator="equal" dxfId="0">
      <formula>"presence"</formula>
    </cfRule>
  </conditionalFormatting>
  <conditionalFormatting sqref="D11:O20 D23:O24 D26:O29 D31:O36 D39:O49 D51:O62 D64:O69">
    <cfRule type="cellIs" priority="82" operator="equal" dxfId="46">
      <formula>0</formula>
    </cfRule>
  </conditionalFormatting>
  <conditionalFormatting sqref="P9:AT9">
    <cfRule type="expression" priority="84" dxfId="44">
      <formula>OR(P$9=1, P$9=7)</formula>
    </cfRule>
  </conditionalFormatting>
  <conditionalFormatting sqref="P9:AT10">
    <cfRule type="expression" priority="83" dxfId="44">
      <formula>OR(P$9=1,P$9=7)</formula>
    </cfRule>
  </conditionalFormatting>
  <conditionalFormatting sqref="P23:AT24">
    <cfRule type="containsText" priority="1" operator="containsText" dxfId="10" text="TP">
      <formula>NOT(ISERROR(SEARCH("TP",P23)))</formula>
    </cfRule>
    <cfRule type="containsText" priority="2" operator="containsText" text="TAD">
      <formula>NOT(ISERROR(SEARCH("TAD",P23)))</formula>
    </cfRule>
    <cfRule type="containsText" priority="3" operator="containsText" dxfId="9" text="AT">
      <formula>NOT(ISERROR(SEARCH("AT",P23)))</formula>
    </cfRule>
    <cfRule type="containsText" priority="4" operator="containsText" dxfId="8" text="MA">
      <formula>NOT(ISERROR(SEARCH("MA",P23)))</formula>
    </cfRule>
    <cfRule type="containsText" priority="5" operator="containsText" dxfId="7" text="RES">
      <formula>NOT(ISERROR(SEARCH("RES",P23)))</formula>
    </cfRule>
    <cfRule type="containsText" priority="6" operator="containsText" dxfId="6" text="CEX">
      <formula>NOT(ISERROR(SEARCH("CEX",P23)))</formula>
    </cfRule>
    <cfRule type="containsText" priority="7" operator="containsText" dxfId="5" text="RTT">
      <formula>NOT(ISERROR(SEARCH("RTT",P23)))</formula>
    </cfRule>
    <cfRule type="beginsWith" priority="8" operator="beginsWith" dxfId="4" text="CA">
      <formula>LEFT(P23,LEN("CA"))="CA"</formula>
    </cfRule>
    <cfRule type="containsText" priority="9" operator="containsText" dxfId="3" text="AST">
      <formula>NOT(ISERROR(SEARCH("AST",P23)))</formula>
    </cfRule>
    <cfRule type="containsText" priority="10" operator="containsText" dxfId="2" text="F">
      <formula>NOT(ISERROR(SEARCH("F",P23)))</formula>
    </cfRule>
    <cfRule type="containsText" priority="11" operator="containsText" dxfId="1" text="PC">
      <formula>NOT(ISERROR(SEARCH("PC",P23)))</formula>
    </cfRule>
    <cfRule type="containsText" priority="12" operator="containsText" dxfId="0" text="P">
      <formula>NOT(ISERROR(SEARCH("P",P23)))</formula>
    </cfRule>
  </conditionalFormatting>
  <conditionalFormatting sqref="P26:AT29 P31:AT36">
    <cfRule type="containsText" priority="49" operator="containsText" dxfId="10" text="TP">
      <formula>NOT(ISERROR(SEARCH("TP",P26)))</formula>
    </cfRule>
    <cfRule type="containsText" priority="50" operator="containsText" text="TAD">
      <formula>NOT(ISERROR(SEARCH("TAD",P26)))</formula>
    </cfRule>
    <cfRule type="containsText" priority="51" operator="containsText" dxfId="9" text="AT">
      <formula>NOT(ISERROR(SEARCH("AT",P26)))</formula>
    </cfRule>
    <cfRule type="containsText" priority="52" operator="containsText" dxfId="8" text="MA">
      <formula>NOT(ISERROR(SEARCH("MA",P26)))</formula>
    </cfRule>
    <cfRule type="containsText" priority="53" operator="containsText" dxfId="7" text="RES">
      <formula>NOT(ISERROR(SEARCH("RES",P26)))</formula>
    </cfRule>
    <cfRule type="containsText" priority="54" operator="containsText" dxfId="6" text="CEX">
      <formula>NOT(ISERROR(SEARCH("CEX",P26)))</formula>
    </cfRule>
    <cfRule type="containsText" priority="55" operator="containsText" dxfId="5" text="RTT">
      <formula>NOT(ISERROR(SEARCH("RTT",P26)))</formula>
    </cfRule>
    <cfRule type="beginsWith" priority="56" operator="beginsWith" dxfId="4" text="CA">
      <formula>LEFT(P26,LEN("CA"))="CA"</formula>
    </cfRule>
    <cfRule type="containsText" priority="57" operator="containsText" dxfId="3" text="AST">
      <formula>NOT(ISERROR(SEARCH("AST",P26)))</formula>
    </cfRule>
    <cfRule type="containsText" priority="58" operator="containsText" dxfId="2" text="F">
      <formula>NOT(ISERROR(SEARCH("F",P26)))</formula>
    </cfRule>
    <cfRule type="containsText" priority="59" operator="containsText" dxfId="1" text="PC">
      <formula>NOT(ISERROR(SEARCH("PC",P26)))</formula>
    </cfRule>
    <cfRule type="containsText" priority="60" operator="containsText" dxfId="0" text="P">
      <formula>NOT(ISERROR(SEARCH("P",P26)))</formula>
    </cfRule>
  </conditionalFormatting>
  <conditionalFormatting sqref="P39:AT49">
    <cfRule type="containsText" priority="37" operator="containsText" dxfId="10" text="TP">
      <formula>NOT(ISERROR(SEARCH("TP",P39)))</formula>
    </cfRule>
    <cfRule type="containsText" priority="38" operator="containsText" text="TAD">
      <formula>NOT(ISERROR(SEARCH("TAD",P39)))</formula>
    </cfRule>
    <cfRule type="containsText" priority="39" operator="containsText" dxfId="9" text="AT">
      <formula>NOT(ISERROR(SEARCH("AT",P39)))</formula>
    </cfRule>
    <cfRule type="containsText" priority="40" operator="containsText" dxfId="8" text="MA">
      <formula>NOT(ISERROR(SEARCH("MA",P39)))</formula>
    </cfRule>
    <cfRule type="containsText" priority="41" operator="containsText" dxfId="7" text="RES">
      <formula>NOT(ISERROR(SEARCH("RES",P39)))</formula>
    </cfRule>
    <cfRule type="containsText" priority="42" operator="containsText" dxfId="6" text="CEX">
      <formula>NOT(ISERROR(SEARCH("CEX",P39)))</formula>
    </cfRule>
    <cfRule type="containsText" priority="43" operator="containsText" dxfId="5" text="RTT">
      <formula>NOT(ISERROR(SEARCH("RTT",P39)))</formula>
    </cfRule>
    <cfRule type="beginsWith" priority="44" operator="beginsWith" dxfId="4" text="CA">
      <formula>LEFT(P39,LEN("CA"))="CA"</formula>
    </cfRule>
    <cfRule type="containsText" priority="45" operator="containsText" dxfId="3" text="AST">
      <formula>NOT(ISERROR(SEARCH("AST",P39)))</formula>
    </cfRule>
    <cfRule type="containsText" priority="46" operator="containsText" dxfId="2" text="F">
      <formula>NOT(ISERROR(SEARCH("F",P39)))</formula>
    </cfRule>
    <cfRule type="containsText" priority="47" operator="containsText" dxfId="1" text="PC">
      <formula>NOT(ISERROR(SEARCH("PC",P39)))</formula>
    </cfRule>
    <cfRule type="containsText" priority="48" operator="containsText" dxfId="0" text="P">
      <formula>NOT(ISERROR(SEARCH("P",P39)))</formula>
    </cfRule>
  </conditionalFormatting>
  <conditionalFormatting sqref="P51:AT62">
    <cfRule type="containsText" priority="25" operator="containsText" dxfId="10" text="TP">
      <formula>NOT(ISERROR(SEARCH("TP",P51)))</formula>
    </cfRule>
    <cfRule type="containsText" priority="26" operator="containsText" text="TAD">
      <formula>NOT(ISERROR(SEARCH("TAD",P51)))</formula>
    </cfRule>
    <cfRule type="containsText" priority="27" operator="containsText" dxfId="9" text="AT">
      <formula>NOT(ISERROR(SEARCH("AT",P51)))</formula>
    </cfRule>
    <cfRule type="containsText" priority="28" operator="containsText" dxfId="8" text="MA">
      <formula>NOT(ISERROR(SEARCH("MA",P51)))</formula>
    </cfRule>
    <cfRule type="containsText" priority="29" operator="containsText" dxfId="7" text="RES">
      <formula>NOT(ISERROR(SEARCH("RES",P51)))</formula>
    </cfRule>
    <cfRule type="containsText" priority="30" operator="containsText" dxfId="6" text="CEX">
      <formula>NOT(ISERROR(SEARCH("CEX",P51)))</formula>
    </cfRule>
    <cfRule type="containsText" priority="31" operator="containsText" dxfId="5" text="RTT">
      <formula>NOT(ISERROR(SEARCH("RTT",P51)))</formula>
    </cfRule>
    <cfRule type="beginsWith" priority="32" operator="beginsWith" dxfId="4" text="CA">
      <formula>LEFT(P51,LEN("CA"))="CA"</formula>
    </cfRule>
    <cfRule type="containsText" priority="33" operator="containsText" dxfId="3" text="AST">
      <formula>NOT(ISERROR(SEARCH("AST",P51)))</formula>
    </cfRule>
    <cfRule type="containsText" priority="34" operator="containsText" dxfId="2" text="F">
      <formula>NOT(ISERROR(SEARCH("F",P51)))</formula>
    </cfRule>
    <cfRule type="containsText" priority="35" operator="containsText" dxfId="1" text="PC">
      <formula>NOT(ISERROR(SEARCH("PC",P51)))</formula>
    </cfRule>
    <cfRule type="containsText" priority="36" operator="containsText" dxfId="0" text="P">
      <formula>NOT(ISERROR(SEARCH("P",P51)))</formula>
    </cfRule>
  </conditionalFormatting>
  <conditionalFormatting sqref="P64:AT69">
    <cfRule type="containsText" priority="13" operator="containsText" dxfId="10" text="TP">
      <formula>NOT(ISERROR(SEARCH("TP",P64)))</formula>
    </cfRule>
    <cfRule type="containsText" priority="14" operator="containsText" text="TAD">
      <formula>NOT(ISERROR(SEARCH("TAD",P64)))</formula>
    </cfRule>
    <cfRule type="containsText" priority="15" operator="containsText" dxfId="9" text="AT">
      <formula>NOT(ISERROR(SEARCH("AT",P64)))</formula>
    </cfRule>
    <cfRule type="containsText" priority="16" operator="containsText" dxfId="8" text="MA">
      <formula>NOT(ISERROR(SEARCH("MA",P64)))</formula>
    </cfRule>
    <cfRule type="containsText" priority="17" operator="containsText" dxfId="7" text="RES">
      <formula>NOT(ISERROR(SEARCH("RES",P64)))</formula>
    </cfRule>
    <cfRule type="containsText" priority="18" operator="containsText" dxfId="6" text="CEX">
      <formula>NOT(ISERROR(SEARCH("CEX",P64)))</formula>
    </cfRule>
    <cfRule type="containsText" priority="19" operator="containsText" dxfId="5" text="RTT">
      <formula>NOT(ISERROR(SEARCH("RTT",P64)))</formula>
    </cfRule>
    <cfRule type="beginsWith" priority="20" operator="beginsWith" dxfId="4" text="CA">
      <formula>LEFT(P64,LEN("CA"))="CA"</formula>
    </cfRule>
    <cfRule type="containsText" priority="21" operator="containsText" dxfId="3" text="AST">
      <formula>NOT(ISERROR(SEARCH("AST",P64)))</formula>
    </cfRule>
    <cfRule type="containsText" priority="22" operator="containsText" dxfId="2" text="F">
      <formula>NOT(ISERROR(SEARCH("F",P64)))</formula>
    </cfRule>
    <cfRule type="containsText" priority="23" operator="containsText" dxfId="1" text="PC">
      <formula>NOT(ISERROR(SEARCH("PC",P64)))</formula>
    </cfRule>
    <cfRule type="containsText" priority="24" operator="containsText" dxfId="0" text="P">
      <formula>NOT(ISERROR(SEARCH("P",P64)))</formula>
    </cfRule>
  </conditionalFormatting>
  <conditionalFormatting sqref="P11:AU20">
    <cfRule type="containsText" priority="61" operator="containsText" dxfId="10" text="TP">
      <formula>NOT(ISERROR(SEARCH("TP",P11)))</formula>
    </cfRule>
    <cfRule type="containsText" priority="62" operator="containsText" text="TAD">
      <formula>NOT(ISERROR(SEARCH("TAD",P11)))</formula>
    </cfRule>
    <cfRule type="containsText" priority="63" operator="containsText" dxfId="9" text="AT">
      <formula>NOT(ISERROR(SEARCH("AT",P11)))</formula>
    </cfRule>
    <cfRule type="containsText" priority="64" operator="containsText" dxfId="8" text="MA">
      <formula>NOT(ISERROR(SEARCH("MA",P11)))</formula>
    </cfRule>
    <cfRule type="containsText" priority="65" operator="containsText" dxfId="7" text="RES">
      <formula>NOT(ISERROR(SEARCH("RES",P11)))</formula>
    </cfRule>
    <cfRule type="containsText" priority="66" operator="containsText" dxfId="6" text="CEX">
      <formula>NOT(ISERROR(SEARCH("CEX",P11)))</formula>
    </cfRule>
    <cfRule type="containsText" priority="67" operator="containsText" dxfId="5" text="RTT">
      <formula>NOT(ISERROR(SEARCH("RTT",P11)))</formula>
    </cfRule>
    <cfRule type="beginsWith" priority="68" operator="beginsWith" dxfId="4" text="CA">
      <formula>LEFT(P11,LEN("CA"))="CA"</formula>
    </cfRule>
    <cfRule type="containsText" priority="69" operator="containsText" dxfId="3" text="AST">
      <formula>NOT(ISERROR(SEARCH("AST",P11)))</formula>
    </cfRule>
    <cfRule type="containsText" priority="70" operator="containsText" dxfId="2" text="F">
      <formula>NOT(ISERROR(SEARCH("F",P11)))</formula>
    </cfRule>
    <cfRule type="containsText" priority="71" operator="containsText" dxfId="1" text="PC">
      <formula>NOT(ISERROR(SEARCH("PC",P11)))</formula>
    </cfRule>
    <cfRule type="containsText" priority="72" operator="containsText" dxfId="0" text="P">
      <formula>NOT(ISERROR(SEARCH("P",P11)))</formula>
    </cfRule>
  </conditionalFormatting>
  <dataValidations count="3"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  <dataValidation sqref="T78" showDropDown="0" showInputMessage="1" showErrorMessage="1" allowBlank="1" type="list">
      <formula1>$D$9:$O$9</formula1>
    </dataValidation>
    <dataValidation sqref="P10:AT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E78"/>
  <sheetViews>
    <sheetView zoomScale="90" zoomScaleNormal="90" workbookViewId="0">
      <pane xSplit="2" ySplit="10" topLeftCell="C20" activePane="bottomRight" state="frozen"/>
      <selection pane="topRight" activeCell="AQ41" sqref="AQ41"/>
      <selection pane="bottomLeft" activeCell="AQ41" sqref="AQ41"/>
      <selection pane="bottomRight" activeCell="AT1" sqref="AT1:AT1048576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config!B15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config!C15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135" t="inlineStr">
        <is>
          <t>FERIE</t>
        </is>
      </c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n"/>
      <c r="AN8" s="176" t="n"/>
      <c r="AO8" s="176" t="n"/>
      <c r="AP8" s="176" t="n"/>
      <c r="AQ8" s="176" t="n"/>
      <c r="AR8" s="193" t="n"/>
      <c r="AS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10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304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11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305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261" t="n"/>
      <c r="Q11" s="30" t="n"/>
      <c r="R11" s="30" t="n"/>
      <c r="S11" s="30" t="n"/>
      <c r="T11" s="30" t="n"/>
      <c r="U11" s="30" t="n"/>
      <c r="V11" s="131" t="n"/>
      <c r="W11" s="131" t="n"/>
      <c r="X11" s="30" t="n"/>
      <c r="Y11" s="30" t="n"/>
      <c r="Z11" s="141" t="n"/>
      <c r="AA11" s="30" t="n"/>
      <c r="AB11" s="30" t="n"/>
      <c r="AC11" s="131" t="n"/>
      <c r="AD11" s="131" t="n"/>
      <c r="AE11" s="30" t="n"/>
      <c r="AF11" s="30" t="n"/>
      <c r="AG11" s="30" t="n"/>
      <c r="AH11" s="30" t="n"/>
      <c r="AI11" s="30" t="n"/>
      <c r="AJ11" s="131" t="n"/>
      <c r="AK11" s="131" t="n"/>
      <c r="AL11" s="30" t="n"/>
      <c r="AM11" s="30" t="n"/>
      <c r="AN11" s="30" t="n"/>
      <c r="AO11" s="30" t="n"/>
      <c r="AP11" s="30" t="n"/>
      <c r="AQ11" s="131" t="n"/>
      <c r="AR11" s="131" t="n"/>
      <c r="AS11" s="30" t="n"/>
      <c r="AT11" s="1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245" t="n"/>
      <c r="Q12" s="8" t="n"/>
      <c r="R12" s="8" t="n"/>
      <c r="S12" s="8" t="n"/>
      <c r="T12" s="8" t="n"/>
      <c r="U12" s="8" t="n"/>
      <c r="V12" s="121" t="n"/>
      <c r="W12" s="121" t="n"/>
      <c r="X12" s="8" t="n"/>
      <c r="Y12" s="8" t="n"/>
      <c r="Z12" s="139" t="n"/>
      <c r="AA12" s="8" t="n"/>
      <c r="AB12" s="8" t="n"/>
      <c r="AC12" s="121" t="n"/>
      <c r="AD12" s="121" t="n"/>
      <c r="AE12" s="8" t="n"/>
      <c r="AF12" s="8" t="n"/>
      <c r="AG12" s="8" t="n"/>
      <c r="AH12" s="8" t="n"/>
      <c r="AI12" s="8" t="n"/>
      <c r="AJ12" s="121" t="n"/>
      <c r="AK12" s="121" t="n"/>
      <c r="AL12" s="8" t="n"/>
      <c r="AM12" s="8" t="n"/>
      <c r="AN12" s="8" t="n"/>
      <c r="AO12" s="8" t="n"/>
      <c r="AP12" s="8" t="n"/>
      <c r="AQ12" s="121" t="n"/>
      <c r="AR12" s="121" t="n"/>
      <c r="AS12" s="8" t="n"/>
      <c r="AT12" s="1" t="n"/>
      <c r="AU12" s="197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245" t="n"/>
      <c r="Q13" s="8" t="n"/>
      <c r="R13" s="8" t="n"/>
      <c r="S13" s="8" t="n"/>
      <c r="T13" s="8" t="n"/>
      <c r="U13" s="8" t="n"/>
      <c r="V13" s="121" t="n"/>
      <c r="W13" s="121" t="n"/>
      <c r="X13" s="8" t="n"/>
      <c r="Y13" s="8" t="n"/>
      <c r="Z13" s="139" t="n"/>
      <c r="AA13" s="8" t="n"/>
      <c r="AB13" s="8" t="n"/>
      <c r="AC13" s="121" t="n"/>
      <c r="AD13" s="121" t="n"/>
      <c r="AE13" s="8" t="n"/>
      <c r="AF13" s="8" t="n"/>
      <c r="AG13" s="8" t="n"/>
      <c r="AH13" s="8" t="n"/>
      <c r="AI13" s="8" t="n"/>
      <c r="AJ13" s="121" t="n"/>
      <c r="AK13" s="121" t="n"/>
      <c r="AL13" s="8" t="n"/>
      <c r="AM13" s="8" t="n"/>
      <c r="AN13" s="8" t="n"/>
      <c r="AO13" s="8" t="n"/>
      <c r="AP13" s="8" t="n"/>
      <c r="AQ13" s="121" t="n"/>
      <c r="AR13" s="121" t="n"/>
      <c r="AS13" s="8" t="n"/>
      <c r="AT13" s="1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45" t="n"/>
      <c r="Q14" s="8" t="n"/>
      <c r="R14" s="8" t="n"/>
      <c r="S14" s="8" t="n"/>
      <c r="T14" s="8" t="n"/>
      <c r="U14" s="8" t="n"/>
      <c r="V14" s="121" t="n"/>
      <c r="W14" s="121" t="n"/>
      <c r="X14" s="8" t="n"/>
      <c r="Y14" s="8" t="n"/>
      <c r="Z14" s="139" t="n"/>
      <c r="AA14" s="8" t="n"/>
      <c r="AB14" s="8" t="n"/>
      <c r="AC14" s="121" t="n"/>
      <c r="AD14" s="121" t="n"/>
      <c r="AE14" s="8" t="n"/>
      <c r="AF14" s="8" t="n"/>
      <c r="AG14" s="8" t="n"/>
      <c r="AH14" s="8" t="n"/>
      <c r="AI14" s="8" t="n"/>
      <c r="AJ14" s="121" t="n"/>
      <c r="AK14" s="121" t="n"/>
      <c r="AL14" s="8" t="n"/>
      <c r="AM14" s="8" t="n"/>
      <c r="AN14" s="8" t="n"/>
      <c r="AO14" s="8" t="n"/>
      <c r="AP14" s="8" t="n"/>
      <c r="AQ14" s="121" t="n"/>
      <c r="AR14" s="121" t="n"/>
      <c r="AS14" s="8" t="n"/>
      <c r="AT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245" t="n"/>
      <c r="Q15" s="8" t="n"/>
      <c r="R15" s="8" t="n"/>
      <c r="S15" s="8" t="n"/>
      <c r="T15" s="8" t="n"/>
      <c r="U15" s="8" t="n"/>
      <c r="V15" s="121" t="n"/>
      <c r="W15" s="121" t="n"/>
      <c r="X15" s="8" t="n"/>
      <c r="Y15" s="8" t="n"/>
      <c r="Z15" s="139" t="n"/>
      <c r="AA15" s="8" t="n"/>
      <c r="AB15" s="8" t="n"/>
      <c r="AC15" s="121" t="n"/>
      <c r="AD15" s="121" t="n"/>
      <c r="AE15" s="8" t="n"/>
      <c r="AF15" s="8" t="n"/>
      <c r="AG15" s="8" t="n"/>
      <c r="AH15" s="8" t="n"/>
      <c r="AI15" s="8" t="n"/>
      <c r="AJ15" s="121" t="n"/>
      <c r="AK15" s="121" t="n"/>
      <c r="AL15" s="8" t="n"/>
      <c r="AM15" s="8" t="n"/>
      <c r="AN15" s="8" t="n"/>
      <c r="AO15" s="8" t="n"/>
      <c r="AP15" s="8" t="n"/>
      <c r="AQ15" s="121" t="n"/>
      <c r="AR15" s="121" t="n"/>
      <c r="AS15" s="8" t="n"/>
      <c r="AT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245" t="n"/>
      <c r="Q16" s="8" t="n"/>
      <c r="R16" s="8" t="n"/>
      <c r="S16" s="8" t="n"/>
      <c r="T16" s="8" t="n"/>
      <c r="U16" s="8" t="n"/>
      <c r="V16" s="121" t="n"/>
      <c r="W16" s="121" t="n"/>
      <c r="X16" s="8" t="n"/>
      <c r="Y16" s="8" t="n"/>
      <c r="Z16" s="139" t="n"/>
      <c r="AA16" s="8" t="n"/>
      <c r="AB16" s="8" t="n"/>
      <c r="AC16" s="121" t="n"/>
      <c r="AD16" s="121" t="n"/>
      <c r="AE16" s="8" t="n"/>
      <c r="AF16" s="8" t="n"/>
      <c r="AG16" s="8" t="n"/>
      <c r="AH16" s="8" t="n"/>
      <c r="AI16" s="8" t="n"/>
      <c r="AJ16" s="121" t="n"/>
      <c r="AK16" s="121" t="n"/>
      <c r="AL16" s="8" t="n"/>
      <c r="AM16" s="8" t="n"/>
      <c r="AN16" s="8" t="n"/>
      <c r="AO16" s="8" t="n"/>
      <c r="AP16" s="8" t="n"/>
      <c r="AQ16" s="121" t="n"/>
      <c r="AR16" s="121" t="n"/>
      <c r="AS16" s="8" t="n"/>
      <c r="AT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245" t="n"/>
      <c r="Q17" s="8" t="n"/>
      <c r="R17" s="8" t="n"/>
      <c r="S17" s="8" t="n"/>
      <c r="T17" s="8" t="n"/>
      <c r="U17" s="8" t="n"/>
      <c r="V17" s="121" t="n"/>
      <c r="W17" s="121" t="n"/>
      <c r="X17" s="8" t="n"/>
      <c r="Y17" s="8" t="n"/>
      <c r="Z17" s="139" t="n"/>
      <c r="AA17" s="8" t="n"/>
      <c r="AB17" s="8" t="n"/>
      <c r="AC17" s="121" t="n"/>
      <c r="AD17" s="121" t="n"/>
      <c r="AE17" s="8" t="n"/>
      <c r="AF17" s="8" t="n"/>
      <c r="AG17" s="8" t="n"/>
      <c r="AH17" s="8" t="n"/>
      <c r="AI17" s="8" t="n"/>
      <c r="AJ17" s="121" t="n"/>
      <c r="AK17" s="121" t="n"/>
      <c r="AL17" s="8" t="n"/>
      <c r="AM17" s="8" t="n"/>
      <c r="AN17" s="8" t="n"/>
      <c r="AO17" s="8" t="n"/>
      <c r="AP17" s="8" t="n"/>
      <c r="AQ17" s="121" t="n"/>
      <c r="AR17" s="121" t="n"/>
      <c r="AS17" s="8" t="n"/>
      <c r="AT17" s="1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245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39" t="n"/>
      <c r="AA18" s="154" t="n"/>
      <c r="AB18" s="154" t="n"/>
      <c r="AC18" s="154" t="n"/>
      <c r="AD18" s="154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154" t="n"/>
      <c r="AO18" s="154" t="n"/>
      <c r="AP18" s="154" t="n"/>
      <c r="AQ18" s="154" t="n"/>
      <c r="AR18" s="154" t="n"/>
      <c r="AS18" s="154" t="n"/>
      <c r="AT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245" t="n"/>
      <c r="Q19" s="8" t="n"/>
      <c r="R19" s="8" t="n"/>
      <c r="S19" s="8" t="n"/>
      <c r="T19" s="8" t="n"/>
      <c r="U19" s="8" t="n"/>
      <c r="V19" s="121" t="n"/>
      <c r="W19" s="121" t="n"/>
      <c r="X19" s="8" t="n"/>
      <c r="Y19" s="8" t="n"/>
      <c r="Z19" s="139" t="n"/>
      <c r="AA19" s="8" t="n"/>
      <c r="AB19" s="8" t="n"/>
      <c r="AC19" s="121" t="n"/>
      <c r="AD19" s="121" t="n"/>
      <c r="AE19" s="8" t="n"/>
      <c r="AF19" s="8" t="n"/>
      <c r="AG19" s="8" t="n"/>
      <c r="AH19" s="8" t="n"/>
      <c r="AI19" s="8" t="n"/>
      <c r="AJ19" s="121" t="n"/>
      <c r="AK19" s="121" t="n"/>
      <c r="AL19" s="8" t="n"/>
      <c r="AM19" s="8" t="n"/>
      <c r="AN19" s="8" t="n"/>
      <c r="AO19" s="8" t="n"/>
      <c r="AP19" s="8" t="n"/>
      <c r="AQ19" s="121" t="n"/>
      <c r="AR19" s="121" t="n"/>
      <c r="AS19" s="8" t="n"/>
      <c r="AT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262" t="n"/>
      <c r="Q20" s="29" t="n"/>
      <c r="R20" s="29" t="n"/>
      <c r="S20" s="29" t="n"/>
      <c r="T20" s="29" t="n"/>
      <c r="U20" s="29" t="n"/>
      <c r="V20" s="122" t="n"/>
      <c r="W20" s="122" t="n"/>
      <c r="X20" s="29" t="n"/>
      <c r="Y20" s="29" t="n"/>
      <c r="Z20" s="140" t="n"/>
      <c r="AA20" s="29" t="n"/>
      <c r="AB20" s="29" t="n"/>
      <c r="AC20" s="122" t="n"/>
      <c r="AD20" s="122" t="n"/>
      <c r="AE20" s="29" t="n"/>
      <c r="AF20" s="29" t="n"/>
      <c r="AG20" s="29" t="n"/>
      <c r="AH20" s="29" t="n"/>
      <c r="AI20" s="29" t="n"/>
      <c r="AJ20" s="122" t="n"/>
      <c r="AK20" s="122" t="n"/>
      <c r="AL20" s="29" t="n"/>
      <c r="AM20" s="29" t="n"/>
      <c r="AN20" s="29" t="n"/>
      <c r="AO20" s="29" t="n"/>
      <c r="AP20" s="29" t="n"/>
      <c r="AQ20" s="122" t="n"/>
      <c r="AR20" s="122" t="n"/>
      <c r="AS20" s="29" t="n"/>
      <c r="AT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261" t="n"/>
      <c r="Q23" s="30" t="n"/>
      <c r="R23" s="30" t="n"/>
      <c r="S23" s="30" t="n"/>
      <c r="T23" s="30" t="n"/>
      <c r="U23" s="30" t="n"/>
      <c r="V23" s="131" t="n"/>
      <c r="W23" s="131" t="n"/>
      <c r="X23" s="30" t="n"/>
      <c r="Y23" s="30" t="n"/>
      <c r="Z23" s="141" t="n"/>
      <c r="AA23" s="30" t="n"/>
      <c r="AB23" s="30" t="n"/>
      <c r="AC23" s="131" t="n"/>
      <c r="AD23" s="131" t="n"/>
      <c r="AE23" s="30" t="n"/>
      <c r="AF23" s="30" t="n"/>
      <c r="AG23" s="30" t="n"/>
      <c r="AH23" s="30" t="n"/>
      <c r="AI23" s="30" t="n"/>
      <c r="AJ23" s="131" t="n"/>
      <c r="AK23" s="131" t="n"/>
      <c r="AL23" s="30" t="n"/>
      <c r="AM23" s="30" t="n"/>
      <c r="AN23" s="30" t="n"/>
      <c r="AO23" s="30" t="n"/>
      <c r="AP23" s="30" t="n"/>
      <c r="AQ23" s="131" t="n"/>
      <c r="AR23" s="131" t="n"/>
      <c r="AS23" s="30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261" t="n"/>
      <c r="Q24" s="30" t="n"/>
      <c r="R24" s="8" t="n"/>
      <c r="S24" s="8" t="n"/>
      <c r="T24" s="8" t="n"/>
      <c r="U24" s="8" t="n"/>
      <c r="V24" s="121" t="n"/>
      <c r="W24" s="121" t="n"/>
      <c r="X24" s="8" t="n"/>
      <c r="Y24" s="8" t="n"/>
      <c r="Z24" s="139" t="n"/>
      <c r="AA24" s="8" t="n"/>
      <c r="AB24" s="8" t="n"/>
      <c r="AC24" s="121" t="n"/>
      <c r="AD24" s="121" t="n"/>
      <c r="AE24" s="8" t="n"/>
      <c r="AF24" s="8" t="n"/>
      <c r="AG24" s="8" t="n"/>
      <c r="AH24" s="8" t="n"/>
      <c r="AI24" s="8" t="n"/>
      <c r="AJ24" s="121" t="n"/>
      <c r="AK24" s="121" t="n"/>
      <c r="AL24" s="8" t="n"/>
      <c r="AM24" s="8" t="n"/>
      <c r="AN24" s="8" t="n"/>
      <c r="AO24" s="8" t="n"/>
      <c r="AP24" s="8" t="n"/>
      <c r="AQ24" s="121" t="n"/>
      <c r="AR24" s="121" t="n"/>
      <c r="AS24" s="8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261" t="n"/>
      <c r="Q26" s="30" t="n"/>
      <c r="R26" s="30" t="n"/>
      <c r="S26" s="30" t="n"/>
      <c r="T26" s="30" t="n"/>
      <c r="U26" s="30" t="n"/>
      <c r="V26" s="131" t="n"/>
      <c r="W26" s="131" t="n"/>
      <c r="X26" s="30" t="n"/>
      <c r="Y26" s="30" t="n"/>
      <c r="Z26" s="141" t="n"/>
      <c r="AA26" s="30" t="n"/>
      <c r="AB26" s="30" t="n"/>
      <c r="AC26" s="131" t="n"/>
      <c r="AD26" s="131" t="n"/>
      <c r="AE26" s="30" t="n"/>
      <c r="AF26" s="30" t="n"/>
      <c r="AG26" s="30" t="n"/>
      <c r="AH26" s="30" t="n"/>
      <c r="AI26" s="30" t="n"/>
      <c r="AJ26" s="131" t="n"/>
      <c r="AK26" s="131" t="n"/>
      <c r="AL26" s="30" t="n"/>
      <c r="AM26" s="30" t="n"/>
      <c r="AN26" s="30" t="n"/>
      <c r="AO26" s="30" t="n"/>
      <c r="AP26" s="30" t="n"/>
      <c r="AQ26" s="131" t="n"/>
      <c r="AR26" s="131" t="n"/>
      <c r="AS26" s="30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261" t="n"/>
      <c r="Q27" s="30" t="n"/>
      <c r="R27" s="30" t="n"/>
      <c r="S27" s="30" t="n"/>
      <c r="T27" s="30" t="n"/>
      <c r="U27" s="30" t="n"/>
      <c r="V27" s="121" t="n"/>
      <c r="W27" s="121" t="n"/>
      <c r="X27" s="8" t="n"/>
      <c r="Y27" s="8" t="n"/>
      <c r="Z27" s="139" t="n"/>
      <c r="AA27" s="8" t="n"/>
      <c r="AB27" s="8" t="n"/>
      <c r="AC27" s="121" t="n"/>
      <c r="AD27" s="121" t="n"/>
      <c r="AE27" s="8" t="n"/>
      <c r="AF27" s="8" t="n"/>
      <c r="AG27" s="8" t="n"/>
      <c r="AH27" s="8" t="n"/>
      <c r="AI27" s="8" t="n"/>
      <c r="AJ27" s="121" t="n"/>
      <c r="AK27" s="121" t="n"/>
      <c r="AL27" s="8" t="n"/>
      <c r="AM27" s="8" t="n"/>
      <c r="AN27" s="8" t="n"/>
      <c r="AO27" s="8" t="n"/>
      <c r="AP27" s="8" t="n"/>
      <c r="AQ27" s="121" t="n"/>
      <c r="AR27" s="121" t="n"/>
      <c r="AS27" s="8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261" t="n"/>
      <c r="Q28" s="30" t="n"/>
      <c r="R28" s="30" t="n"/>
      <c r="S28" s="30" t="n"/>
      <c r="T28" s="30" t="n"/>
      <c r="U28" s="30" t="n"/>
      <c r="V28" s="131" t="n"/>
      <c r="W28" s="131" t="n"/>
      <c r="X28" s="30" t="n"/>
      <c r="Y28" s="30" t="n"/>
      <c r="Z28" s="141" t="n"/>
      <c r="AA28" s="30" t="n"/>
      <c r="AB28" s="30" t="n"/>
      <c r="AC28" s="131" t="n"/>
      <c r="AD28" s="131" t="n"/>
      <c r="AE28" s="30" t="n"/>
      <c r="AF28" s="30" t="n"/>
      <c r="AG28" s="30" t="n"/>
      <c r="AH28" s="30" t="n"/>
      <c r="AI28" s="30" t="n"/>
      <c r="AJ28" s="131" t="n"/>
      <c r="AK28" s="131" t="n"/>
      <c r="AL28" s="30" t="n"/>
      <c r="AM28" s="30" t="n"/>
      <c r="AN28" s="30" t="n"/>
      <c r="AO28" s="30" t="n"/>
      <c r="AP28" s="30" t="n"/>
      <c r="AQ28" s="131" t="n"/>
      <c r="AR28" s="131" t="n"/>
      <c r="AS28" s="30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216" t="n"/>
      <c r="Q29" s="13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  <c r="AR29" s="121" t="n"/>
      <c r="AS29" s="12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261" t="n"/>
      <c r="Q31" s="30" t="n"/>
      <c r="R31" s="8" t="n"/>
      <c r="S31" s="8" t="n"/>
      <c r="T31" s="8" t="n"/>
      <c r="U31" s="8" t="n"/>
      <c r="V31" s="121" t="n"/>
      <c r="W31" s="121" t="n"/>
      <c r="X31" s="8" t="n"/>
      <c r="Y31" s="8" t="n"/>
      <c r="Z31" s="139" t="n"/>
      <c r="AA31" s="8" t="n"/>
      <c r="AB31" s="8" t="n"/>
      <c r="AC31" s="121" t="n"/>
      <c r="AD31" s="121" t="n"/>
      <c r="AE31" s="8" t="n"/>
      <c r="AF31" s="8" t="n"/>
      <c r="AG31" s="8" t="n"/>
      <c r="AH31" s="8" t="n"/>
      <c r="AI31" s="8" t="n"/>
      <c r="AJ31" s="121" t="n"/>
      <c r="AK31" s="121" t="n"/>
      <c r="AL31" s="8" t="n"/>
      <c r="AM31" s="8" t="n"/>
      <c r="AN31" s="8" t="n"/>
      <c r="AO31" s="8" t="n"/>
      <c r="AP31" s="8" t="n"/>
      <c r="AQ31" s="121" t="n"/>
      <c r="AR31" s="121" t="n"/>
      <c r="AS31" s="8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261" t="n"/>
      <c r="Q32" s="30" t="n"/>
      <c r="R32" s="8" t="n"/>
      <c r="S32" s="8" t="n"/>
      <c r="T32" s="8" t="n"/>
      <c r="U32" s="8" t="n"/>
      <c r="V32" s="121" t="n"/>
      <c r="W32" s="121" t="n"/>
      <c r="X32" s="8" t="n"/>
      <c r="Y32" s="8" t="n"/>
      <c r="Z32" s="139" t="n"/>
      <c r="AA32" s="8" t="n"/>
      <c r="AB32" s="8" t="n"/>
      <c r="AC32" s="121" t="n"/>
      <c r="AD32" s="121" t="n"/>
      <c r="AE32" s="8" t="n"/>
      <c r="AF32" s="8" t="n"/>
      <c r="AG32" s="8" t="n"/>
      <c r="AH32" s="8" t="n"/>
      <c r="AI32" s="8" t="n"/>
      <c r="AJ32" s="121" t="n"/>
      <c r="AK32" s="121" t="n"/>
      <c r="AL32" s="8" t="n"/>
      <c r="AM32" s="8" t="n"/>
      <c r="AN32" s="8" t="n"/>
      <c r="AO32" s="8" t="n"/>
      <c r="AP32" s="8" t="n"/>
      <c r="AQ32" s="121" t="n"/>
      <c r="AR32" s="121" t="n"/>
      <c r="AS32" s="8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261" t="n"/>
      <c r="Q33" s="30" t="n"/>
      <c r="R33" s="8" t="n"/>
      <c r="S33" s="8" t="n"/>
      <c r="T33" s="8" t="n"/>
      <c r="U33" s="8" t="n"/>
      <c r="V33" s="121" t="n"/>
      <c r="W33" s="121" t="n"/>
      <c r="X33" s="8" t="n"/>
      <c r="Y33" s="8" t="n"/>
      <c r="Z33" s="139" t="n"/>
      <c r="AA33" s="8" t="n"/>
      <c r="AB33" s="8" t="n"/>
      <c r="AC33" s="121" t="n"/>
      <c r="AD33" s="121" t="n"/>
      <c r="AE33" s="8" t="n"/>
      <c r="AF33" s="8" t="n"/>
      <c r="AG33" s="8" t="n"/>
      <c r="AH33" s="8" t="n"/>
      <c r="AI33" s="8" t="n"/>
      <c r="AJ33" s="121" t="n"/>
      <c r="AK33" s="121" t="n"/>
      <c r="AL33" s="8" t="n"/>
      <c r="AM33" s="8" t="n"/>
      <c r="AN33" s="8" t="n"/>
      <c r="AO33" s="8" t="n"/>
      <c r="AP33" s="8" t="n"/>
      <c r="AQ33" s="121" t="n"/>
      <c r="AR33" s="121" t="n"/>
      <c r="AS33" s="8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261" t="n"/>
      <c r="Q34" s="30" t="n"/>
      <c r="R34" s="8" t="n"/>
      <c r="S34" s="8" t="n"/>
      <c r="T34" s="8" t="n"/>
      <c r="U34" s="8" t="n"/>
      <c r="V34" s="121" t="n"/>
      <c r="W34" s="121" t="n"/>
      <c r="X34" s="8" t="n"/>
      <c r="Y34" s="8" t="n"/>
      <c r="Z34" s="139" t="n"/>
      <c r="AA34" s="8" t="n"/>
      <c r="AB34" s="8" t="n"/>
      <c r="AC34" s="121" t="n"/>
      <c r="AD34" s="121" t="n"/>
      <c r="AE34" s="8" t="n"/>
      <c r="AF34" s="8" t="n"/>
      <c r="AG34" s="8" t="n"/>
      <c r="AH34" s="8" t="n"/>
      <c r="AI34" s="8" t="n"/>
      <c r="AJ34" s="121" t="n"/>
      <c r="AK34" s="121" t="n"/>
      <c r="AL34" s="8" t="n"/>
      <c r="AM34" s="8" t="n"/>
      <c r="AN34" s="8" t="n"/>
      <c r="AO34" s="8" t="n"/>
      <c r="AP34" s="8" t="n"/>
      <c r="AQ34" s="121" t="n"/>
      <c r="AR34" s="121" t="n"/>
      <c r="AS34" s="8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261" t="n"/>
      <c r="Q35" s="30" t="n"/>
      <c r="R35" s="8" t="n"/>
      <c r="S35" s="8" t="n"/>
      <c r="T35" s="8" t="n"/>
      <c r="U35" s="8" t="n"/>
      <c r="V35" s="121" t="n"/>
      <c r="W35" s="121" t="n"/>
      <c r="X35" s="8" t="n"/>
      <c r="Y35" s="8" t="n"/>
      <c r="Z35" s="139" t="n"/>
      <c r="AA35" s="8" t="n"/>
      <c r="AB35" s="8" t="n"/>
      <c r="AC35" s="121" t="n"/>
      <c r="AD35" s="121" t="n"/>
      <c r="AE35" s="8" t="n"/>
      <c r="AF35" s="8" t="n"/>
      <c r="AG35" s="8" t="n"/>
      <c r="AH35" s="8" t="n"/>
      <c r="AI35" s="8" t="n"/>
      <c r="AJ35" s="121" t="n"/>
      <c r="AK35" s="121" t="n"/>
      <c r="AL35" s="8" t="n"/>
      <c r="AM35" s="8" t="n"/>
      <c r="AN35" s="8" t="n"/>
      <c r="AO35" s="8" t="n"/>
      <c r="AP35" s="8" t="n"/>
      <c r="AQ35" s="121" t="n"/>
      <c r="AR35" s="121" t="n"/>
      <c r="AS35" s="8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261" t="n"/>
      <c r="Q36" s="30" t="n"/>
      <c r="R36" s="8" t="n"/>
      <c r="S36" s="8" t="n"/>
      <c r="T36" s="8" t="n"/>
      <c r="U36" s="8" t="n"/>
      <c r="V36" s="121" t="n"/>
      <c r="W36" s="121" t="n"/>
      <c r="X36" s="8" t="n"/>
      <c r="Y36" s="8" t="n"/>
      <c r="Z36" s="139" t="n"/>
      <c r="AA36" s="8" t="n"/>
      <c r="AB36" s="8" t="n"/>
      <c r="AC36" s="121" t="n"/>
      <c r="AD36" s="121" t="n"/>
      <c r="AE36" s="8" t="n"/>
      <c r="AF36" s="8" t="n"/>
      <c r="AG36" s="8" t="n"/>
      <c r="AH36" s="8" t="n"/>
      <c r="AI36" s="8" t="n"/>
      <c r="AJ36" s="121" t="n"/>
      <c r="AK36" s="121" t="n"/>
      <c r="AL36" s="8" t="n"/>
      <c r="AM36" s="8" t="n"/>
      <c r="AN36" s="8" t="n"/>
      <c r="AO36" s="8" t="n"/>
      <c r="AP36" s="8" t="n"/>
      <c r="AQ36" s="121" t="n"/>
      <c r="AR36" s="121" t="n"/>
      <c r="AS36" s="8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261" t="n"/>
      <c r="Q39" s="30" t="n"/>
      <c r="R39" s="30" t="n"/>
      <c r="S39" s="30" t="n"/>
      <c r="T39" s="30" t="n"/>
      <c r="U39" s="30" t="n"/>
      <c r="V39" s="131" t="n"/>
      <c r="W39" s="131" t="n"/>
      <c r="X39" s="30" t="n"/>
      <c r="Y39" s="30" t="n"/>
      <c r="Z39" s="141" t="n"/>
      <c r="AA39" s="30" t="n"/>
      <c r="AB39" s="30" t="n"/>
      <c r="AC39" s="131" t="n"/>
      <c r="AD39" s="131" t="n"/>
      <c r="AE39" s="30" t="n"/>
      <c r="AF39" s="30" t="n"/>
      <c r="AG39" s="30" t="n"/>
      <c r="AH39" s="30" t="n"/>
      <c r="AI39" s="30" t="n"/>
      <c r="AJ39" s="131" t="n"/>
      <c r="AK39" s="131" t="n"/>
      <c r="AL39" s="30" t="n"/>
      <c r="AM39" s="30" t="n"/>
      <c r="AN39" s="30" t="n"/>
      <c r="AO39" s="30" t="n"/>
      <c r="AP39" s="30" t="n"/>
      <c r="AQ39" s="131" t="n"/>
      <c r="AR39" s="131" t="n"/>
      <c r="AS39" s="30" t="n"/>
      <c r="AU39" s="197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261" t="n"/>
      <c r="Q40" s="30" t="n"/>
      <c r="R40" s="30" t="n"/>
      <c r="S40" s="30" t="n"/>
      <c r="T40" s="30" t="n"/>
      <c r="U40" s="30" t="n"/>
      <c r="V40" s="131" t="n"/>
      <c r="W40" s="131" t="n"/>
      <c r="X40" s="30" t="n"/>
      <c r="Y40" s="30" t="n"/>
      <c r="Z40" s="141" t="n"/>
      <c r="AA40" s="30" t="n"/>
      <c r="AB40" s="30" t="n"/>
      <c r="AC40" s="131" t="n"/>
      <c r="AD40" s="131" t="n"/>
      <c r="AE40" s="30" t="n"/>
      <c r="AF40" s="30" t="n"/>
      <c r="AG40" s="30" t="n"/>
      <c r="AH40" s="30" t="n"/>
      <c r="AI40" s="30" t="n"/>
      <c r="AJ40" s="131" t="n"/>
      <c r="AK40" s="131" t="n"/>
      <c r="AL40" s="30" t="n"/>
      <c r="AM40" s="30" t="n"/>
      <c r="AN40" s="30" t="n"/>
      <c r="AO40" s="30" t="n"/>
      <c r="AP40" s="30" t="n"/>
      <c r="AQ40" s="131" t="n"/>
      <c r="AR40" s="131" t="n"/>
      <c r="AS40" s="30" t="n"/>
      <c r="AT40" s="27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261" t="n"/>
      <c r="Q41" s="30" t="n"/>
      <c r="R41" s="30" t="n"/>
      <c r="S41" s="30" t="n"/>
      <c r="T41" s="30" t="n"/>
      <c r="U41" s="30" t="n"/>
      <c r="V41" s="131" t="n"/>
      <c r="W41" s="131" t="n"/>
      <c r="X41" s="30" t="n"/>
      <c r="Y41" s="30" t="n"/>
      <c r="Z41" s="141" t="n"/>
      <c r="AA41" s="30" t="n"/>
      <c r="AB41" s="30" t="n"/>
      <c r="AC41" s="131" t="n"/>
      <c r="AD41" s="131" t="n"/>
      <c r="AE41" s="30" t="n"/>
      <c r="AF41" s="30" t="n"/>
      <c r="AG41" s="30" t="n"/>
      <c r="AH41" s="30" t="n"/>
      <c r="AI41" s="30" t="n"/>
      <c r="AJ41" s="131" t="n"/>
      <c r="AK41" s="131" t="n"/>
      <c r="AL41" s="30" t="n"/>
      <c r="AM41" s="30" t="n"/>
      <c r="AN41" s="30" t="n"/>
      <c r="AO41" s="30" t="n"/>
      <c r="AP41" s="30" t="n"/>
      <c r="AQ41" s="131" t="n"/>
      <c r="AR41" s="131" t="n"/>
      <c r="AS41" s="30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261" t="n"/>
      <c r="Q42" s="30" t="n"/>
      <c r="R42" s="30" t="n"/>
      <c r="S42" s="30" t="n"/>
      <c r="T42" s="30" t="n"/>
      <c r="U42" s="30" t="n"/>
      <c r="V42" s="131" t="n"/>
      <c r="W42" s="131" t="n"/>
      <c r="X42" s="30" t="n"/>
      <c r="Y42" s="30" t="n"/>
      <c r="Z42" s="141" t="n"/>
      <c r="AA42" s="30" t="n"/>
      <c r="AB42" s="30" t="n"/>
      <c r="AC42" s="131" t="n"/>
      <c r="AD42" s="131" t="n"/>
      <c r="AE42" s="30" t="n"/>
      <c r="AF42" s="30" t="n"/>
      <c r="AG42" s="30" t="n"/>
      <c r="AH42" s="30" t="n"/>
      <c r="AI42" s="30" t="n"/>
      <c r="AJ42" s="131" t="n"/>
      <c r="AK42" s="131" t="n"/>
      <c r="AL42" s="30" t="n"/>
      <c r="AM42" s="30" t="n"/>
      <c r="AN42" s="30" t="n"/>
      <c r="AO42" s="30" t="n"/>
      <c r="AP42" s="30" t="n"/>
      <c r="AQ42" s="131" t="n"/>
      <c r="AR42" s="131" t="n"/>
      <c r="AS42" s="30" t="n"/>
      <c r="AT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261" t="n"/>
      <c r="Q43" s="30" t="n"/>
      <c r="R43" s="30" t="n"/>
      <c r="S43" s="30" t="n"/>
      <c r="T43" s="30" t="n"/>
      <c r="U43" s="30" t="n"/>
      <c r="V43" s="131" t="n"/>
      <c r="W43" s="131" t="n"/>
      <c r="X43" s="30" t="n"/>
      <c r="Y43" s="30" t="n"/>
      <c r="Z43" s="141" t="n"/>
      <c r="AA43" s="30" t="n"/>
      <c r="AB43" s="30" t="n"/>
      <c r="AC43" s="131" t="n"/>
      <c r="AD43" s="131" t="n"/>
      <c r="AE43" s="30" t="n"/>
      <c r="AF43" s="30" t="n"/>
      <c r="AG43" s="30" t="n"/>
      <c r="AH43" s="30" t="n"/>
      <c r="AI43" s="30" t="n"/>
      <c r="AJ43" s="131" t="n"/>
      <c r="AK43" s="131" t="n"/>
      <c r="AL43" s="30" t="n"/>
      <c r="AM43" s="30" t="n"/>
      <c r="AN43" s="30" t="n"/>
      <c r="AO43" s="30" t="n"/>
      <c r="AP43" s="30" t="n"/>
      <c r="AQ43" s="131" t="n"/>
      <c r="AR43" s="131" t="n"/>
      <c r="AS43" s="30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261" t="n"/>
      <c r="Q44" s="30" t="n"/>
      <c r="R44" s="30" t="n"/>
      <c r="S44" s="30" t="n"/>
      <c r="T44" s="30" t="n"/>
      <c r="U44" s="30" t="n"/>
      <c r="V44" s="131" t="n"/>
      <c r="W44" s="131" t="n"/>
      <c r="X44" s="30" t="n"/>
      <c r="Y44" s="30" t="n"/>
      <c r="Z44" s="141" t="n"/>
      <c r="AA44" s="30" t="n"/>
      <c r="AB44" s="30" t="n"/>
      <c r="AC44" s="131" t="n"/>
      <c r="AD44" s="131" t="n"/>
      <c r="AE44" s="30" t="n"/>
      <c r="AF44" s="30" t="n"/>
      <c r="AG44" s="30" t="n"/>
      <c r="AH44" s="30" t="n"/>
      <c r="AI44" s="30" t="n"/>
      <c r="AJ44" s="131" t="n"/>
      <c r="AK44" s="131" t="n"/>
      <c r="AL44" s="30" t="n"/>
      <c r="AM44" s="30" t="n"/>
      <c r="AN44" s="30" t="n"/>
      <c r="AO44" s="30" t="n"/>
      <c r="AP44" s="30" t="n"/>
      <c r="AQ44" s="131" t="n"/>
      <c r="AR44" s="131" t="n"/>
      <c r="AS44" s="30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261" t="n"/>
      <c r="Q45" s="30" t="n"/>
      <c r="R45" s="30" t="n"/>
      <c r="S45" s="30" t="n"/>
      <c r="T45" s="30" t="n"/>
      <c r="U45" s="30" t="n"/>
      <c r="V45" s="131" t="n"/>
      <c r="W45" s="131" t="n"/>
      <c r="X45" s="30" t="n"/>
      <c r="Y45" s="30" t="n"/>
      <c r="Z45" s="141" t="n"/>
      <c r="AA45" s="30" t="n"/>
      <c r="AB45" s="30" t="n"/>
      <c r="AC45" s="131" t="n"/>
      <c r="AD45" s="131" t="n"/>
      <c r="AE45" s="30" t="n"/>
      <c r="AF45" s="30" t="n"/>
      <c r="AG45" s="30" t="n"/>
      <c r="AH45" s="30" t="n"/>
      <c r="AI45" s="30" t="n"/>
      <c r="AJ45" s="131" t="n"/>
      <c r="AK45" s="131" t="n"/>
      <c r="AL45" s="30" t="n"/>
      <c r="AM45" s="30" t="n"/>
      <c r="AN45" s="30" t="n"/>
      <c r="AO45" s="30" t="n"/>
      <c r="AP45" s="30" t="n"/>
      <c r="AQ45" s="131" t="n"/>
      <c r="AR45" s="131" t="n"/>
      <c r="AS45" s="30" t="n"/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261" t="n"/>
      <c r="Q46" s="30" t="n"/>
      <c r="R46" s="30" t="n"/>
      <c r="S46" s="30" t="n"/>
      <c r="T46" s="30" t="n"/>
      <c r="U46" s="30" t="n"/>
      <c r="V46" s="131" t="n"/>
      <c r="W46" s="131" t="n"/>
      <c r="X46" s="30" t="n"/>
      <c r="Y46" s="30" t="n"/>
      <c r="Z46" s="141" t="n"/>
      <c r="AA46" s="30" t="n"/>
      <c r="AB46" s="30" t="n"/>
      <c r="AC46" s="131" t="n"/>
      <c r="AD46" s="131" t="n"/>
      <c r="AE46" s="30" t="n"/>
      <c r="AF46" s="30" t="n"/>
      <c r="AG46" s="30" t="n"/>
      <c r="AH46" s="30" t="n"/>
      <c r="AI46" s="30" t="n"/>
      <c r="AJ46" s="131" t="n"/>
      <c r="AK46" s="131" t="n"/>
      <c r="AL46" s="30" t="n"/>
      <c r="AM46" s="30" t="n"/>
      <c r="AN46" s="30" t="n"/>
      <c r="AO46" s="30" t="n"/>
      <c r="AP46" s="30" t="n"/>
      <c r="AQ46" s="131" t="n"/>
      <c r="AR46" s="131" t="n"/>
      <c r="AS46" s="30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261" t="n"/>
      <c r="Q47" s="30" t="n"/>
      <c r="R47" s="30" t="n"/>
      <c r="S47" s="30" t="n"/>
      <c r="T47" s="30" t="n"/>
      <c r="U47" s="30" t="n"/>
      <c r="V47" s="131" t="n"/>
      <c r="W47" s="131" t="n"/>
      <c r="X47" s="30" t="n"/>
      <c r="Y47" s="30" t="n"/>
      <c r="Z47" s="141" t="n"/>
      <c r="AA47" s="30" t="n"/>
      <c r="AB47" s="30" t="n"/>
      <c r="AC47" s="131" t="n"/>
      <c r="AD47" s="131" t="n"/>
      <c r="AE47" s="30" t="n"/>
      <c r="AF47" s="30" t="n"/>
      <c r="AG47" s="30" t="n"/>
      <c r="AH47" s="30" t="n"/>
      <c r="AI47" s="30" t="n"/>
      <c r="AJ47" s="131" t="n"/>
      <c r="AK47" s="131" t="n"/>
      <c r="AL47" s="30" t="n"/>
      <c r="AM47" s="30" t="n"/>
      <c r="AN47" s="30" t="n"/>
      <c r="AO47" s="30" t="n"/>
      <c r="AP47" s="30" t="n"/>
      <c r="AQ47" s="131" t="n"/>
      <c r="AR47" s="131" t="n"/>
      <c r="AS47" s="30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261" t="n"/>
      <c r="Q48" s="30" t="n"/>
      <c r="R48" s="30" t="n"/>
      <c r="S48" s="30" t="n"/>
      <c r="T48" s="30" t="n"/>
      <c r="U48" s="30" t="n"/>
      <c r="V48" s="131" t="n"/>
      <c r="W48" s="131" t="n"/>
      <c r="X48" s="30" t="n"/>
      <c r="Y48" s="30" t="n"/>
      <c r="Z48" s="141" t="n"/>
      <c r="AA48" s="30" t="n"/>
      <c r="AB48" s="30" t="n"/>
      <c r="AC48" s="131" t="n"/>
      <c r="AD48" s="131" t="n"/>
      <c r="AE48" s="30" t="n"/>
      <c r="AF48" s="30" t="n"/>
      <c r="AG48" s="30" t="n"/>
      <c r="AH48" s="30" t="n"/>
      <c r="AI48" s="30" t="n"/>
      <c r="AJ48" s="131" t="n"/>
      <c r="AK48" s="131" t="n"/>
      <c r="AL48" s="30" t="n"/>
      <c r="AM48" s="30" t="n"/>
      <c r="AN48" s="30" t="n"/>
      <c r="AO48" s="30" t="n"/>
      <c r="AP48" s="30" t="n"/>
      <c r="AQ48" s="131" t="n"/>
      <c r="AR48" s="131" t="n"/>
      <c r="AS48" s="30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261" t="n"/>
      <c r="Q49" s="30" t="n"/>
      <c r="R49" s="30" t="n"/>
      <c r="S49" s="30" t="n"/>
      <c r="T49" s="30" t="n"/>
      <c r="U49" s="30" t="n"/>
      <c r="V49" s="131" t="n"/>
      <c r="W49" s="131" t="n"/>
      <c r="X49" s="30" t="n"/>
      <c r="Y49" s="30" t="n"/>
      <c r="Z49" s="141" t="n"/>
      <c r="AA49" s="30" t="n"/>
      <c r="AB49" s="30" t="n"/>
      <c r="AC49" s="131" t="n"/>
      <c r="AD49" s="131" t="n"/>
      <c r="AE49" s="30" t="n"/>
      <c r="AF49" s="30" t="n"/>
      <c r="AG49" s="30" t="n"/>
      <c r="AH49" s="30" t="n"/>
      <c r="AI49" s="30" t="n"/>
      <c r="AJ49" s="131" t="n"/>
      <c r="AK49" s="131" t="n"/>
      <c r="AL49" s="30" t="n"/>
      <c r="AM49" s="30" t="n"/>
      <c r="AN49" s="30" t="n"/>
      <c r="AO49" s="30" t="n"/>
      <c r="AP49" s="30" t="n"/>
      <c r="AQ49" s="131" t="n"/>
      <c r="AR49" s="131" t="n"/>
      <c r="AS49" s="30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206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261" t="n"/>
      <c r="Q51" s="30" t="n"/>
      <c r="R51" s="30" t="n"/>
      <c r="S51" s="30" t="n"/>
      <c r="T51" s="30" t="n"/>
      <c r="U51" s="30" t="n"/>
      <c r="V51" s="131" t="n"/>
      <c r="W51" s="131" t="n"/>
      <c r="X51" s="30" t="n"/>
      <c r="Y51" s="30" t="n"/>
      <c r="Z51" s="141" t="n"/>
      <c r="AA51" s="30" t="n"/>
      <c r="AB51" s="30" t="n"/>
      <c r="AC51" s="131" t="n"/>
      <c r="AD51" s="131" t="n"/>
      <c r="AE51" s="30" t="n"/>
      <c r="AF51" s="30" t="n"/>
      <c r="AG51" s="30" t="n"/>
      <c r="AH51" s="30" t="n"/>
      <c r="AI51" s="30" t="n"/>
      <c r="AJ51" s="131" t="n"/>
      <c r="AK51" s="131" t="n"/>
      <c r="AL51" s="30" t="n"/>
      <c r="AM51" s="30" t="n"/>
      <c r="AN51" s="30" t="n"/>
      <c r="AO51" s="30" t="n"/>
      <c r="AP51" s="30" t="n"/>
      <c r="AQ51" s="131" t="n"/>
      <c r="AR51" s="131" t="n"/>
      <c r="AS51" s="30" t="n"/>
      <c r="AU51" s="197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261" t="n"/>
      <c r="Q52" s="30" t="n"/>
      <c r="R52" s="30" t="n"/>
      <c r="S52" s="30" t="n"/>
      <c r="T52" s="30" t="n"/>
      <c r="U52" s="30" t="n"/>
      <c r="V52" s="131" t="n"/>
      <c r="W52" s="131" t="n"/>
      <c r="X52" s="30" t="n"/>
      <c r="Y52" s="30" t="n"/>
      <c r="Z52" s="141" t="n"/>
      <c r="AA52" s="30" t="n"/>
      <c r="AB52" s="30" t="n"/>
      <c r="AC52" s="131" t="n"/>
      <c r="AD52" s="131" t="n"/>
      <c r="AE52" s="30" t="n"/>
      <c r="AF52" s="30" t="n"/>
      <c r="AG52" s="30" t="n"/>
      <c r="AH52" s="30" t="n"/>
      <c r="AI52" s="30" t="n"/>
      <c r="AJ52" s="131" t="n"/>
      <c r="AK52" s="131" t="n"/>
      <c r="AL52" s="30" t="n"/>
      <c r="AM52" s="30" t="n"/>
      <c r="AN52" s="30" t="n"/>
      <c r="AO52" s="30" t="n"/>
      <c r="AP52" s="30" t="n"/>
      <c r="AQ52" s="131" t="n"/>
      <c r="AR52" s="131" t="n"/>
      <c r="AS52" s="30" t="n"/>
      <c r="AT52" s="27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261" t="n"/>
      <c r="Q53" s="30" t="n"/>
      <c r="R53" s="30" t="n"/>
      <c r="S53" s="30" t="n"/>
      <c r="T53" s="30" t="n"/>
      <c r="U53" s="30" t="n"/>
      <c r="V53" s="131" t="n"/>
      <c r="W53" s="131" t="n"/>
      <c r="X53" s="30" t="n"/>
      <c r="Y53" s="30" t="n"/>
      <c r="Z53" s="141" t="n"/>
      <c r="AA53" s="30" t="n"/>
      <c r="AB53" s="30" t="n"/>
      <c r="AC53" s="131" t="n"/>
      <c r="AD53" s="131" t="n"/>
      <c r="AE53" s="30" t="n"/>
      <c r="AF53" s="30" t="n"/>
      <c r="AG53" s="30" t="n"/>
      <c r="AH53" s="30" t="n"/>
      <c r="AI53" s="30" t="n"/>
      <c r="AJ53" s="131" t="n"/>
      <c r="AK53" s="131" t="n"/>
      <c r="AL53" s="30" t="n"/>
      <c r="AM53" s="30" t="n"/>
      <c r="AN53" s="30" t="n"/>
      <c r="AO53" s="30" t="n"/>
      <c r="AP53" s="30" t="n"/>
      <c r="AQ53" s="131" t="n"/>
      <c r="AR53" s="131" t="n"/>
      <c r="AS53" s="30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261" t="n"/>
      <c r="Q54" s="30" t="n"/>
      <c r="R54" s="30" t="n"/>
      <c r="S54" s="30" t="n"/>
      <c r="T54" s="30" t="n"/>
      <c r="U54" s="30" t="n"/>
      <c r="V54" s="131" t="n"/>
      <c r="W54" s="131" t="n"/>
      <c r="X54" s="30" t="n"/>
      <c r="Y54" s="30" t="n"/>
      <c r="Z54" s="141" t="n"/>
      <c r="AA54" s="30" t="n"/>
      <c r="AB54" s="30" t="n"/>
      <c r="AC54" s="131" t="n"/>
      <c r="AD54" s="131" t="n"/>
      <c r="AE54" s="30" t="n"/>
      <c r="AF54" s="30" t="n"/>
      <c r="AG54" s="30" t="n"/>
      <c r="AH54" s="30" t="n"/>
      <c r="AI54" s="30" t="n"/>
      <c r="AJ54" s="131" t="n"/>
      <c r="AK54" s="131" t="n"/>
      <c r="AL54" s="30" t="n"/>
      <c r="AM54" s="30" t="n"/>
      <c r="AN54" s="30" t="n"/>
      <c r="AO54" s="30" t="n"/>
      <c r="AP54" s="30" t="n"/>
      <c r="AQ54" s="131" t="n"/>
      <c r="AR54" s="131" t="n"/>
      <c r="AS54" s="30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261" t="n"/>
      <c r="Q55" s="30" t="n"/>
      <c r="R55" s="30" t="n"/>
      <c r="S55" s="30" t="n"/>
      <c r="T55" s="30" t="n"/>
      <c r="U55" s="30" t="n"/>
      <c r="V55" s="131" t="n"/>
      <c r="W55" s="131" t="n"/>
      <c r="X55" s="30" t="n"/>
      <c r="Y55" s="30" t="n"/>
      <c r="Z55" s="141" t="n"/>
      <c r="AA55" s="30" t="n"/>
      <c r="AB55" s="30" t="n"/>
      <c r="AC55" s="131" t="n"/>
      <c r="AD55" s="131" t="n"/>
      <c r="AE55" s="30" t="n"/>
      <c r="AF55" s="30" t="n"/>
      <c r="AG55" s="30" t="n"/>
      <c r="AH55" s="30" t="n"/>
      <c r="AI55" s="30" t="n"/>
      <c r="AJ55" s="131" t="n"/>
      <c r="AK55" s="131" t="n"/>
      <c r="AL55" s="30" t="n"/>
      <c r="AM55" s="30" t="n"/>
      <c r="AN55" s="30" t="n"/>
      <c r="AO55" s="30" t="n"/>
      <c r="AP55" s="30" t="n"/>
      <c r="AQ55" s="131" t="n"/>
      <c r="AR55" s="131" t="n"/>
      <c r="AS55" s="30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261" t="n"/>
      <c r="Q56" s="30" t="n"/>
      <c r="R56" s="30" t="n"/>
      <c r="S56" s="30" t="n"/>
      <c r="T56" s="30" t="n"/>
      <c r="U56" s="30" t="n"/>
      <c r="V56" s="131" t="n"/>
      <c r="W56" s="131" t="n"/>
      <c r="X56" s="30" t="n"/>
      <c r="Y56" s="30" t="n"/>
      <c r="Z56" s="141" t="n"/>
      <c r="AA56" s="30" t="n"/>
      <c r="AB56" s="30" t="n"/>
      <c r="AC56" s="131" t="n"/>
      <c r="AD56" s="131" t="n"/>
      <c r="AE56" s="30" t="n"/>
      <c r="AF56" s="30" t="n"/>
      <c r="AG56" s="30" t="n"/>
      <c r="AH56" s="30" t="n"/>
      <c r="AI56" s="30" t="n"/>
      <c r="AJ56" s="131" t="n"/>
      <c r="AK56" s="131" t="n"/>
      <c r="AL56" s="30" t="n"/>
      <c r="AM56" s="30" t="n"/>
      <c r="AN56" s="30" t="n"/>
      <c r="AO56" s="30" t="n"/>
      <c r="AP56" s="30" t="n"/>
      <c r="AQ56" s="131" t="n"/>
      <c r="AR56" s="131" t="n"/>
      <c r="AS56" s="30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261" t="n"/>
      <c r="Q57" s="30" t="n"/>
      <c r="R57" s="30" t="n"/>
      <c r="S57" s="30" t="n"/>
      <c r="T57" s="30" t="n"/>
      <c r="U57" s="30" t="n"/>
      <c r="V57" s="131" t="n"/>
      <c r="W57" s="131" t="n"/>
      <c r="X57" s="30" t="n"/>
      <c r="Y57" s="30" t="n"/>
      <c r="Z57" s="141" t="n"/>
      <c r="AA57" s="30" t="n"/>
      <c r="AB57" s="30" t="n"/>
      <c r="AC57" s="131" t="n"/>
      <c r="AD57" s="131" t="n"/>
      <c r="AE57" s="30" t="n"/>
      <c r="AF57" s="30" t="n"/>
      <c r="AG57" s="30" t="n"/>
      <c r="AH57" s="30" t="n"/>
      <c r="AI57" s="30" t="n"/>
      <c r="AJ57" s="131" t="n"/>
      <c r="AK57" s="131" t="n"/>
      <c r="AL57" s="30" t="n"/>
      <c r="AM57" s="30" t="n"/>
      <c r="AN57" s="30" t="n"/>
      <c r="AO57" s="30" t="n"/>
      <c r="AP57" s="30" t="n"/>
      <c r="AQ57" s="131" t="n"/>
      <c r="AR57" s="131" t="n"/>
      <c r="AS57" s="30" t="n"/>
      <c r="AT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261" t="n"/>
      <c r="Q58" s="30" t="n"/>
      <c r="R58" s="30" t="n"/>
      <c r="S58" s="30" t="n"/>
      <c r="T58" s="30" t="n"/>
      <c r="U58" s="30" t="n"/>
      <c r="V58" s="131" t="n"/>
      <c r="W58" s="131" t="n"/>
      <c r="X58" s="30" t="n"/>
      <c r="Y58" s="30" t="n"/>
      <c r="Z58" s="141" t="n"/>
      <c r="AA58" s="30" t="n"/>
      <c r="AB58" s="30" t="n"/>
      <c r="AC58" s="131" t="n"/>
      <c r="AD58" s="131" t="n"/>
      <c r="AE58" s="30" t="n"/>
      <c r="AF58" s="30" t="n"/>
      <c r="AG58" s="30" t="n"/>
      <c r="AH58" s="30" t="n"/>
      <c r="AI58" s="30" t="n"/>
      <c r="AJ58" s="131" t="n"/>
      <c r="AK58" s="131" t="n"/>
      <c r="AL58" s="30" t="n"/>
      <c r="AM58" s="30" t="n"/>
      <c r="AN58" s="30" t="n"/>
      <c r="AO58" s="30" t="n"/>
      <c r="AP58" s="30" t="n"/>
      <c r="AQ58" s="131" t="n"/>
      <c r="AR58" s="131" t="n"/>
      <c r="AS58" s="30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261" t="n"/>
      <c r="Q59" s="30" t="n"/>
      <c r="R59" s="30" t="n"/>
      <c r="S59" s="30" t="n"/>
      <c r="T59" s="30" t="n"/>
      <c r="U59" s="30" t="n"/>
      <c r="V59" s="131" t="n"/>
      <c r="W59" s="131" t="n"/>
      <c r="X59" s="30" t="n"/>
      <c r="Y59" s="30" t="n"/>
      <c r="Z59" s="141" t="n"/>
      <c r="AA59" s="30" t="n"/>
      <c r="AB59" s="30" t="n"/>
      <c r="AC59" s="131" t="n"/>
      <c r="AD59" s="131" t="n"/>
      <c r="AE59" s="30" t="n"/>
      <c r="AF59" s="30" t="n"/>
      <c r="AG59" s="30" t="n"/>
      <c r="AH59" s="30" t="n"/>
      <c r="AI59" s="30" t="n"/>
      <c r="AJ59" s="131" t="n"/>
      <c r="AK59" s="131" t="n"/>
      <c r="AL59" s="30" t="n"/>
      <c r="AM59" s="30" t="n"/>
      <c r="AN59" s="30" t="n"/>
      <c r="AO59" s="30" t="n"/>
      <c r="AP59" s="30" t="n"/>
      <c r="AQ59" s="131" t="n"/>
      <c r="AR59" s="131" t="n"/>
      <c r="AS59" s="30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261" t="n"/>
      <c r="Q60" s="30" t="n"/>
      <c r="R60" s="30" t="n"/>
      <c r="S60" s="30" t="n"/>
      <c r="T60" s="30" t="n"/>
      <c r="U60" s="30" t="n"/>
      <c r="V60" s="131" t="n"/>
      <c r="W60" s="131" t="n"/>
      <c r="X60" s="30" t="n"/>
      <c r="Y60" s="30" t="n"/>
      <c r="Z60" s="141" t="n"/>
      <c r="AA60" s="30" t="n"/>
      <c r="AB60" s="30" t="n"/>
      <c r="AC60" s="131" t="n"/>
      <c r="AD60" s="131" t="n"/>
      <c r="AE60" s="30" t="n"/>
      <c r="AF60" s="30" t="n"/>
      <c r="AG60" s="30" t="n"/>
      <c r="AH60" s="30" t="n"/>
      <c r="AI60" s="30" t="n"/>
      <c r="AJ60" s="131" t="n"/>
      <c r="AK60" s="131" t="n"/>
      <c r="AL60" s="30" t="n"/>
      <c r="AM60" s="30" t="n"/>
      <c r="AN60" s="30" t="n"/>
      <c r="AO60" s="30" t="n"/>
      <c r="AP60" s="30" t="n"/>
      <c r="AQ60" s="131" t="n"/>
      <c r="AR60" s="131" t="n"/>
      <c r="AS60" s="30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261" t="n"/>
      <c r="Q61" s="30" t="n"/>
      <c r="R61" s="30" t="n"/>
      <c r="S61" s="30" t="n"/>
      <c r="T61" s="30" t="n"/>
      <c r="U61" s="30" t="n"/>
      <c r="V61" s="131" t="n"/>
      <c r="W61" s="131" t="n"/>
      <c r="X61" s="30" t="n"/>
      <c r="Y61" s="30" t="n"/>
      <c r="Z61" s="141" t="n"/>
      <c r="AA61" s="30" t="n"/>
      <c r="AB61" s="30" t="n"/>
      <c r="AC61" s="131" t="n"/>
      <c r="AD61" s="131" t="n"/>
      <c r="AE61" s="30" t="n"/>
      <c r="AF61" s="30" t="n"/>
      <c r="AG61" s="30" t="n"/>
      <c r="AH61" s="30" t="n"/>
      <c r="AI61" s="30" t="n"/>
      <c r="AJ61" s="131" t="n"/>
      <c r="AK61" s="131" t="n"/>
      <c r="AL61" s="30" t="n"/>
      <c r="AM61" s="30" t="n"/>
      <c r="AN61" s="30" t="n"/>
      <c r="AO61" s="30" t="n"/>
      <c r="AP61" s="30" t="n"/>
      <c r="AQ61" s="131" t="n"/>
      <c r="AR61" s="131" t="n"/>
      <c r="AS61" s="30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261" t="n"/>
      <c r="Q62" s="30" t="n"/>
      <c r="R62" s="30" t="n"/>
      <c r="S62" s="30" t="n"/>
      <c r="T62" s="30" t="n"/>
      <c r="U62" s="30" t="n"/>
      <c r="V62" s="131" t="n"/>
      <c r="W62" s="131" t="n"/>
      <c r="X62" s="30" t="n"/>
      <c r="Y62" s="30" t="n"/>
      <c r="Z62" s="141" t="n"/>
      <c r="AA62" s="30" t="n"/>
      <c r="AB62" s="30" t="n"/>
      <c r="AC62" s="131" t="n"/>
      <c r="AD62" s="131" t="n"/>
      <c r="AE62" s="30" t="n"/>
      <c r="AF62" s="30" t="n"/>
      <c r="AG62" s="30" t="n"/>
      <c r="AH62" s="30" t="n"/>
      <c r="AI62" s="30" t="n"/>
      <c r="AJ62" s="131" t="n"/>
      <c r="AK62" s="131" t="n"/>
      <c r="AL62" s="30" t="n"/>
      <c r="AM62" s="30" t="n"/>
      <c r="AN62" s="30" t="n"/>
      <c r="AO62" s="30" t="n"/>
      <c r="AP62" s="30" t="n"/>
      <c r="AQ62" s="131" t="n"/>
      <c r="AR62" s="131" t="n"/>
      <c r="AS62" s="30" t="n"/>
    </row>
    <row r="63" ht="20.1" customHeight="1" thickBot="1">
      <c r="A63" s="319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261" t="n"/>
      <c r="Q64" s="30" t="n"/>
      <c r="R64" s="30" t="n"/>
      <c r="S64" s="30" t="n"/>
      <c r="T64" s="30" t="n"/>
      <c r="U64" s="30" t="n"/>
      <c r="V64" s="131" t="n"/>
      <c r="W64" s="131" t="n"/>
      <c r="X64" s="30" t="n"/>
      <c r="Y64" s="30" t="n"/>
      <c r="Z64" s="141" t="n"/>
      <c r="AA64" s="30" t="n"/>
      <c r="AB64" s="30" t="n"/>
      <c r="AC64" s="131" t="n"/>
      <c r="AD64" s="131" t="n"/>
      <c r="AE64" s="30" t="n"/>
      <c r="AF64" s="30" t="n"/>
      <c r="AG64" s="30" t="n"/>
      <c r="AH64" s="30" t="n"/>
      <c r="AI64" s="30" t="n"/>
      <c r="AJ64" s="131" t="n"/>
      <c r="AK64" s="131" t="n"/>
      <c r="AL64" s="30" t="n"/>
      <c r="AM64" s="30" t="n"/>
      <c r="AN64" s="30" t="n"/>
      <c r="AO64" s="30" t="n"/>
      <c r="AP64" s="30" t="n"/>
      <c r="AQ64" s="131" t="n"/>
      <c r="AR64" s="131" t="n"/>
      <c r="AS64" s="30" t="n"/>
      <c r="AU64" s="197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261" t="n"/>
      <c r="Q65" s="30" t="n"/>
      <c r="R65" s="30" t="n"/>
      <c r="S65" s="30" t="n"/>
      <c r="T65" s="30" t="n"/>
      <c r="U65" s="30" t="n"/>
      <c r="V65" s="131" t="n"/>
      <c r="W65" s="131" t="n"/>
      <c r="X65" s="30" t="n"/>
      <c r="Y65" s="30" t="n"/>
      <c r="Z65" s="141" t="n"/>
      <c r="AA65" s="30" t="n"/>
      <c r="AB65" s="30" t="n"/>
      <c r="AC65" s="131" t="n"/>
      <c r="AD65" s="131" t="n"/>
      <c r="AE65" s="30" t="n"/>
      <c r="AF65" s="30" t="n"/>
      <c r="AG65" s="30" t="n"/>
      <c r="AH65" s="30" t="n"/>
      <c r="AI65" s="30" t="n"/>
      <c r="AJ65" s="131" t="n"/>
      <c r="AK65" s="131" t="n"/>
      <c r="AL65" s="30" t="n"/>
      <c r="AM65" s="30" t="n"/>
      <c r="AN65" s="30" t="n"/>
      <c r="AO65" s="30" t="n"/>
      <c r="AP65" s="30" t="n"/>
      <c r="AQ65" s="131" t="n"/>
      <c r="AR65" s="131" t="n"/>
      <c r="AS65" s="30" t="n"/>
      <c r="AU65" s="27">
        <f>COUNTIF(P64:AS75,"P")</f>
        <v/>
      </c>
      <c r="AV65" s="27">
        <f>COUNTIF(P64:AS75,"PC")</f>
        <v/>
      </c>
      <c r="AW65" s="27">
        <f>COUNTIF(P64:AS75,"F")</f>
        <v/>
      </c>
      <c r="AX65" s="27">
        <f>COUNTIF(P64:AS75,"AST")</f>
        <v/>
      </c>
      <c r="AY65" s="27">
        <f>COUNTIF(P64:AS75,"Ca")</f>
        <v/>
      </c>
      <c r="AZ65" s="27">
        <f>COUNTIF(P64:AS75,"RTT")</f>
        <v/>
      </c>
      <c r="BA65" s="27">
        <f>COUNTIF(P64:AS75,"CEX")</f>
        <v/>
      </c>
      <c r="BB65" s="27">
        <f>COUNTIF(P64:AS75,"RES")</f>
        <v/>
      </c>
      <c r="BC65" s="27">
        <f>COUNTIF(P64:AS75,"MA")</f>
        <v/>
      </c>
      <c r="BD65" s="27">
        <f>COUNTIF(P64:AS75,"AT")</f>
        <v/>
      </c>
      <c r="BE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261" t="n"/>
      <c r="Q66" s="30" t="n"/>
      <c r="R66" s="30" t="n"/>
      <c r="S66" s="30" t="n"/>
      <c r="T66" s="30" t="n"/>
      <c r="U66" s="30" t="n"/>
      <c r="V66" s="131" t="n"/>
      <c r="W66" s="131" t="n"/>
      <c r="X66" s="30" t="n"/>
      <c r="Y66" s="30" t="n"/>
      <c r="Z66" s="141" t="n"/>
      <c r="AA66" s="30" t="n"/>
      <c r="AB66" s="30" t="n"/>
      <c r="AC66" s="131" t="n"/>
      <c r="AD66" s="131" t="n"/>
      <c r="AE66" s="30" t="n"/>
      <c r="AF66" s="30" t="n"/>
      <c r="AG66" s="30" t="n"/>
      <c r="AH66" s="30" t="n"/>
      <c r="AI66" s="30" t="n"/>
      <c r="AJ66" s="131" t="n"/>
      <c r="AK66" s="131" t="n"/>
      <c r="AL66" s="30" t="n"/>
      <c r="AM66" s="30" t="n"/>
      <c r="AN66" s="30" t="n"/>
      <c r="AO66" s="30" t="n"/>
      <c r="AP66" s="30" t="n"/>
      <c r="AQ66" s="131" t="n"/>
      <c r="AR66" s="131" t="n"/>
      <c r="AS66" s="30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261" t="n"/>
      <c r="Q67" s="30" t="n"/>
      <c r="R67" s="30" t="n"/>
      <c r="S67" s="30" t="n"/>
      <c r="T67" s="30" t="n"/>
      <c r="U67" s="30" t="n"/>
      <c r="V67" s="131" t="n"/>
      <c r="W67" s="131" t="n"/>
      <c r="X67" s="30" t="n"/>
      <c r="Y67" s="30" t="n"/>
      <c r="Z67" s="141" t="n"/>
      <c r="AA67" s="30" t="n"/>
      <c r="AB67" s="30" t="n"/>
      <c r="AC67" s="131" t="n"/>
      <c r="AD67" s="131" t="n"/>
      <c r="AE67" s="30" t="n"/>
      <c r="AF67" s="30" t="n"/>
      <c r="AG67" s="30" t="n"/>
      <c r="AH67" s="30" t="n"/>
      <c r="AI67" s="30" t="n"/>
      <c r="AJ67" s="131" t="n"/>
      <c r="AK67" s="131" t="n"/>
      <c r="AL67" s="30" t="n"/>
      <c r="AM67" s="30" t="n"/>
      <c r="AN67" s="30" t="n"/>
      <c r="AO67" s="30" t="n"/>
      <c r="AP67" s="30" t="n"/>
      <c r="AQ67" s="131" t="n"/>
      <c r="AR67" s="131" t="n"/>
      <c r="AS67" s="30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261" t="n"/>
      <c r="Q68" s="30" t="n"/>
      <c r="R68" s="30" t="n"/>
      <c r="S68" s="30" t="n"/>
      <c r="T68" s="30" t="n"/>
      <c r="U68" s="30" t="n"/>
      <c r="V68" s="131" t="n"/>
      <c r="W68" s="131" t="n"/>
      <c r="X68" s="30" t="n"/>
      <c r="Y68" s="30" t="n"/>
      <c r="Z68" s="141" t="n"/>
      <c r="AA68" s="30" t="n"/>
      <c r="AB68" s="30" t="n"/>
      <c r="AC68" s="131" t="n"/>
      <c r="AD68" s="131" t="n"/>
      <c r="AE68" s="30" t="n"/>
      <c r="AF68" s="30" t="n"/>
      <c r="AG68" s="30" t="n"/>
      <c r="AH68" s="30" t="n"/>
      <c r="AI68" s="30" t="n"/>
      <c r="AJ68" s="131" t="n"/>
      <c r="AK68" s="131" t="n"/>
      <c r="AL68" s="30" t="n"/>
      <c r="AM68" s="30" t="n"/>
      <c r="AN68" s="30" t="n"/>
      <c r="AO68" s="30" t="n"/>
      <c r="AP68" s="30" t="n"/>
      <c r="AQ68" s="131" t="n"/>
      <c r="AR68" s="131" t="n"/>
      <c r="AS68" s="30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261" t="n"/>
      <c r="Q69" s="30" t="n"/>
      <c r="R69" s="30" t="n"/>
      <c r="S69" s="30" t="n"/>
      <c r="T69" s="30" t="n"/>
      <c r="U69" s="30" t="n"/>
      <c r="V69" s="131" t="n"/>
      <c r="W69" s="131" t="n"/>
      <c r="X69" s="30" t="n"/>
      <c r="Y69" s="30" t="n"/>
      <c r="Z69" s="141" t="n"/>
      <c r="AA69" s="30" t="n"/>
      <c r="AB69" s="30" t="n"/>
      <c r="AC69" s="131" t="n"/>
      <c r="AD69" s="131" t="n"/>
      <c r="AE69" s="30" t="n"/>
      <c r="AF69" s="30" t="n"/>
      <c r="AG69" s="30" t="n"/>
      <c r="AH69" s="30" t="n"/>
      <c r="AI69" s="30" t="n"/>
      <c r="AJ69" s="131" t="n"/>
      <c r="AK69" s="131" t="n"/>
      <c r="AL69" s="30" t="n"/>
      <c r="AM69" s="30" t="n"/>
      <c r="AN69" s="30" t="n"/>
      <c r="AO69" s="30" t="n"/>
      <c r="AP69" s="30" t="n"/>
      <c r="AQ69" s="131" t="n"/>
      <c r="AR69" s="131" t="n"/>
      <c r="AS69" s="30" t="n"/>
    </row>
    <row r="78">
      <c r="T78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73" operator="equal" dxfId="55">
      <formula>"repos"</formula>
    </cfRule>
    <cfRule type="cellIs" priority="74" operator="equal" dxfId="53">
      <formula>"permanence"</formula>
    </cfRule>
    <cfRule type="cellIs" priority="75" operator="equal" dxfId="53">
      <formula>"dimanche"</formula>
    </cfRule>
    <cfRule type="cellIs" priority="76" operator="equal" dxfId="52">
      <formula>"formation"</formula>
    </cfRule>
    <cfRule type="cellIs" priority="77" operator="equal" dxfId="6">
      <formula>"conges exc"</formula>
    </cfRule>
    <cfRule type="cellIs" priority="78" operator="equal" dxfId="4">
      <formula>"conges"</formula>
    </cfRule>
    <cfRule type="cellIs" priority="79" operator="equal" dxfId="5">
      <formula>"asa"</formula>
    </cfRule>
    <cfRule type="cellIs" priority="80" operator="equal" dxfId="8">
      <formula>"maladie / at"</formula>
    </cfRule>
    <cfRule type="cellIs" priority="81" operator="equal" dxfId="0">
      <formula>"presence"</formula>
    </cfRule>
  </conditionalFormatting>
  <conditionalFormatting sqref="D11:O20 D23:O24 D26:O29 D31:O36 D39:O49 D51:O62 D64:O69">
    <cfRule type="cellIs" priority="82" operator="equal" dxfId="46">
      <formula>0</formula>
    </cfRule>
  </conditionalFormatting>
  <conditionalFormatting sqref="P9:AS9">
    <cfRule type="expression" priority="84" dxfId="44">
      <formula>OR(P$9=1, P$9=7)</formula>
    </cfRule>
  </conditionalFormatting>
  <conditionalFormatting sqref="P9:AS10">
    <cfRule type="expression" priority="83" dxfId="44">
      <formula>OR(P$9=1,P$9=7)</formula>
    </cfRule>
  </conditionalFormatting>
  <conditionalFormatting sqref="P26:AS29 P31:AS36">
    <cfRule type="containsText" priority="37" operator="containsText" dxfId="10" text="TP">
      <formula>NOT(ISERROR(SEARCH("TP",P26)))</formula>
    </cfRule>
    <cfRule type="containsText" priority="38" operator="containsText" text="TAD">
      <formula>NOT(ISERROR(SEARCH("TAD",P26)))</formula>
    </cfRule>
    <cfRule type="containsText" priority="39" operator="containsText" dxfId="9" text="AT">
      <formula>NOT(ISERROR(SEARCH("AT",P26)))</formula>
    </cfRule>
    <cfRule type="containsText" priority="40" operator="containsText" dxfId="8" text="MA">
      <formula>NOT(ISERROR(SEARCH("MA",P26)))</formula>
    </cfRule>
    <cfRule type="containsText" priority="41" operator="containsText" dxfId="7" text="RES">
      <formula>NOT(ISERROR(SEARCH("RES",P26)))</formula>
    </cfRule>
    <cfRule type="containsText" priority="42" operator="containsText" dxfId="6" text="CEX">
      <formula>NOT(ISERROR(SEARCH("CEX",P26)))</formula>
    </cfRule>
    <cfRule type="containsText" priority="43" operator="containsText" dxfId="5" text="RTT">
      <formula>NOT(ISERROR(SEARCH("RTT",P26)))</formula>
    </cfRule>
    <cfRule type="beginsWith" priority="44" operator="beginsWith" dxfId="4" text="CA">
      <formula>LEFT(P26,LEN("CA"))="CA"</formula>
    </cfRule>
    <cfRule type="containsText" priority="45" operator="containsText" dxfId="3" text="AST">
      <formula>NOT(ISERROR(SEARCH("AST",P26)))</formula>
    </cfRule>
    <cfRule type="containsText" priority="46" operator="containsText" dxfId="2" text="F">
      <formula>NOT(ISERROR(SEARCH("F",P26)))</formula>
    </cfRule>
    <cfRule type="containsText" priority="47" operator="containsText" dxfId="1" text="PC">
      <formula>NOT(ISERROR(SEARCH("PC",P26)))</formula>
    </cfRule>
    <cfRule type="containsText" priority="48" operator="containsText" dxfId="0" text="P">
      <formula>NOT(ISERROR(SEARCH("P",P26)))</formula>
    </cfRule>
  </conditionalFormatting>
  <conditionalFormatting sqref="P39:AS49">
    <cfRule type="containsText" priority="25" operator="containsText" dxfId="10" text="TP">
      <formula>NOT(ISERROR(SEARCH("TP",P39)))</formula>
    </cfRule>
    <cfRule type="containsText" priority="26" operator="containsText" text="TAD">
      <formula>NOT(ISERROR(SEARCH("TAD",P39)))</formula>
    </cfRule>
    <cfRule type="containsText" priority="27" operator="containsText" dxfId="9" text="AT">
      <formula>NOT(ISERROR(SEARCH("AT",P39)))</formula>
    </cfRule>
    <cfRule type="containsText" priority="28" operator="containsText" dxfId="8" text="MA">
      <formula>NOT(ISERROR(SEARCH("MA",P39)))</formula>
    </cfRule>
    <cfRule type="containsText" priority="29" operator="containsText" dxfId="7" text="RES">
      <formula>NOT(ISERROR(SEARCH("RES",P39)))</formula>
    </cfRule>
    <cfRule type="containsText" priority="30" operator="containsText" dxfId="6" text="CEX">
      <formula>NOT(ISERROR(SEARCH("CEX",P39)))</formula>
    </cfRule>
    <cfRule type="containsText" priority="31" operator="containsText" dxfId="5" text="RTT">
      <formula>NOT(ISERROR(SEARCH("RTT",P39)))</formula>
    </cfRule>
    <cfRule type="beginsWith" priority="32" operator="beginsWith" dxfId="4" text="CA">
      <formula>LEFT(P39,LEN("CA"))="CA"</formula>
    </cfRule>
    <cfRule type="containsText" priority="33" operator="containsText" dxfId="3" text="AST">
      <formula>NOT(ISERROR(SEARCH("AST",P39)))</formula>
    </cfRule>
    <cfRule type="containsText" priority="34" operator="containsText" dxfId="2" text="F">
      <formula>NOT(ISERROR(SEARCH("F",P39)))</formula>
    </cfRule>
    <cfRule type="containsText" priority="35" operator="containsText" dxfId="1" text="PC">
      <formula>NOT(ISERROR(SEARCH("PC",P39)))</formula>
    </cfRule>
    <cfRule type="containsText" priority="36" operator="containsText" dxfId="0" text="P">
      <formula>NOT(ISERROR(SEARCH("P",P39)))</formula>
    </cfRule>
  </conditionalFormatting>
  <conditionalFormatting sqref="P51:AS62">
    <cfRule type="containsText" priority="13" operator="containsText" dxfId="10" text="TP">
      <formula>NOT(ISERROR(SEARCH("TP",P51)))</formula>
    </cfRule>
    <cfRule type="containsText" priority="14" operator="containsText" text="TAD">
      <formula>NOT(ISERROR(SEARCH("TAD",P51)))</formula>
    </cfRule>
    <cfRule type="containsText" priority="15" operator="containsText" dxfId="9" text="AT">
      <formula>NOT(ISERROR(SEARCH("AT",P51)))</formula>
    </cfRule>
    <cfRule type="containsText" priority="16" operator="containsText" dxfId="8" text="MA">
      <formula>NOT(ISERROR(SEARCH("MA",P51)))</formula>
    </cfRule>
    <cfRule type="containsText" priority="17" operator="containsText" dxfId="7" text="RES">
      <formula>NOT(ISERROR(SEARCH("RES",P51)))</formula>
    </cfRule>
    <cfRule type="containsText" priority="18" operator="containsText" dxfId="6" text="CEX">
      <formula>NOT(ISERROR(SEARCH("CEX",P51)))</formula>
    </cfRule>
    <cfRule type="containsText" priority="19" operator="containsText" dxfId="5" text="RTT">
      <formula>NOT(ISERROR(SEARCH("RTT",P51)))</formula>
    </cfRule>
    <cfRule type="beginsWith" priority="20" operator="beginsWith" dxfId="4" text="CA">
      <formula>LEFT(P51,LEN("CA"))="CA"</formula>
    </cfRule>
    <cfRule type="containsText" priority="21" operator="containsText" dxfId="3" text="AST">
      <formula>NOT(ISERROR(SEARCH("AST",P51)))</formula>
    </cfRule>
    <cfRule type="containsText" priority="22" operator="containsText" dxfId="2" text="F">
      <formula>NOT(ISERROR(SEARCH("F",P51)))</formula>
    </cfRule>
    <cfRule type="containsText" priority="23" operator="containsText" dxfId="1" text="PC">
      <formula>NOT(ISERROR(SEARCH("PC",P51)))</formula>
    </cfRule>
    <cfRule type="containsText" priority="24" operator="containsText" dxfId="0" text="P">
      <formula>NOT(ISERROR(SEARCH("P",P51)))</formula>
    </cfRule>
  </conditionalFormatting>
  <conditionalFormatting sqref="P64:AS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T20 P23:AS24">
    <cfRule type="containsText" priority="49" operator="containsText" dxfId="10" text="TP">
      <formula>NOT(ISERROR(SEARCH("TP",P11)))</formula>
    </cfRule>
    <cfRule type="containsText" priority="50" operator="containsText" text="TAD">
      <formula>NOT(ISERROR(SEARCH("TAD",P11)))</formula>
    </cfRule>
    <cfRule type="containsText" priority="51" operator="containsText" dxfId="9" text="AT">
      <formula>NOT(ISERROR(SEARCH("AT",P11)))</formula>
    </cfRule>
    <cfRule type="containsText" priority="52" operator="containsText" dxfId="8" text="MA">
      <formula>NOT(ISERROR(SEARCH("MA",P11)))</formula>
    </cfRule>
    <cfRule type="containsText" priority="53" operator="containsText" dxfId="7" text="RES">
      <formula>NOT(ISERROR(SEARCH("RES",P11)))</formula>
    </cfRule>
    <cfRule type="containsText" priority="54" operator="containsText" dxfId="6" text="CEX">
      <formula>NOT(ISERROR(SEARCH("CEX",P11)))</formula>
    </cfRule>
    <cfRule type="containsText" priority="55" operator="containsText" dxfId="5" text="RTT">
      <formula>NOT(ISERROR(SEARCH("RTT",P11)))</formula>
    </cfRule>
    <cfRule type="beginsWith" priority="56" operator="beginsWith" dxfId="4" text="CA">
      <formula>LEFT(P11,LEN("CA"))="CA"</formula>
    </cfRule>
    <cfRule type="containsText" priority="57" operator="containsText" dxfId="3" text="AST">
      <formula>NOT(ISERROR(SEARCH("AST",P11)))</formula>
    </cfRule>
    <cfRule type="containsText" priority="58" operator="containsText" dxfId="2" text="F">
      <formula>NOT(ISERROR(SEARCH("F",P11)))</formula>
    </cfRule>
    <cfRule type="containsText" priority="59" operator="containsText" dxfId="1" text="PC">
      <formula>NOT(ISERROR(SEARCH("PC",P11)))</formula>
    </cfRule>
    <cfRule type="containsText" priority="60" operator="containsText" dxfId="0" text="P">
      <formula>NOT(ISERROR(SEARCH("P",P11)))</formula>
    </cfRule>
  </conditionalFormatting>
  <dataValidations count="3">
    <dataValidation sqref="P11:AT20 P23:AS24 P26:AS29 P31:AS36 P39:AS49 P51:AS62 P64:AS69" showDropDown="0" showInputMessage="1" showErrorMessage="1" allowBlank="1" type="list">
      <formula1>"P, PC, F, AST, CA, RTT, CEX, RES, MA, AT, TAD, TP"</formula1>
    </dataValidation>
    <dataValidation sqref="T78" showDropDown="0" showInputMessage="1" showErrorMessage="1" allowBlank="1" type="list">
      <formula1>$D$9:$O$9</formula1>
    </dataValidation>
    <dataValidation sqref="P10:AS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xSplit="2" ySplit="10" topLeftCell="C11" activePane="bottomRight" state="frozen"/>
      <selection pane="topRight" activeCell="AQ41" sqref="AQ41"/>
      <selection pane="bottomLeft" activeCell="AQ41" sqref="AQ41"/>
      <selection pane="bottomRight" activeCell="AJ9" sqref="AJ9:AJ20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config!B16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config!C16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5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35" t="inlineStr">
        <is>
          <t>FERIE</t>
        </is>
      </c>
      <c r="AO8" s="148" t="n"/>
      <c r="AP8" s="148" t="n"/>
      <c r="AQ8" s="148" t="n"/>
      <c r="AR8" s="148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55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1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12" t="n"/>
      <c r="R11" s="28" t="n"/>
      <c r="S11" s="28" t="n"/>
      <c r="T11" s="113" t="n"/>
      <c r="U11" s="113" t="n"/>
      <c r="V11" s="28" t="n"/>
      <c r="W11" s="28" t="n"/>
      <c r="X11" s="28" t="n"/>
      <c r="Y11" s="28" t="n"/>
      <c r="Z11" s="28" t="n"/>
      <c r="AA11" s="113" t="n"/>
      <c r="AB11" s="113" t="n"/>
      <c r="AC11" s="28" t="n"/>
      <c r="AD11" s="28" t="n"/>
      <c r="AE11" s="150" t="n"/>
      <c r="AF11" s="150" t="n"/>
      <c r="AG11" s="28" t="n"/>
      <c r="AH11" s="113" t="n"/>
      <c r="AI11" s="113" t="n"/>
      <c r="AJ11" s="28" t="n"/>
      <c r="AK11" s="28" t="n"/>
      <c r="AL11" s="28" t="n"/>
      <c r="AM11" s="28" t="n"/>
      <c r="AN11" s="28" t="n"/>
      <c r="AO11" s="113" t="n"/>
      <c r="AP11" s="113" t="n"/>
      <c r="AQ11" s="28" t="n"/>
      <c r="AR11" s="28" t="n"/>
      <c r="AS11" s="28" t="n"/>
      <c r="AT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215" t="n"/>
      <c r="R12" s="8" t="n"/>
      <c r="S12" s="8" t="n"/>
      <c r="T12" s="121" t="n"/>
      <c r="U12" s="121" t="n"/>
      <c r="V12" s="28" t="n"/>
      <c r="W12" s="8" t="n"/>
      <c r="X12" s="8" t="n"/>
      <c r="Y12" s="8" t="n"/>
      <c r="Z12" s="8" t="n"/>
      <c r="AA12" s="121" t="n"/>
      <c r="AB12" s="121" t="n"/>
      <c r="AC12" s="8" t="n"/>
      <c r="AD12" s="8" t="n"/>
      <c r="AE12" s="8" t="n"/>
      <c r="AF12" s="8" t="n"/>
      <c r="AG12" s="8" t="n"/>
      <c r="AH12" s="121" t="n"/>
      <c r="AI12" s="121" t="n"/>
      <c r="AJ12" s="8" t="n"/>
      <c r="AK12" s="28" t="n"/>
      <c r="AL12" s="8" t="n"/>
      <c r="AM12" s="8" t="n"/>
      <c r="AN12" s="8" t="n"/>
      <c r="AO12" s="121" t="n"/>
      <c r="AP12" s="121" t="n"/>
      <c r="AQ12" s="8" t="n"/>
      <c r="AR12" s="8" t="n"/>
      <c r="AS12" s="8" t="n"/>
      <c r="AT12" s="1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30" t="n"/>
      <c r="Q13" s="215" t="n"/>
      <c r="R13" s="8" t="n"/>
      <c r="S13" s="8" t="n"/>
      <c r="T13" s="121" t="n"/>
      <c r="U13" s="121" t="n"/>
      <c r="V13" s="8" t="n"/>
      <c r="W13" s="8" t="n"/>
      <c r="X13" s="8" t="n"/>
      <c r="Y13" s="8" t="n"/>
      <c r="Z13" s="8" t="n"/>
      <c r="AA13" s="121" t="n"/>
      <c r="AB13" s="121" t="n"/>
      <c r="AC13" s="8" t="n"/>
      <c r="AD13" s="8" t="n"/>
      <c r="AE13" s="30" t="n"/>
      <c r="AF13" s="30" t="n"/>
      <c r="AG13" s="8" t="n"/>
      <c r="AH13" s="121" t="n"/>
      <c r="AI13" s="121" t="n"/>
      <c r="AJ13" s="8" t="n"/>
      <c r="AK13" s="28" t="n"/>
      <c r="AL13" s="8" t="n"/>
      <c r="AM13" s="8" t="n"/>
      <c r="AN13" s="8" t="n"/>
      <c r="AO13" s="121" t="n"/>
      <c r="AP13" s="121" t="n"/>
      <c r="AQ13" s="8" t="n"/>
      <c r="AR13" s="8" t="n"/>
      <c r="AS13" s="8" t="n"/>
      <c r="AT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172">
        <f>IFERROR(IF(config!E6="","",config!E6),"")</f>
        <v/>
      </c>
      <c r="B14" s="173">
        <f>IFERROR(IF(config!F6="","",config!F6),"")</f>
        <v/>
      </c>
      <c r="C14" s="174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16" t="n"/>
      <c r="Q14" s="134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8" t="n"/>
      <c r="AK14" s="121" t="n"/>
      <c r="AL14" s="121" t="n"/>
      <c r="AM14" s="121" t="n"/>
      <c r="AN14" s="121" t="n"/>
      <c r="AO14" s="121" t="n"/>
      <c r="AP14" s="121" t="n"/>
      <c r="AQ14" s="121" t="n"/>
      <c r="AR14" s="121" t="n"/>
      <c r="AS14" s="152" t="n"/>
      <c r="AT14" s="258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30" t="n"/>
      <c r="Q15" s="215" t="n"/>
      <c r="R15" s="8" t="n"/>
      <c r="S15" s="8" t="n"/>
      <c r="T15" s="121" t="n"/>
      <c r="U15" s="121" t="n"/>
      <c r="V15" s="195" t="n"/>
      <c r="W15" s="8" t="n"/>
      <c r="X15" s="8" t="n"/>
      <c r="Y15" s="8" t="n"/>
      <c r="Z15" s="8" t="n"/>
      <c r="AA15" s="121" t="n"/>
      <c r="AB15" s="121" t="n"/>
      <c r="AC15" s="8" t="n"/>
      <c r="AD15" s="8" t="n"/>
      <c r="AE15" s="8" t="n"/>
      <c r="AF15" s="8" t="n"/>
      <c r="AG15" s="8" t="n"/>
      <c r="AH15" s="121" t="n"/>
      <c r="AI15" s="121" t="n"/>
      <c r="AJ15" s="8" t="n"/>
      <c r="AK15" s="8" t="n"/>
      <c r="AL15" s="8" t="n"/>
      <c r="AM15" s="8" t="n"/>
      <c r="AN15" s="8" t="n"/>
      <c r="AO15" s="121" t="n"/>
      <c r="AP15" s="121" t="n"/>
      <c r="AQ15" s="8" t="n"/>
      <c r="AR15" s="8" t="n"/>
      <c r="AS15" s="8" t="n"/>
      <c r="AT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215" t="n"/>
      <c r="R16" s="8" t="n"/>
      <c r="S16" s="8" t="n"/>
      <c r="T16" s="121" t="n"/>
      <c r="U16" s="214" t="n"/>
      <c r="V16" s="8" t="n"/>
      <c r="W16" s="215" t="n"/>
      <c r="X16" s="8" t="n"/>
      <c r="Y16" s="8" t="n"/>
      <c r="Z16" s="8" t="n"/>
      <c r="AA16" s="121" t="n"/>
      <c r="AB16" s="121" t="n"/>
      <c r="AC16" s="8" t="n"/>
      <c r="AD16" s="8" t="n"/>
      <c r="AE16" s="8" t="n"/>
      <c r="AF16" s="8" t="n"/>
      <c r="AG16" s="8" t="n"/>
      <c r="AH16" s="121" t="n"/>
      <c r="AI16" s="121" t="n"/>
      <c r="AJ16" s="8" t="n"/>
      <c r="AK16" s="8" t="n"/>
      <c r="AL16" s="8" t="n"/>
      <c r="AM16" s="8" t="n"/>
      <c r="AN16" s="8" t="n"/>
      <c r="AO16" s="121" t="n"/>
      <c r="AP16" s="121" t="n"/>
      <c r="AQ16" s="8" t="n"/>
      <c r="AR16" s="8" t="n"/>
      <c r="AS16" s="8" t="n"/>
      <c r="AT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215" t="n"/>
      <c r="R17" s="8" t="n"/>
      <c r="S17" s="8" t="n"/>
      <c r="T17" s="121" t="n"/>
      <c r="U17" s="214" t="n"/>
      <c r="V17" s="8" t="n"/>
      <c r="W17" s="215" t="n"/>
      <c r="X17" s="8" t="n"/>
      <c r="Y17" s="8" t="n"/>
      <c r="Z17" s="8" t="n"/>
      <c r="AA17" s="121" t="n"/>
      <c r="AB17" s="121" t="n"/>
      <c r="AC17" s="8" t="n"/>
      <c r="AD17" s="8" t="n"/>
      <c r="AE17" s="8" t="n"/>
      <c r="AF17" s="8" t="n"/>
      <c r="AG17" s="8" t="n"/>
      <c r="AH17" s="121" t="n"/>
      <c r="AI17" s="121" t="n"/>
      <c r="AJ17" s="8" t="n"/>
      <c r="AK17" s="8" t="n"/>
      <c r="AL17" s="8" t="n"/>
      <c r="AM17" s="8" t="n"/>
      <c r="AN17" s="8" t="n"/>
      <c r="AO17" s="121" t="n"/>
      <c r="AP17" s="121" t="n"/>
      <c r="AQ17" s="8" t="n"/>
      <c r="AR17" s="8" t="n"/>
      <c r="AS17" s="8" t="n"/>
      <c r="AT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17" t="n"/>
      <c r="Q18" s="215" t="n"/>
      <c r="R18" s="8" t="n"/>
      <c r="S18" s="8" t="n"/>
      <c r="T18" s="121" t="n"/>
      <c r="U18" s="214" t="n"/>
      <c r="V18" s="8" t="n"/>
      <c r="W18" s="215" t="n"/>
      <c r="X18" s="8" t="n"/>
      <c r="Y18" s="8" t="n"/>
      <c r="Z18" s="8" t="n"/>
      <c r="AA18" s="121" t="n"/>
      <c r="AB18" s="121" t="n"/>
      <c r="AC18" s="8" t="n"/>
      <c r="AD18" s="8" t="n"/>
      <c r="AE18" s="8" t="n"/>
      <c r="AF18" s="8" t="n"/>
      <c r="AG18" s="8" t="n"/>
      <c r="AH18" s="121" t="n"/>
      <c r="AI18" s="121" t="n"/>
      <c r="AJ18" s="8" t="n"/>
      <c r="AK18" s="8" t="n"/>
      <c r="AL18" s="8" t="n"/>
      <c r="AM18" s="8" t="n"/>
      <c r="AN18" s="8" t="n"/>
      <c r="AO18" s="121" t="n"/>
      <c r="AP18" s="121" t="n"/>
      <c r="AQ18" s="8" t="n"/>
      <c r="AR18" s="8" t="n"/>
      <c r="AS18" s="8" t="n"/>
      <c r="AT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30" t="n"/>
      <c r="Q19" s="215" t="n"/>
      <c r="R19" s="8" t="n"/>
      <c r="S19" s="8" t="n"/>
      <c r="T19" s="121" t="n"/>
      <c r="U19" s="214" t="n"/>
      <c r="V19" s="8" t="n"/>
      <c r="W19" s="215" t="n"/>
      <c r="X19" s="8" t="n"/>
      <c r="Y19" s="8" t="n"/>
      <c r="Z19" s="8" t="n"/>
      <c r="AA19" s="121" t="n"/>
      <c r="AB19" s="121" t="n"/>
      <c r="AC19" s="8" t="n"/>
      <c r="AD19" s="8" t="n"/>
      <c r="AE19" s="8" t="n"/>
      <c r="AF19" s="8" t="n"/>
      <c r="AG19" s="8" t="n"/>
      <c r="AH19" s="121" t="n"/>
      <c r="AI19" s="121" t="n"/>
      <c r="AJ19" s="8" t="n"/>
      <c r="AK19" s="8" t="n"/>
      <c r="AL19" s="8" t="n"/>
      <c r="AM19" s="8" t="n"/>
      <c r="AN19" s="8" t="n"/>
      <c r="AO19" s="121" t="n"/>
      <c r="AP19" s="121" t="n"/>
      <c r="AQ19" s="8" t="n"/>
      <c r="AR19" s="8" t="n"/>
      <c r="AS19" s="8" t="n"/>
      <c r="AT19" s="1" t="n"/>
    </row>
    <row r="20" ht="20.1" customHeight="1" thickBot="1">
      <c r="A20" s="39">
        <f>IFERROR(IF(config!E12="","",config!E12),"")</f>
        <v/>
      </c>
      <c r="B20" s="51">
        <f>IFERROR(IF(config!F12="","",config!F12),"")</f>
        <v/>
      </c>
      <c r="C20" s="97">
        <f>IFERROR(IF(config!G12="","",config!G12),"")</f>
        <v/>
      </c>
      <c r="D20" s="115">
        <f>COUNTIF(P20:AS20,"p")</f>
        <v/>
      </c>
      <c r="E20" s="116">
        <f>COUNTIF(P20:AS20,"PC")</f>
        <v/>
      </c>
      <c r="F20" s="116">
        <f>COUNTIF(P20:AS20,"f")</f>
        <v/>
      </c>
      <c r="G20" s="116">
        <f>COUNTIF(P20:AS20,"ast")</f>
        <v/>
      </c>
      <c r="H20" s="116">
        <f>COUNTIF(P20:AS20,"cA")</f>
        <v/>
      </c>
      <c r="I20" s="116">
        <f>COUNTIF(P20:AS20,"rtt")</f>
        <v/>
      </c>
      <c r="J20" s="116">
        <f>COUNTIF(P20:AS20,"cex")</f>
        <v/>
      </c>
      <c r="K20" s="116">
        <f>COUNTIF(P20:AS20,"res")</f>
        <v/>
      </c>
      <c r="L20" s="116">
        <f>COUNTIF(P20:AS20,"mA")</f>
        <v/>
      </c>
      <c r="M20" s="116">
        <f>COUNTIF(P20:AS20,"at")</f>
        <v/>
      </c>
      <c r="N20" s="116">
        <f>COUNTIF(P20:AS20,"TAD")</f>
        <v/>
      </c>
      <c r="O20" s="116">
        <f>COUNTIF(P20:AS20,"TP")</f>
        <v/>
      </c>
      <c r="P20" s="219" t="n"/>
      <c r="Q20" s="29" t="n"/>
      <c r="R20" s="29" t="n"/>
      <c r="S20" s="29" t="n"/>
      <c r="T20" s="122" t="n"/>
      <c r="U20" s="122" t="n"/>
      <c r="V20" s="213" t="n"/>
      <c r="W20" s="29" t="n"/>
      <c r="X20" s="29" t="n"/>
      <c r="Y20" s="29" t="n"/>
      <c r="Z20" s="29" t="n"/>
      <c r="AA20" s="122" t="n"/>
      <c r="AB20" s="122" t="n"/>
      <c r="AC20" s="29" t="n"/>
      <c r="AD20" s="29" t="n"/>
      <c r="AE20" s="29" t="n"/>
      <c r="AF20" s="29" t="n"/>
      <c r="AG20" s="29" t="n"/>
      <c r="AH20" s="122" t="n"/>
      <c r="AI20" s="122" t="n"/>
      <c r="AJ20" s="29" t="n"/>
      <c r="AK20" s="29" t="n"/>
      <c r="AL20" s="29" t="n"/>
      <c r="AM20" s="29" t="n"/>
      <c r="AN20" s="29" t="n"/>
      <c r="AO20" s="122" t="n"/>
      <c r="AP20" s="122" t="n"/>
      <c r="AQ20" s="29" t="n"/>
      <c r="AR20" s="29" t="n"/>
      <c r="AS20" s="44" t="n"/>
      <c r="AT20" s="1" t="n"/>
    </row>
    <row r="21" ht="20.1" customHeight="1" thickBot="1">
      <c r="A21" s="220">
        <f>IFERROR(IF(config!E13="","",config!E13),"")</f>
        <v/>
      </c>
      <c r="B21" s="126" t="n"/>
      <c r="C21" s="126" t="n"/>
      <c r="D21" s="221" t="n"/>
      <c r="E21" s="222" t="n"/>
      <c r="F21" s="222" t="n"/>
      <c r="G21" s="222" t="n"/>
      <c r="H21" s="222" t="n"/>
      <c r="I21" s="222" t="n"/>
      <c r="J21" s="222" t="n"/>
      <c r="K21" s="223" t="n"/>
      <c r="L21" s="224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  <c r="AT21" s="285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286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28">
        <f>COUNTIF(P23:AS23,"TP")</f>
        <v/>
      </c>
      <c r="P23" s="217" t="n"/>
      <c r="Q23" s="28" t="n"/>
      <c r="R23" s="28" t="n"/>
      <c r="S23" s="212" t="n"/>
      <c r="T23" s="113" t="n"/>
      <c r="U23" s="113" t="n"/>
      <c r="V23" s="119" t="n"/>
      <c r="W23" s="28" t="n"/>
      <c r="X23" s="28" t="n"/>
      <c r="Y23" s="212" t="n"/>
      <c r="Z23" s="28" t="n"/>
      <c r="AA23" s="113" t="n"/>
      <c r="AB23" s="113" t="n"/>
      <c r="AC23" s="8" t="n"/>
      <c r="AD23" s="8" t="n"/>
      <c r="AE23" s="8" t="n"/>
      <c r="AF23" s="8" t="n"/>
      <c r="AG23" s="8" t="n"/>
      <c r="AH23" s="113" t="n"/>
      <c r="AI23" s="113" t="n"/>
      <c r="AJ23" s="138" t="n"/>
      <c r="AK23" s="28" t="n"/>
      <c r="AL23" s="28" t="n"/>
      <c r="AM23" s="28" t="n"/>
      <c r="AN23" s="28" t="n"/>
      <c r="AO23" s="113" t="n"/>
      <c r="AP23" s="113" t="n"/>
      <c r="AQ23" s="28" t="n"/>
      <c r="AR23" s="28" t="n"/>
      <c r="AS23" s="28" t="n"/>
      <c r="AT23" s="1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28">
        <f>COUNTIF(P24:AS24,"TP")</f>
        <v/>
      </c>
      <c r="P24" s="118" t="n"/>
      <c r="Q24" s="30" t="n"/>
      <c r="R24" s="30" t="n"/>
      <c r="S24" s="29" t="n"/>
      <c r="T24" s="122" t="n"/>
      <c r="U24" s="122" t="n"/>
      <c r="V24" s="29" t="n"/>
      <c r="W24" s="30" t="n"/>
      <c r="X24" s="30" t="n"/>
      <c r="Y24" s="30" t="n"/>
      <c r="Z24" s="30" t="n"/>
      <c r="AA24" s="122" t="n"/>
      <c r="AB24" s="122" t="n"/>
      <c r="AC24" s="8" t="n"/>
      <c r="AD24" s="8" t="n"/>
      <c r="AE24" s="8" t="n"/>
      <c r="AF24" s="8" t="n"/>
      <c r="AG24" s="8" t="n"/>
      <c r="AH24" s="122" t="n"/>
      <c r="AI24" s="122" t="n"/>
      <c r="AJ24" s="140" t="n"/>
      <c r="AK24" s="28" t="n"/>
      <c r="AL24" s="28" t="n"/>
      <c r="AM24" s="29" t="n"/>
      <c r="AN24" s="28" t="n"/>
      <c r="AO24" s="122" t="n"/>
      <c r="AP24" s="122" t="n"/>
      <c r="AQ24" s="29" t="n"/>
      <c r="AR24" s="29" t="n"/>
      <c r="AS24" s="29" t="n"/>
      <c r="AT24" s="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57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14" t="n"/>
      <c r="Q26" s="114" t="n"/>
      <c r="R26" s="114" t="n"/>
      <c r="S26" s="114" t="n"/>
      <c r="T26" s="113" t="n"/>
      <c r="U26" s="113" t="n"/>
      <c r="V26" s="28" t="n"/>
      <c r="W26" s="28" t="n"/>
      <c r="X26" s="28" t="n"/>
      <c r="Y26" s="28" t="n"/>
      <c r="Z26" s="28" t="n"/>
      <c r="AA26" s="113" t="n"/>
      <c r="AB26" s="113" t="n"/>
      <c r="AC26" s="28" t="n"/>
      <c r="AD26" s="28" t="n"/>
      <c r="AE26" s="28" t="n"/>
      <c r="AF26" s="28" t="n"/>
      <c r="AG26" s="28" t="n"/>
      <c r="AH26" s="113" t="n"/>
      <c r="AI26" s="113" t="n"/>
      <c r="AJ26" s="138" t="n"/>
      <c r="AK26" s="28" t="n"/>
      <c r="AL26" s="28" t="n"/>
      <c r="AM26" s="28" t="n"/>
      <c r="AN26" s="28" t="n"/>
      <c r="AO26" s="113" t="n"/>
      <c r="AP26" s="113" t="n"/>
      <c r="AQ26" s="28" t="n"/>
      <c r="AR26" s="28" t="n"/>
      <c r="AS26" s="28" t="n"/>
      <c r="AT26" s="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218" t="n"/>
      <c r="Q27" s="128" t="n"/>
      <c r="R27" s="8" t="n"/>
      <c r="S27" s="8" t="n"/>
      <c r="T27" s="121" t="n"/>
      <c r="U27" s="121" t="n"/>
      <c r="V27" s="8" t="n"/>
      <c r="W27" s="8" t="n"/>
      <c r="X27" s="8" t="n"/>
      <c r="Y27" s="8" t="n"/>
      <c r="Z27" s="8" t="n"/>
      <c r="AA27" s="121" t="n"/>
      <c r="AB27" s="121" t="n"/>
      <c r="AC27" s="8" t="n"/>
      <c r="AD27" s="8" t="n"/>
      <c r="AE27" s="8" t="n"/>
      <c r="AF27" s="8" t="n"/>
      <c r="AG27" s="8" t="n"/>
      <c r="AH27" s="121" t="n"/>
      <c r="AI27" s="121" t="n"/>
      <c r="AJ27" s="139" t="n"/>
      <c r="AK27" s="8" t="n"/>
      <c r="AL27" s="8" t="n"/>
      <c r="AM27" s="8" t="n"/>
      <c r="AN27" s="8" t="n"/>
      <c r="AO27" s="121" t="n"/>
      <c r="AP27" s="121" t="n"/>
      <c r="AQ27" s="8" t="n"/>
      <c r="AR27" s="8" t="n"/>
      <c r="AS27" s="43" t="n"/>
      <c r="AT27" s="1" t="n"/>
    </row>
    <row r="28" ht="20.1" customHeight="1">
      <c r="A28" s="306">
        <f>IFERROR(IF(config!E20="","",config!E20),"")</f>
        <v/>
      </c>
      <c r="B28" s="307">
        <f>IFERROR(IF(config!F20="","",config!F20),"")</f>
        <v/>
      </c>
      <c r="C28" s="308">
        <f>IFERROR(IF(config!G20="","",config!G20),"")</f>
        <v/>
      </c>
      <c r="D28" s="161">
        <f>COUNTIF(P28:AS28,"p")</f>
        <v/>
      </c>
      <c r="E28" s="150">
        <f>COUNTIF(P28:AS28,"PC")</f>
        <v/>
      </c>
      <c r="F28" s="150">
        <f>COUNTIF(P28:AS28,"f")</f>
        <v/>
      </c>
      <c r="G28" s="150">
        <f>COUNTIF(P28:AS28,"ast")</f>
        <v/>
      </c>
      <c r="H28" s="150">
        <f>COUNTIF(P28:AS28,"cA")</f>
        <v/>
      </c>
      <c r="I28" s="150">
        <f>COUNTIF(P28:AS28,"rtt")</f>
        <v/>
      </c>
      <c r="J28" s="150">
        <f>COUNTIF(P28:AS28,"cex")</f>
        <v/>
      </c>
      <c r="K28" s="150">
        <f>COUNTIF(P28:AS28,"res")</f>
        <v/>
      </c>
      <c r="L28" s="150">
        <f>COUNTIF(P28:AS28,"mA")</f>
        <v/>
      </c>
      <c r="M28" s="150">
        <f>COUNTIF(P28:AS28,"at")</f>
        <v/>
      </c>
      <c r="N28" s="150">
        <f>COUNTIF(P28:AS28,"TAD")</f>
        <v/>
      </c>
      <c r="O28" s="150">
        <f>COUNTIF(P28:AS28,"TP")</f>
        <v/>
      </c>
      <c r="P28" s="309" t="n"/>
      <c r="Q28" s="310" t="n"/>
      <c r="R28" s="195" t="n"/>
      <c r="S28" s="195" t="n"/>
      <c r="T28" s="190" t="n"/>
      <c r="U28" s="190" t="n"/>
      <c r="V28" s="195" t="n"/>
      <c r="W28" s="195" t="n"/>
      <c r="X28" s="195" t="n"/>
      <c r="Y28" s="195" t="n"/>
      <c r="Z28" s="195" t="n"/>
      <c r="AA28" s="190" t="n"/>
      <c r="AB28" s="190" t="n"/>
      <c r="AC28" s="195" t="n"/>
      <c r="AD28" s="195" t="n"/>
      <c r="AE28" s="195" t="n"/>
      <c r="AF28" s="195" t="n"/>
      <c r="AG28" s="195" t="n"/>
      <c r="AH28" s="190" t="n"/>
      <c r="AI28" s="190" t="n"/>
      <c r="AJ28" s="191" t="n"/>
      <c r="AK28" s="195" t="n"/>
      <c r="AL28" s="195" t="n"/>
      <c r="AM28" s="195" t="n"/>
      <c r="AN28" s="195" t="n"/>
      <c r="AO28" s="190" t="n"/>
      <c r="AP28" s="190" t="n"/>
      <c r="AQ28" s="195" t="n"/>
      <c r="AR28" s="195" t="n"/>
      <c r="AS28" s="195" t="n"/>
      <c r="AT28" s="1" t="n"/>
    </row>
    <row r="29" ht="20.1" customHeight="1" thickBot="1">
      <c r="A29" s="48">
        <f>IFERROR(IF(config!E21="","",config!E21),"")</f>
        <v/>
      </c>
      <c r="B29" s="48">
        <f>IFERROR(IF(config!F21="","",config!F21),"")</f>
        <v/>
      </c>
      <c r="C29" s="48">
        <f>IFERROR(IF(config!G21="","",config!G21),"")</f>
        <v/>
      </c>
      <c r="D29" s="8">
        <f>COUNTIF(P29:AS29,"p")</f>
        <v/>
      </c>
      <c r="E29" s="8">
        <f>COUNTIF(P29:AS29,"PC")</f>
        <v/>
      </c>
      <c r="F29" s="8">
        <f>COUNTIF(P29:AS29,"f")</f>
        <v/>
      </c>
      <c r="G29" s="8">
        <f>COUNTIF(P29:AS29,"ast")</f>
        <v/>
      </c>
      <c r="H29" s="8">
        <f>COUNTIF(P29:AS29,"cA")</f>
        <v/>
      </c>
      <c r="I29" s="8">
        <f>COUNTIF(P29:AS29,"rtt")</f>
        <v/>
      </c>
      <c r="J29" s="8">
        <f>COUNTIF(P29:AS29,"cex")</f>
        <v/>
      </c>
      <c r="K29" s="8">
        <f>COUNTIF(P29:AS29,"res")</f>
        <v/>
      </c>
      <c r="L29" s="8">
        <f>COUNTIF(P29:AS29,"mA")</f>
        <v/>
      </c>
      <c r="M29" s="8">
        <f>COUNTIF(P29:AS29,"at")</f>
        <v/>
      </c>
      <c r="N29" s="8">
        <f>COUNTIF(P29:AS29,"TAD")</f>
        <v/>
      </c>
      <c r="O29" s="8">
        <f>COUNTIF(P29:AS29,"TP")</f>
        <v/>
      </c>
      <c r="P29" s="8" t="n"/>
      <c r="Q29" s="8" t="n"/>
      <c r="R29" s="8" t="n"/>
      <c r="S29" s="8" t="n"/>
      <c r="T29" s="121" t="n"/>
      <c r="U29" s="121" t="n"/>
      <c r="V29" s="8" t="n"/>
      <c r="W29" s="8" t="n"/>
      <c r="X29" s="8" t="n"/>
      <c r="Y29" s="8" t="n"/>
      <c r="Z29" s="8" t="n"/>
      <c r="AA29" s="121" t="n"/>
      <c r="AB29" s="121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121" t="n"/>
      <c r="AP29" s="121" t="n"/>
      <c r="AQ29" s="121" t="n"/>
      <c r="AR29" s="121" t="n"/>
      <c r="AS29" s="121" t="n"/>
      <c r="AT29" s="258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  <c r="AU30" s="257" t="n"/>
    </row>
    <row r="31" ht="20.1" customHeight="1">
      <c r="A31" s="48">
        <f>IFERROR(IF(config!E23="","",config!E23),"")</f>
        <v/>
      </c>
      <c r="B31" s="48">
        <f>IFERROR(IF(config!F23="","",config!F23),"")</f>
        <v/>
      </c>
      <c r="C31" s="48">
        <f>IFERROR(IF(config!G23="","",config!G23),"")</f>
        <v/>
      </c>
      <c r="D31" s="8">
        <f>COUNTIF(P31:AS31,"p")</f>
        <v/>
      </c>
      <c r="E31" s="8">
        <f>COUNTIF(P31:AS31,"PC")</f>
        <v/>
      </c>
      <c r="F31" s="8">
        <f>COUNTIF(P31:AS31,"f")</f>
        <v/>
      </c>
      <c r="G31" s="8">
        <f>COUNTIF(P31:AS31,"ast")</f>
        <v/>
      </c>
      <c r="H31" s="8">
        <f>COUNTIF(P31:AS31,"cA")</f>
        <v/>
      </c>
      <c r="I31" s="8">
        <f>COUNTIF(P31:AS31,"rtt")</f>
        <v/>
      </c>
      <c r="J31" s="8">
        <f>COUNTIF(P31:AS31,"cex")</f>
        <v/>
      </c>
      <c r="K31" s="8">
        <f>COUNTIF(P31:AS31,"res")</f>
        <v/>
      </c>
      <c r="L31" s="8">
        <f>COUNTIF(P31:AS31,"mA")</f>
        <v/>
      </c>
      <c r="M31" s="8">
        <f>COUNTIF(P31:AS31,"at")</f>
        <v/>
      </c>
      <c r="N31" s="8">
        <f>COUNTIF(P31:AS31,"TAD")</f>
        <v/>
      </c>
      <c r="O31" s="8">
        <f>COUNTIF(P31:AS31,"TP")</f>
        <v/>
      </c>
      <c r="P31" s="8" t="n"/>
      <c r="Q31" s="8" t="n"/>
      <c r="R31" s="8" t="n"/>
      <c r="S31" s="8" t="n"/>
      <c r="T31" s="121" t="n"/>
      <c r="U31" s="121" t="n"/>
      <c r="V31" s="8" t="n"/>
      <c r="W31" s="8" t="n"/>
      <c r="X31" s="8" t="n"/>
      <c r="Y31" s="8" t="n"/>
      <c r="Z31" s="8" t="n"/>
      <c r="AA31" s="121" t="n"/>
      <c r="AB31" s="121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121" t="n"/>
      <c r="AP31" s="121" t="n"/>
      <c r="AQ31" s="121" t="n"/>
      <c r="AR31" s="121" t="n"/>
      <c r="AS31" s="121" t="n"/>
      <c r="AT31" s="258" t="n"/>
    </row>
    <row r="32" ht="20.1" customHeight="1">
      <c r="A32" s="48">
        <f>IFERROR(IF(config!E24="","",config!E24),"")</f>
        <v/>
      </c>
      <c r="B32" s="48">
        <f>IFERROR(IF(config!F24="","",config!F24),"")</f>
        <v/>
      </c>
      <c r="C32" s="48">
        <f>IFERROR(IF(config!G24="","",config!G24),"")</f>
        <v/>
      </c>
      <c r="D32" s="8">
        <f>COUNTIF(P32:AS32,"p")</f>
        <v/>
      </c>
      <c r="E32" s="8">
        <f>COUNTIF(P32:AS32,"PC")</f>
        <v/>
      </c>
      <c r="F32" s="8">
        <f>COUNTIF(P32:AS32,"f")</f>
        <v/>
      </c>
      <c r="G32" s="8">
        <f>COUNTIF(P32:AS32,"ast")</f>
        <v/>
      </c>
      <c r="H32" s="8">
        <f>COUNTIF(P32:AS32,"cA")</f>
        <v/>
      </c>
      <c r="I32" s="8">
        <f>COUNTIF(P32:AS32,"rtt")</f>
        <v/>
      </c>
      <c r="J32" s="8">
        <f>COUNTIF(P32:AS32,"cex")</f>
        <v/>
      </c>
      <c r="K32" s="8">
        <f>COUNTIF(P32:AS32,"res")</f>
        <v/>
      </c>
      <c r="L32" s="8">
        <f>COUNTIF(P32:AS32,"mA")</f>
        <v/>
      </c>
      <c r="M32" s="8">
        <f>COUNTIF(P32:AS32,"at")</f>
        <v/>
      </c>
      <c r="N32" s="8">
        <f>COUNTIF(P32:AS32,"TAD")</f>
        <v/>
      </c>
      <c r="O32" s="8">
        <f>COUNTIF(P32:AS32,"TP")</f>
        <v/>
      </c>
      <c r="P32" s="8" t="n"/>
      <c r="Q32" s="8" t="n"/>
      <c r="R32" s="8" t="n"/>
      <c r="S32" s="8" t="n"/>
      <c r="T32" s="121" t="n"/>
      <c r="U32" s="121" t="n"/>
      <c r="V32" s="8" t="n"/>
      <c r="W32" s="8" t="n"/>
      <c r="X32" s="8" t="n"/>
      <c r="Y32" s="8" t="n"/>
      <c r="Z32" s="8" t="n"/>
      <c r="AA32" s="121" t="n"/>
      <c r="AB32" s="121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121" t="n"/>
      <c r="AP32" s="121" t="n"/>
      <c r="AQ32" s="121" t="n"/>
      <c r="AR32" s="121" t="n"/>
      <c r="AS32" s="121" t="n"/>
      <c r="AT32" s="258" t="n"/>
    </row>
    <row r="33" ht="20.1" customHeight="1">
      <c r="A33" s="48">
        <f>IFERROR(IF(config!E25="","",config!E25),"")</f>
        <v/>
      </c>
      <c r="B33" s="48">
        <f>IFERROR(IF(config!F25="","",config!F25),"")</f>
        <v/>
      </c>
      <c r="C33" s="48">
        <f>IFERROR(IF(config!G25="","",config!G25),"")</f>
        <v/>
      </c>
      <c r="D33" s="8">
        <f>COUNTIF(P33:AS33,"p")</f>
        <v/>
      </c>
      <c r="E33" s="8">
        <f>COUNTIF(P33:AS33,"PC")</f>
        <v/>
      </c>
      <c r="F33" s="8">
        <f>COUNTIF(P33:AS33,"f")</f>
        <v/>
      </c>
      <c r="G33" s="8">
        <f>COUNTIF(P33:AS33,"ast")</f>
        <v/>
      </c>
      <c r="H33" s="8">
        <f>COUNTIF(P33:AS33,"cA")</f>
        <v/>
      </c>
      <c r="I33" s="8">
        <f>COUNTIF(P33:AS33,"rtt")</f>
        <v/>
      </c>
      <c r="J33" s="8">
        <f>COUNTIF(P33:AS33,"cex")</f>
        <v/>
      </c>
      <c r="K33" s="8">
        <f>COUNTIF(P33:AS33,"res")</f>
        <v/>
      </c>
      <c r="L33" s="8">
        <f>COUNTIF(P33:AS33,"mA")</f>
        <v/>
      </c>
      <c r="M33" s="8">
        <f>COUNTIF(P33:AS33,"at")</f>
        <v/>
      </c>
      <c r="N33" s="8">
        <f>COUNTIF(P33:AS33,"TAD")</f>
        <v/>
      </c>
      <c r="O33" s="8">
        <f>COUNTIF(P33:AS33,"TP")</f>
        <v/>
      </c>
      <c r="P33" s="8" t="n"/>
      <c r="Q33" s="8" t="n"/>
      <c r="R33" s="8" t="n"/>
      <c r="S33" s="8" t="n"/>
      <c r="T33" s="121" t="n"/>
      <c r="U33" s="121" t="n"/>
      <c r="V33" s="8" t="n"/>
      <c r="W33" s="8" t="n"/>
      <c r="X33" s="8" t="n"/>
      <c r="Y33" s="8" t="n"/>
      <c r="Z33" s="8" t="n"/>
      <c r="AA33" s="121" t="n"/>
      <c r="AB33" s="121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121" t="n"/>
      <c r="AP33" s="121" t="n"/>
      <c r="AQ33" s="121" t="n"/>
      <c r="AR33" s="121" t="n"/>
      <c r="AS33" s="121" t="n"/>
      <c r="AT33" s="258" t="n"/>
    </row>
    <row r="34" ht="20.1" customHeight="1">
      <c r="A34" s="48">
        <f>IFERROR(IF(config!E26="","",config!E26),"")</f>
        <v/>
      </c>
      <c r="B34" s="48">
        <f>IFERROR(IF(config!F26="","",config!F26),"")</f>
        <v/>
      </c>
      <c r="C34" s="48">
        <f>IFERROR(IF(config!G26="","",config!G26),"")</f>
        <v/>
      </c>
      <c r="D34" s="8">
        <f>COUNTIF(P34:AS34,"p")</f>
        <v/>
      </c>
      <c r="E34" s="8">
        <f>COUNTIF(P34:AS34,"PC")</f>
        <v/>
      </c>
      <c r="F34" s="8">
        <f>COUNTIF(P34:AS34,"f")</f>
        <v/>
      </c>
      <c r="G34" s="8">
        <f>COUNTIF(P34:AS34,"ast")</f>
        <v/>
      </c>
      <c r="H34" s="8">
        <f>COUNTIF(P34:AS34,"cA")</f>
        <v/>
      </c>
      <c r="I34" s="8">
        <f>COUNTIF(P34:AS34,"rtt")</f>
        <v/>
      </c>
      <c r="J34" s="8">
        <f>COUNTIF(P34:AS34,"cex")</f>
        <v/>
      </c>
      <c r="K34" s="8">
        <f>COUNTIF(P34:AS34,"res")</f>
        <v/>
      </c>
      <c r="L34" s="8">
        <f>COUNTIF(P34:AS34,"mA")</f>
        <v/>
      </c>
      <c r="M34" s="8">
        <f>COUNTIF(P34:AS34,"at")</f>
        <v/>
      </c>
      <c r="N34" s="8">
        <f>COUNTIF(P34:AS34,"TAD")</f>
        <v/>
      </c>
      <c r="O34" s="8">
        <f>COUNTIF(P34:AS34,"TP")</f>
        <v/>
      </c>
      <c r="P34" s="8" t="n"/>
      <c r="Q34" s="8" t="n"/>
      <c r="R34" s="8" t="n"/>
      <c r="S34" s="8" t="n"/>
      <c r="T34" s="121" t="n"/>
      <c r="U34" s="121" t="n"/>
      <c r="V34" s="8" t="n"/>
      <c r="W34" s="8" t="n"/>
      <c r="X34" s="8" t="n"/>
      <c r="Y34" s="8" t="n"/>
      <c r="Z34" s="8" t="n"/>
      <c r="AA34" s="121" t="n"/>
      <c r="AB34" s="121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121" t="n"/>
      <c r="AP34" s="121" t="n"/>
      <c r="AQ34" s="121" t="n"/>
      <c r="AR34" s="121" t="n"/>
      <c r="AS34" s="121" t="n"/>
      <c r="AT34" s="258" t="n"/>
    </row>
    <row r="35" ht="20.1" customHeight="1">
      <c r="A35" s="48">
        <f>IFERROR(IF(config!E27="","",config!E27),"")</f>
        <v/>
      </c>
      <c r="B35" s="48">
        <f>IFERROR(IF(config!F27="","",config!F27),"")</f>
        <v/>
      </c>
      <c r="C35" s="48">
        <f>IFERROR(IF(config!G27="","",config!G27),"")</f>
        <v/>
      </c>
      <c r="D35" s="8">
        <f>COUNTIF(P35:AS35,"p")</f>
        <v/>
      </c>
      <c r="E35" s="8">
        <f>COUNTIF(P35:AS35,"PC")</f>
        <v/>
      </c>
      <c r="F35" s="8">
        <f>COUNTIF(P35:AS35,"f")</f>
        <v/>
      </c>
      <c r="G35" s="8">
        <f>COUNTIF(P35:AS35,"ast")</f>
        <v/>
      </c>
      <c r="H35" s="8">
        <f>COUNTIF(P35:AS35,"cA")</f>
        <v/>
      </c>
      <c r="I35" s="8">
        <f>COUNTIF(P35:AS35,"rtt")</f>
        <v/>
      </c>
      <c r="J35" s="8">
        <f>COUNTIF(P35:AS35,"cex")</f>
        <v/>
      </c>
      <c r="K35" s="8">
        <f>COUNTIF(P35:AS35,"res")</f>
        <v/>
      </c>
      <c r="L35" s="8">
        <f>COUNTIF(P35:AS35,"mA")</f>
        <v/>
      </c>
      <c r="M35" s="8">
        <f>COUNTIF(P35:AS35,"at")</f>
        <v/>
      </c>
      <c r="N35" s="8">
        <f>COUNTIF(P35:AS35,"TAD")</f>
        <v/>
      </c>
      <c r="O35" s="8">
        <f>COUNTIF(P35:AS35,"TP")</f>
        <v/>
      </c>
      <c r="P35" s="8" t="n"/>
      <c r="Q35" s="8" t="n"/>
      <c r="R35" s="8" t="n"/>
      <c r="S35" s="8" t="n"/>
      <c r="T35" s="121" t="n"/>
      <c r="U35" s="121" t="n"/>
      <c r="V35" s="8" t="n"/>
      <c r="W35" s="8" t="n"/>
      <c r="X35" s="8" t="n"/>
      <c r="Y35" s="8" t="n"/>
      <c r="Z35" s="8" t="n"/>
      <c r="AA35" s="121" t="n"/>
      <c r="AB35" s="121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121" t="n"/>
      <c r="AP35" s="121" t="n"/>
      <c r="AQ35" s="121" t="n"/>
      <c r="AR35" s="121" t="n"/>
      <c r="AS35" s="121" t="n"/>
      <c r="AT35" s="258" t="n"/>
    </row>
    <row r="36" ht="20.1" customHeight="1" thickBot="1">
      <c r="A36" s="48">
        <f>IFERROR(IF(config!E28="","",config!E28),"")</f>
        <v/>
      </c>
      <c r="B36" s="48">
        <f>IFERROR(IF(config!F28="","",config!F28),"")</f>
        <v/>
      </c>
      <c r="C36" s="48">
        <f>IFERROR(IF(config!G28="","",config!G28),"")</f>
        <v/>
      </c>
      <c r="D36" s="8">
        <f>COUNTIF(P36:AS36,"p")</f>
        <v/>
      </c>
      <c r="E36" s="8">
        <f>COUNTIF(P36:AS36,"PC")</f>
        <v/>
      </c>
      <c r="F36" s="8">
        <f>COUNTIF(P36:AS36,"f")</f>
        <v/>
      </c>
      <c r="G36" s="8">
        <f>COUNTIF(P36:AS36,"ast")</f>
        <v/>
      </c>
      <c r="H36" s="8">
        <f>COUNTIF(P36:AS36,"cA")</f>
        <v/>
      </c>
      <c r="I36" s="8">
        <f>COUNTIF(P36:AS36,"rtt")</f>
        <v/>
      </c>
      <c r="J36" s="8">
        <f>COUNTIF(P36:AS36,"cex")</f>
        <v/>
      </c>
      <c r="K36" s="8">
        <f>COUNTIF(P36:AS36,"res")</f>
        <v/>
      </c>
      <c r="L36" s="8">
        <f>COUNTIF(P36:AS36,"mA")</f>
        <v/>
      </c>
      <c r="M36" s="8">
        <f>COUNTIF(P36:AS36,"at")</f>
        <v/>
      </c>
      <c r="N36" s="8">
        <f>COUNTIF(P36:AS36,"TAD")</f>
        <v/>
      </c>
      <c r="O36" s="8">
        <f>COUNTIF(P36:AS36,"TP")</f>
        <v/>
      </c>
      <c r="P36" s="8" t="n"/>
      <c r="Q36" s="8" t="n"/>
      <c r="R36" s="8" t="n"/>
      <c r="S36" s="8" t="n"/>
      <c r="T36" s="121" t="n"/>
      <c r="U36" s="121" t="n"/>
      <c r="V36" s="8" t="n"/>
      <c r="W36" s="8" t="n"/>
      <c r="X36" s="8" t="n"/>
      <c r="Y36" s="8" t="n"/>
      <c r="Z36" s="8" t="n"/>
      <c r="AA36" s="121" t="n"/>
      <c r="AB36" s="121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121" t="n"/>
      <c r="AP36" s="121" t="n"/>
      <c r="AQ36" s="121" t="n"/>
      <c r="AR36" s="121" t="n"/>
      <c r="AS36" s="121" t="n"/>
      <c r="AT36" s="258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288" t="n"/>
    </row>
    <row r="38" ht="20.1" customHeight="1" thickBot="1">
      <c r="A38" s="338">
        <f>IFERROR(IF(config!E30="","",config!E30),"")</f>
        <v/>
      </c>
      <c r="B38" s="348" t="n"/>
      <c r="C38" s="348" t="n"/>
      <c r="D38" s="348" t="n"/>
      <c r="E38" s="348" t="n"/>
      <c r="F38" s="348" t="n"/>
      <c r="G38" s="348" t="n"/>
      <c r="H38" s="348" t="n"/>
      <c r="I38" s="348" t="n"/>
      <c r="J38" s="348" t="n"/>
      <c r="K38" s="348" t="n"/>
      <c r="L38" s="348" t="n"/>
      <c r="M38" s="348" t="n"/>
      <c r="N38" s="348" t="n"/>
      <c r="O38" s="348" t="n"/>
      <c r="P38" s="348" t="n"/>
      <c r="Q38" s="348" t="n"/>
      <c r="R38" s="348" t="n"/>
      <c r="S38" s="348" t="n"/>
      <c r="T38" s="348" t="n"/>
      <c r="U38" s="348" t="n"/>
      <c r="V38" s="348" t="n"/>
      <c r="W38" s="348" t="n"/>
      <c r="X38" s="348" t="n"/>
      <c r="Y38" s="348" t="n"/>
      <c r="Z38" s="348" t="n"/>
      <c r="AA38" s="348" t="n"/>
      <c r="AB38" s="348" t="n"/>
      <c r="AC38" s="348" t="n"/>
      <c r="AD38" s="348" t="n"/>
      <c r="AE38" s="348" t="n"/>
      <c r="AF38" s="348" t="n"/>
      <c r="AG38" s="348" t="n"/>
      <c r="AH38" s="348" t="n"/>
      <c r="AI38" s="348" t="n"/>
      <c r="AJ38" s="348" t="n"/>
      <c r="AK38" s="348" t="n"/>
      <c r="AL38" s="348" t="n"/>
      <c r="AM38" s="348" t="n"/>
      <c r="AN38" s="348" t="n"/>
      <c r="AO38" s="348" t="n"/>
      <c r="AP38" s="348" t="n"/>
      <c r="AQ38" s="348" t="n"/>
      <c r="AR38" s="348" t="n"/>
      <c r="AS38" s="348" t="n"/>
      <c r="AT38" s="331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28">
        <f>COUNTIF(P39:AS39,"TP")</f>
        <v/>
      </c>
      <c r="P39" s="114" t="n"/>
      <c r="Q39" s="114" t="n"/>
      <c r="R39" s="114" t="n"/>
      <c r="S39" s="114" t="n"/>
      <c r="T39" s="113" t="n"/>
      <c r="U39" s="113" t="n"/>
      <c r="V39" s="28" t="n"/>
      <c r="W39" s="28" t="n"/>
      <c r="X39" s="28" t="n"/>
      <c r="Y39" s="28" t="n"/>
      <c r="Z39" s="28" t="n"/>
      <c r="AA39" s="121" t="n"/>
      <c r="AB39" s="121" t="n"/>
      <c r="AC39" s="28" t="n"/>
      <c r="AD39" s="28" t="n"/>
      <c r="AE39" s="28" t="n"/>
      <c r="AF39" s="28" t="n"/>
      <c r="AG39" s="28" t="n"/>
      <c r="AH39" s="121" t="n"/>
      <c r="AI39" s="121" t="n"/>
      <c r="AJ39" s="139" t="n"/>
      <c r="AK39" s="28" t="n"/>
      <c r="AL39" s="28" t="n"/>
      <c r="AM39" s="28" t="n"/>
      <c r="AN39" s="28" t="n"/>
      <c r="AO39" s="121" t="n"/>
      <c r="AP39" s="121" t="n"/>
      <c r="AQ39" s="28" t="n"/>
      <c r="AR39" s="28" t="n"/>
      <c r="AS39" s="28" t="n"/>
      <c r="AT39" s="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28">
        <f>COUNTIF(P40:AS40,"TP")</f>
        <v/>
      </c>
      <c r="P40" s="218" t="n"/>
      <c r="Q40" s="8" t="n"/>
      <c r="R40" s="128" t="n"/>
      <c r="S40" s="8" t="n"/>
      <c r="T40" s="121" t="n"/>
      <c r="U40" s="121" t="n"/>
      <c r="V40" s="8" t="n"/>
      <c r="W40" s="8" t="n"/>
      <c r="X40" s="8" t="n"/>
      <c r="Y40" s="8" t="n"/>
      <c r="Z40" s="8" t="n"/>
      <c r="AA40" s="121" t="n"/>
      <c r="AB40" s="121" t="n"/>
      <c r="AC40" s="8" t="n"/>
      <c r="AD40" s="8" t="n"/>
      <c r="AE40" s="8" t="n"/>
      <c r="AF40" s="8" t="n"/>
      <c r="AG40" s="8" t="n"/>
      <c r="AH40" s="121" t="n"/>
      <c r="AI40" s="121" t="n"/>
      <c r="AJ40" s="139" t="n"/>
      <c r="AK40" s="8" t="n"/>
      <c r="AL40" s="8" t="n"/>
      <c r="AM40" s="8" t="n"/>
      <c r="AN40" s="8" t="n"/>
      <c r="AO40" s="121" t="n"/>
      <c r="AP40" s="121" t="n"/>
      <c r="AQ40" s="8" t="n"/>
      <c r="AR40" s="8" t="n"/>
      <c r="AS40" s="43" t="n"/>
      <c r="AT40" s="1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28">
        <f>COUNTIF(P41:AS41,"TP")</f>
        <v/>
      </c>
      <c r="P41" s="218" t="n"/>
      <c r="Q41" s="8" t="n"/>
      <c r="R41" s="30" t="n"/>
      <c r="S41" s="30" t="n"/>
      <c r="T41" s="121" t="n"/>
      <c r="U41" s="121" t="n"/>
      <c r="V41" s="8" t="n"/>
      <c r="W41" s="8" t="n"/>
      <c r="X41" s="8" t="n"/>
      <c r="Y41" s="8" t="n"/>
      <c r="Z41" s="8" t="n"/>
      <c r="AA41" s="121" t="n"/>
      <c r="AB41" s="121" t="n"/>
      <c r="AC41" s="8" t="n"/>
      <c r="AD41" s="8" t="n"/>
      <c r="AE41" s="8" t="n"/>
      <c r="AF41" s="8" t="n"/>
      <c r="AG41" s="8" t="n"/>
      <c r="AH41" s="121" t="n"/>
      <c r="AI41" s="121" t="n"/>
      <c r="AJ41" s="139" t="n"/>
      <c r="AK41" s="8" t="n"/>
      <c r="AL41" s="8" t="n"/>
      <c r="AM41" s="8" t="n"/>
      <c r="AN41" s="8" t="n"/>
      <c r="AO41" s="121" t="n"/>
      <c r="AP41" s="121" t="n"/>
      <c r="AQ41" s="8" t="n"/>
      <c r="AR41" s="8" t="n"/>
      <c r="AS41" s="8" t="n"/>
      <c r="AT41" s="1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28">
        <f>COUNTIF(P42:AS42,"TP")</f>
        <v/>
      </c>
      <c r="P42" s="117" t="n"/>
      <c r="Q42" s="130" t="n"/>
      <c r="R42" s="8" t="n"/>
      <c r="S42" s="8" t="n"/>
      <c r="T42" s="121" t="n"/>
      <c r="U42" s="121" t="n"/>
      <c r="V42" s="8" t="n"/>
      <c r="W42" s="8" t="n"/>
      <c r="X42" s="8" t="n"/>
      <c r="Y42" s="8" t="n"/>
      <c r="Z42" s="8" t="n"/>
      <c r="AA42" s="121" t="n"/>
      <c r="AB42" s="121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121" t="n"/>
      <c r="AP42" s="121" t="n"/>
      <c r="AQ42" s="8" t="n"/>
      <c r="AR42" s="8" t="n"/>
      <c r="AS42" s="8" t="n"/>
      <c r="AT42" s="1" t="n"/>
    </row>
    <row r="43" ht="20.1" customHeight="1" thickBot="1">
      <c r="A43" s="40">
        <f>IFERROR(IF(config!#REF!="","",config!#REF!),"")</f>
        <v/>
      </c>
      <c r="B43" s="48">
        <f>IFERROR(IF(config!#REF!="","",config!#REF!),"")</f>
        <v/>
      </c>
      <c r="C43" s="96">
        <f>IFERROR(IF(config!#REF!="","",config!#REF!),"")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28">
        <f>COUNTIF(P43:AS43,"TP")</f>
        <v/>
      </c>
      <c r="P43" s="117" t="n"/>
      <c r="Q43" s="117" t="n"/>
      <c r="R43" s="117" t="n"/>
      <c r="S43" s="117" t="n"/>
      <c r="T43" s="121" t="n"/>
      <c r="U43" s="121" t="n"/>
      <c r="V43" s="8" t="n"/>
      <c r="W43" s="8" t="n"/>
      <c r="X43" s="8" t="n"/>
      <c r="Y43" s="8" t="n"/>
      <c r="Z43" s="8" t="n"/>
      <c r="AA43" s="121" t="n"/>
      <c r="AB43" s="121" t="n"/>
      <c r="AC43" s="8" t="n"/>
      <c r="AD43" s="8" t="n"/>
      <c r="AE43" s="8" t="n"/>
      <c r="AF43" s="8" t="n"/>
      <c r="AG43" s="8" t="n"/>
      <c r="AH43" s="121" t="n"/>
      <c r="AI43" s="121" t="n"/>
      <c r="AJ43" s="139" t="n"/>
      <c r="AK43" s="8" t="n"/>
      <c r="AL43" s="8" t="n"/>
      <c r="AM43" s="8" t="n"/>
      <c r="AN43" s="8" t="n"/>
      <c r="AO43" s="121" t="n"/>
      <c r="AP43" s="121" t="n"/>
      <c r="AQ43" s="8" t="n"/>
      <c r="AR43" s="8" t="n"/>
      <c r="AS43" s="8" t="n"/>
      <c r="AT43" s="1" t="n"/>
    </row>
    <row r="44" ht="20.1" customHeight="1" thickBot="1">
      <c r="A44" s="40">
        <f>IFERROR(IF(config!E35="","",config!E35),"")</f>
        <v/>
      </c>
      <c r="B44" s="48">
        <f>IFERROR(IF(config!F35="","",config!F35),"")</f>
        <v/>
      </c>
      <c r="C44" s="96">
        <f>IFERROR(IF(config!G35="","",config!G35),"")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28">
        <f>COUNTIF(P44:AS44,"TP")</f>
        <v/>
      </c>
      <c r="P44" s="117" t="n"/>
      <c r="Q44" s="117" t="n"/>
      <c r="R44" s="117" t="n"/>
      <c r="S44" s="117" t="n"/>
      <c r="T44" s="121" t="n"/>
      <c r="U44" s="121" t="n"/>
      <c r="V44" s="8" t="n"/>
      <c r="W44" s="8" t="n"/>
      <c r="X44" s="8" t="n"/>
      <c r="Y44" s="8" t="n"/>
      <c r="Z44" s="8" t="n"/>
      <c r="AA44" s="121" t="n"/>
      <c r="AB44" s="121" t="n"/>
      <c r="AC44" s="8" t="n"/>
      <c r="AD44" s="8" t="n"/>
      <c r="AE44" s="8" t="n"/>
      <c r="AF44" s="8" t="n"/>
      <c r="AG44" s="8" t="n"/>
      <c r="AH44" s="121" t="n"/>
      <c r="AI44" s="121" t="n"/>
      <c r="AJ44" s="139" t="n"/>
      <c r="AK44" s="8" t="n"/>
      <c r="AL44" s="8" t="n"/>
      <c r="AM44" s="8" t="n"/>
      <c r="AN44" s="8" t="n"/>
      <c r="AO44" s="121" t="n"/>
      <c r="AP44" s="121" t="n"/>
      <c r="AQ44" s="8" t="n"/>
      <c r="AR44" s="8" t="n"/>
      <c r="AS44" s="8" t="n"/>
      <c r="AT44" s="1" t="n"/>
    </row>
    <row r="45" ht="20.1" customHeight="1" thickBot="1">
      <c r="A45" s="40">
        <f>IFERROR(IF(config!E36="","",config!E36),"")</f>
        <v/>
      </c>
      <c r="B45" s="48">
        <f>IFERROR(IF(config!F36="","",config!F36),"")</f>
        <v/>
      </c>
      <c r="C45" s="96">
        <f>IFERROR(IF(config!G36="","",config!G36),"")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28">
        <f>COUNTIF(P45:AS45,"TP")</f>
        <v/>
      </c>
      <c r="P45" s="117" t="n"/>
      <c r="Q45" s="8" t="n"/>
      <c r="R45" s="8" t="n"/>
      <c r="S45" s="8" t="n"/>
      <c r="T45" s="121" t="n"/>
      <c r="U45" s="121" t="n"/>
      <c r="V45" s="8" t="n"/>
      <c r="W45" s="8" t="n"/>
      <c r="X45" s="8" t="n"/>
      <c r="Y45" s="8" t="n"/>
      <c r="Z45" s="8" t="n"/>
      <c r="AA45" s="121" t="n"/>
      <c r="AB45" s="121" t="n"/>
      <c r="AC45" s="8" t="n"/>
      <c r="AD45" s="8" t="n"/>
      <c r="AE45" s="8" t="n"/>
      <c r="AF45" s="8" t="n"/>
      <c r="AG45" s="8" t="n"/>
      <c r="AH45" s="121" t="n"/>
      <c r="AI45" s="121" t="n"/>
      <c r="AJ45" s="139" t="n"/>
      <c r="AK45" s="8" t="n"/>
      <c r="AL45" s="8" t="n"/>
      <c r="AM45" s="8" t="n"/>
      <c r="AN45" s="8" t="n"/>
      <c r="AO45" s="121" t="n"/>
      <c r="AP45" s="121" t="n"/>
      <c r="AQ45" s="8" t="n"/>
      <c r="AR45" s="8" t="n"/>
      <c r="AS45" s="8" t="n"/>
      <c r="AT45" s="1" t="n"/>
    </row>
    <row r="46" ht="20.1" customHeight="1" thickBot="1">
      <c r="A46" s="40">
        <f>IFERROR(IF(config!E37="","",config!E37),"")</f>
        <v/>
      </c>
      <c r="B46" s="48">
        <f>IFERROR(IF(config!F37="","",config!F37),"")</f>
        <v/>
      </c>
      <c r="C46" s="96">
        <f>IFERROR(IF(config!G37="","",config!G37),"")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28">
        <f>COUNTIF(P46:AS46,"TP")</f>
        <v/>
      </c>
      <c r="P46" s="117" t="n"/>
      <c r="Q46" s="117" t="n"/>
      <c r="R46" s="117" t="n"/>
      <c r="S46" s="117" t="n"/>
      <c r="T46" s="121" t="n"/>
      <c r="U46" s="121" t="n"/>
      <c r="V46" s="117" t="n"/>
      <c r="W46" s="117" t="n"/>
      <c r="X46" s="117" t="n"/>
      <c r="Y46" s="117" t="n"/>
      <c r="Z46" s="117" t="n"/>
      <c r="AA46" s="121" t="n"/>
      <c r="AB46" s="121" t="n"/>
      <c r="AC46" s="117" t="n"/>
      <c r="AD46" s="117" t="n"/>
      <c r="AE46" s="117" t="n"/>
      <c r="AF46" s="117" t="n"/>
      <c r="AG46" s="117" t="n"/>
      <c r="AH46" s="121" t="n"/>
      <c r="AI46" s="121" t="n"/>
      <c r="AJ46" s="139" t="n"/>
      <c r="AK46" s="117" t="n"/>
      <c r="AL46" s="117" t="n"/>
      <c r="AM46" s="117" t="n"/>
      <c r="AN46" s="117" t="n"/>
      <c r="AO46" s="121" t="n"/>
      <c r="AP46" s="121" t="n"/>
      <c r="AQ46" s="117" t="n"/>
      <c r="AR46" s="117" t="n"/>
      <c r="AS46" s="117" t="n"/>
      <c r="AT46" s="1" t="n"/>
    </row>
    <row r="47" ht="20.1" customHeight="1" thickBot="1">
      <c r="A47" s="40">
        <f>IFERROR(IF(config!E38="","",config!E38),"")</f>
        <v/>
      </c>
      <c r="B47" s="48">
        <f>IFERROR(IF(config!F38="","",config!F38),"")</f>
        <v/>
      </c>
      <c r="C47" s="96">
        <f>IFERROR(IF(config!G38="","",config!G38),"")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28">
        <f>COUNTIF(P47:AS47,"TP")</f>
        <v/>
      </c>
      <c r="P47" s="117" t="n"/>
      <c r="Q47" s="117" t="n"/>
      <c r="R47" s="8" t="n"/>
      <c r="S47" s="8" t="n"/>
      <c r="T47" s="121" t="n"/>
      <c r="U47" s="121" t="n"/>
      <c r="V47" s="8" t="n"/>
      <c r="W47" s="8" t="n"/>
      <c r="X47" s="8" t="n"/>
      <c r="Y47" s="8" t="n"/>
      <c r="Z47" s="8" t="n"/>
      <c r="AA47" s="121" t="n"/>
      <c r="AB47" s="121" t="n"/>
      <c r="AC47" s="8" t="n"/>
      <c r="AD47" s="8" t="n"/>
      <c r="AE47" s="8" t="n"/>
      <c r="AF47" s="8" t="n"/>
      <c r="AG47" s="8" t="n"/>
      <c r="AH47" s="121" t="n"/>
      <c r="AI47" s="121" t="n"/>
      <c r="AJ47" s="139" t="n"/>
      <c r="AK47" s="8" t="n"/>
      <c r="AL47" s="8" t="n"/>
      <c r="AM47" s="8" t="n"/>
      <c r="AN47" s="8" t="n"/>
      <c r="AO47" s="121" t="n"/>
      <c r="AP47" s="121" t="n"/>
      <c r="AQ47" s="8" t="n"/>
      <c r="AR47" s="8" t="n"/>
      <c r="AS47" s="8" t="n"/>
      <c r="AT47" s="1" t="n"/>
    </row>
    <row r="48" ht="20.1" customHeight="1" thickBot="1">
      <c r="A48" s="40">
        <f>IFERROR(IF(config!E39="","",config!E39),"")</f>
        <v/>
      </c>
      <c r="B48" s="48">
        <f>IFERROR(IF(config!F39="","",config!F39),"")</f>
        <v/>
      </c>
      <c r="C48" s="96">
        <f>IFERROR(IF(config!G39="","",config!G39),"")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28">
        <f>COUNTIF(P48:AS48,"TP")</f>
        <v/>
      </c>
      <c r="P48" s="117" t="n"/>
      <c r="Q48" s="117" t="n"/>
      <c r="R48" s="117" t="n"/>
      <c r="S48" s="117" t="n"/>
      <c r="T48" s="121" t="n"/>
      <c r="U48" s="121" t="n"/>
      <c r="V48" s="8" t="n"/>
      <c r="W48" s="8" t="n"/>
      <c r="X48" s="8" t="n"/>
      <c r="Y48" s="8" t="n"/>
      <c r="Z48" s="8" t="n"/>
      <c r="AA48" s="121" t="n"/>
      <c r="AB48" s="121" t="n"/>
      <c r="AC48" s="8" t="n"/>
      <c r="AD48" s="8" t="n"/>
      <c r="AE48" s="8" t="n"/>
      <c r="AF48" s="8" t="n"/>
      <c r="AG48" s="8" t="n"/>
      <c r="AH48" s="121" t="n"/>
      <c r="AI48" s="121" t="n"/>
      <c r="AJ48" s="139" t="n"/>
      <c r="AK48" s="8" t="n"/>
      <c r="AL48" s="8" t="n"/>
      <c r="AM48" s="8" t="n"/>
      <c r="AN48" s="8" t="n"/>
      <c r="AO48" s="121" t="n"/>
      <c r="AP48" s="121" t="n"/>
      <c r="AQ48" s="8" t="n"/>
      <c r="AR48" s="8" t="n"/>
      <c r="AS48" s="8" t="n"/>
      <c r="AT48" s="1" t="n"/>
    </row>
    <row r="49" ht="20.1" customHeight="1" thickBot="1">
      <c r="A49" s="39">
        <f>IFERROR(IF(config!E40="","",config!E40),"")</f>
        <v/>
      </c>
      <c r="B49" s="51">
        <f>IFERROR(IF(config!F40="","",config!F40),"")</f>
        <v/>
      </c>
      <c r="C49" s="97">
        <f>IFERROR(IF(config!G40="","",config!G40),"")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28">
        <f>COUNTIF(P49:AS49,"TP")</f>
        <v/>
      </c>
      <c r="P49" s="118" t="n"/>
      <c r="Q49" s="118" t="n"/>
      <c r="R49" s="118" t="n"/>
      <c r="S49" s="118" t="n"/>
      <c r="T49" s="122" t="n"/>
      <c r="U49" s="122" t="n"/>
      <c r="V49" s="8" t="n"/>
      <c r="W49" s="8" t="n"/>
      <c r="X49" s="8" t="n"/>
      <c r="Y49" s="8" t="n"/>
      <c r="Z49" s="29" t="n"/>
      <c r="AA49" s="122" t="n"/>
      <c r="AB49" s="122" t="n"/>
      <c r="AC49" s="29" t="n"/>
      <c r="AD49" s="29" t="n"/>
      <c r="AE49" s="29" t="n"/>
      <c r="AF49" s="29" t="n"/>
      <c r="AG49" s="29" t="n"/>
      <c r="AH49" s="122" t="n"/>
      <c r="AI49" s="122" t="n"/>
      <c r="AJ49" s="140" t="n"/>
      <c r="AK49" s="29" t="n"/>
      <c r="AL49" s="29" t="n"/>
      <c r="AM49" s="29" t="n"/>
      <c r="AN49" s="29" t="n"/>
      <c r="AO49" s="122" t="n"/>
      <c r="AP49" s="122" t="n"/>
      <c r="AQ49" s="29" t="n"/>
      <c r="AR49" s="29" t="n"/>
      <c r="AS49" s="29" t="n"/>
      <c r="AT49" s="1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0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28">
        <f>COUNTIF(P51:AS51,"TP")</f>
        <v/>
      </c>
      <c r="P51" s="114" t="n"/>
      <c r="Q51" s="114" t="n"/>
      <c r="R51" s="114" t="n"/>
      <c r="S51" s="114" t="n"/>
      <c r="T51" s="113" t="n"/>
      <c r="U51" s="113" t="n"/>
      <c r="V51" s="28" t="n"/>
      <c r="W51" s="28" t="n"/>
      <c r="X51" s="28" t="n"/>
      <c r="Y51" s="28" t="n"/>
      <c r="Z51" s="28" t="n"/>
      <c r="AA51" s="113" t="n"/>
      <c r="AB51" s="113" t="n"/>
      <c r="AC51" s="28" t="n"/>
      <c r="AD51" s="150" t="n"/>
      <c r="AE51" s="150" t="n"/>
      <c r="AF51" s="150" t="n"/>
      <c r="AG51" s="150" t="n"/>
      <c r="AH51" s="113" t="n"/>
      <c r="AI51" s="113" t="n"/>
      <c r="AJ51" s="138" t="n"/>
      <c r="AK51" s="150" t="n"/>
      <c r="AL51" s="150" t="n"/>
      <c r="AM51" s="150" t="n"/>
      <c r="AN51" s="150" t="n"/>
      <c r="AO51" s="113" t="n"/>
      <c r="AP51" s="113" t="n"/>
      <c r="AQ51" s="150" t="n"/>
      <c r="AR51" s="150" t="n"/>
      <c r="AS51" s="150" t="n"/>
      <c r="AT51" s="1" t="n"/>
      <c r="AV51" s="15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28">
        <f>COUNTIF(P52:AS52,"TP")</f>
        <v/>
      </c>
      <c r="P52" s="114" t="n"/>
      <c r="Q52" s="114" t="n"/>
      <c r="R52" s="114" t="n"/>
      <c r="S52" s="114" t="n"/>
      <c r="T52" s="121" t="n"/>
      <c r="U52" s="121" t="n"/>
      <c r="V52" s="28" t="n"/>
      <c r="W52" s="28" t="n"/>
      <c r="X52" s="28" t="n"/>
      <c r="Y52" s="28" t="n"/>
      <c r="Z52" s="8" t="n"/>
      <c r="AA52" s="121" t="n"/>
      <c r="AB52" s="121" t="n"/>
      <c r="AC52" s="8" t="n"/>
      <c r="AD52" s="8" t="n"/>
      <c r="AE52" s="8" t="n"/>
      <c r="AF52" s="8" t="n"/>
      <c r="AG52" s="8" t="n"/>
      <c r="AH52" s="121" t="n"/>
      <c r="AI52" s="121" t="n"/>
      <c r="AJ52" s="225" t="n"/>
      <c r="AK52" s="8" t="n"/>
      <c r="AL52" s="8" t="n"/>
      <c r="AM52" s="8" t="n"/>
      <c r="AN52" s="8" t="n"/>
      <c r="AO52" s="134" t="n"/>
      <c r="AP52" s="121" t="n"/>
      <c r="AQ52" s="8" t="n"/>
      <c r="AR52" s="8" t="n"/>
      <c r="AS52" s="8" t="n"/>
      <c r="AT52" s="1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28">
        <f>COUNTIF(P53:AS53,"TP")</f>
        <v/>
      </c>
      <c r="P53" s="114" t="n"/>
      <c r="Q53" s="114" t="n"/>
      <c r="R53" s="114" t="n"/>
      <c r="S53" s="114" t="n"/>
      <c r="T53" s="121" t="n"/>
      <c r="U53" s="121" t="n"/>
      <c r="V53" s="28" t="n"/>
      <c r="W53" s="28" t="n"/>
      <c r="X53" s="28" t="n"/>
      <c r="Y53" s="28" t="n"/>
      <c r="Z53" s="8" t="n"/>
      <c r="AA53" s="121" t="n"/>
      <c r="AB53" s="121" t="n"/>
      <c r="AC53" s="8" t="n"/>
      <c r="AD53" s="30" t="n"/>
      <c r="AE53" s="30" t="n"/>
      <c r="AF53" s="30" t="n"/>
      <c r="AG53" s="8" t="n"/>
      <c r="AH53" s="121" t="n"/>
      <c r="AI53" s="121" t="n"/>
      <c r="AJ53" s="225" t="n"/>
      <c r="AK53" s="8" t="n"/>
      <c r="AL53" s="8" t="n"/>
      <c r="AM53" s="8" t="n"/>
      <c r="AN53" s="8" t="n"/>
      <c r="AO53" s="134" t="n"/>
      <c r="AP53" s="121" t="n"/>
      <c r="AQ53" s="8" t="n"/>
      <c r="AR53" s="8" t="n"/>
      <c r="AS53" s="8" t="n"/>
      <c r="AT53" s="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28">
        <f>COUNTIF(P54:AS54,"TP")</f>
        <v/>
      </c>
      <c r="P54" s="114" t="n"/>
      <c r="Q54" s="114" t="n"/>
      <c r="R54" s="114" t="n"/>
      <c r="S54" s="8" t="n"/>
      <c r="T54" s="121" t="n"/>
      <c r="U54" s="121" t="n"/>
      <c r="V54" s="28" t="n"/>
      <c r="W54" s="28" t="n"/>
      <c r="X54" s="8" t="n"/>
      <c r="Y54" s="8" t="n"/>
      <c r="Z54" s="8" t="n"/>
      <c r="AA54" s="121" t="n"/>
      <c r="AB54" s="121" t="n"/>
      <c r="AC54" s="8" t="n"/>
      <c r="AD54" s="8" t="n"/>
      <c r="AE54" s="8" t="n"/>
      <c r="AF54" s="8" t="n"/>
      <c r="AG54" s="8" t="n"/>
      <c r="AH54" s="121" t="n"/>
      <c r="AI54" s="121" t="n"/>
      <c r="AJ54" s="225" t="n"/>
      <c r="AK54" s="8" t="n"/>
      <c r="AL54" s="8" t="n"/>
      <c r="AM54" s="8" t="n"/>
      <c r="AN54" s="8" t="n"/>
      <c r="AO54" s="134" t="n"/>
      <c r="AP54" s="121" t="n"/>
      <c r="AQ54" s="8" t="n"/>
      <c r="AR54" s="8" t="n"/>
      <c r="AS54" s="8" t="n"/>
      <c r="AT54" s="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28">
        <f>COUNTIF(P55:AS55,"TP")</f>
        <v/>
      </c>
      <c r="P55" s="114" t="n"/>
      <c r="Q55" s="114" t="n"/>
      <c r="R55" s="114" t="n"/>
      <c r="S55" s="8" t="n"/>
      <c r="T55" s="121" t="n"/>
      <c r="U55" s="121" t="n"/>
      <c r="V55" s="28" t="n"/>
      <c r="W55" s="28" t="n"/>
      <c r="X55" s="8" t="n"/>
      <c r="Y55" s="8" t="n"/>
      <c r="Z55" s="8" t="n"/>
      <c r="AA55" s="121" t="n"/>
      <c r="AB55" s="121" t="n"/>
      <c r="AC55" s="8" t="n"/>
      <c r="AD55" s="8" t="n"/>
      <c r="AE55" s="8" t="n"/>
      <c r="AF55" s="8" t="n"/>
      <c r="AG55" s="8" t="n"/>
      <c r="AH55" s="121" t="n"/>
      <c r="AI55" s="121" t="n"/>
      <c r="AJ55" s="225" t="n"/>
      <c r="AK55" s="8" t="n"/>
      <c r="AL55" s="8" t="n"/>
      <c r="AM55" s="8" t="n"/>
      <c r="AN55" s="8" t="n"/>
      <c r="AO55" s="134" t="n"/>
      <c r="AP55" s="121" t="n"/>
      <c r="AQ55" s="30" t="n"/>
      <c r="AR55" s="30" t="n"/>
      <c r="AS55" s="30" t="n"/>
      <c r="AT55" s="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28">
        <f>COUNTIF(P56:AS56,"TP")</f>
        <v/>
      </c>
      <c r="P56" s="114" t="n"/>
      <c r="Q56" s="114" t="n"/>
      <c r="R56" s="8" t="n"/>
      <c r="S56" s="8" t="n"/>
      <c r="T56" s="121" t="n"/>
      <c r="U56" s="121" t="n"/>
      <c r="V56" s="28" t="n"/>
      <c r="W56" s="28" t="n"/>
      <c r="X56" s="8" t="n"/>
      <c r="Y56" s="8" t="n"/>
      <c r="Z56" s="8" t="n"/>
      <c r="AA56" s="121" t="n"/>
      <c r="AB56" s="121" t="n"/>
      <c r="AC56" s="8" t="n"/>
      <c r="AD56" s="8" t="n"/>
      <c r="AE56" s="8" t="n"/>
      <c r="AF56" s="8" t="n"/>
      <c r="AG56" s="8" t="n"/>
      <c r="AH56" s="121" t="n"/>
      <c r="AI56" s="121" t="n"/>
      <c r="AJ56" s="139" t="n"/>
      <c r="AK56" s="30" t="n"/>
      <c r="AL56" s="30" t="n"/>
      <c r="AM56" s="30" t="n"/>
      <c r="AN56" s="30" t="n"/>
      <c r="AO56" s="121" t="n"/>
      <c r="AP56" s="121" t="n"/>
      <c r="AQ56" s="8" t="n"/>
      <c r="AR56" s="30" t="n"/>
      <c r="AS56" s="30" t="n"/>
      <c r="AT56" s="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28">
        <f>COUNTIF(P57:AS57,"TP")</f>
        <v/>
      </c>
      <c r="P57" s="114" t="n"/>
      <c r="Q57" s="114" t="n"/>
      <c r="R57" s="114" t="n"/>
      <c r="S57" s="8" t="n"/>
      <c r="T57" s="121" t="n"/>
      <c r="U57" s="121" t="n"/>
      <c r="V57" s="28" t="n"/>
      <c r="W57" s="28" t="n"/>
      <c r="X57" s="8" t="n"/>
      <c r="Y57" s="8" t="n"/>
      <c r="Z57" s="8" t="n"/>
      <c r="AA57" s="121" t="n"/>
      <c r="AB57" s="121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121" t="n"/>
      <c r="AP57" s="121" t="n"/>
      <c r="AQ57" s="8" t="n"/>
      <c r="AR57" s="8" t="n"/>
      <c r="AS57" s="8" t="n"/>
      <c r="AT57" s="1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28">
        <f>COUNTIF(P58:AS58,"TP")</f>
        <v/>
      </c>
      <c r="P58" s="114" t="n"/>
      <c r="Q58" s="114" t="n"/>
      <c r="R58" s="114" t="n"/>
      <c r="S58" s="114" t="n"/>
      <c r="T58" s="121" t="n"/>
      <c r="U58" s="121" t="n"/>
      <c r="V58" s="28" t="n"/>
      <c r="W58" s="28" t="n"/>
      <c r="X58" s="8" t="n"/>
      <c r="Y58" s="8" t="n"/>
      <c r="Z58" s="8" t="n"/>
      <c r="AA58" s="121" t="n"/>
      <c r="AB58" s="121" t="n"/>
      <c r="AC58" s="8" t="n"/>
      <c r="AD58" s="8" t="n"/>
      <c r="AE58" s="8" t="n"/>
      <c r="AF58" s="8" t="n"/>
      <c r="AG58" s="8" t="n"/>
      <c r="AH58" s="121" t="n"/>
      <c r="AI58" s="121" t="n"/>
      <c r="AJ58" s="139" t="n"/>
      <c r="AK58" s="8" t="n"/>
      <c r="AL58" s="8" t="n"/>
      <c r="AM58" s="8" t="n"/>
      <c r="AN58" s="8" t="n"/>
      <c r="AO58" s="121" t="n"/>
      <c r="AP58" s="121" t="n"/>
      <c r="AQ58" s="8" t="n"/>
      <c r="AR58" s="8" t="n"/>
      <c r="AS58" s="8" t="n"/>
      <c r="AT58" s="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28">
        <f>COUNTIF(P59:AS59,"TP")</f>
        <v/>
      </c>
      <c r="P59" s="114" t="n"/>
      <c r="Q59" s="114" t="n"/>
      <c r="R59" s="114" t="n"/>
      <c r="S59" s="114" t="n"/>
      <c r="T59" s="121" t="n"/>
      <c r="U59" s="121" t="n"/>
      <c r="V59" s="28" t="n"/>
      <c r="W59" s="28" t="n"/>
      <c r="X59" s="8" t="n"/>
      <c r="Y59" s="8" t="n"/>
      <c r="Z59" s="8" t="n"/>
      <c r="AA59" s="121" t="n"/>
      <c r="AB59" s="121" t="n"/>
      <c r="AC59" s="8" t="n"/>
      <c r="AD59" s="8" t="n"/>
      <c r="AE59" s="8" t="n"/>
      <c r="AF59" s="8" t="n"/>
      <c r="AG59" s="8" t="n"/>
      <c r="AH59" s="121" t="n"/>
      <c r="AI59" s="121" t="n"/>
      <c r="AJ59" s="139" t="n"/>
      <c r="AK59" s="8" t="n"/>
      <c r="AL59" s="8" t="n"/>
      <c r="AM59" s="8" t="n"/>
      <c r="AN59" s="8" t="n"/>
      <c r="AO59" s="121" t="n"/>
      <c r="AP59" s="121" t="n"/>
      <c r="AQ59" s="8" t="n"/>
      <c r="AR59" s="8" t="n"/>
      <c r="AS59" s="8" t="n"/>
      <c r="AT59" s="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28">
        <f>COUNTIF(P60:AS60,"TP")</f>
        <v/>
      </c>
      <c r="P60" s="114" t="n"/>
      <c r="Q60" s="114" t="n"/>
      <c r="R60" s="114" t="n"/>
      <c r="S60" s="114" t="n"/>
      <c r="T60" s="121" t="n"/>
      <c r="U60" s="121" t="n"/>
      <c r="V60" s="28" t="n"/>
      <c r="W60" s="28" t="n"/>
      <c r="X60" s="8" t="n"/>
      <c r="Y60" s="8" t="n"/>
      <c r="Z60" s="8" t="n"/>
      <c r="AA60" s="121" t="n"/>
      <c r="AB60" s="121" t="n"/>
      <c r="AC60" s="8" t="n"/>
      <c r="AD60" s="8" t="n"/>
      <c r="AE60" s="8" t="n"/>
      <c r="AF60" s="8" t="n"/>
      <c r="AG60" s="8" t="n"/>
      <c r="AH60" s="121" t="n"/>
      <c r="AI60" s="121" t="n"/>
      <c r="AJ60" s="139" t="n"/>
      <c r="AK60" s="8" t="n"/>
      <c r="AL60" s="8" t="n"/>
      <c r="AM60" s="8" t="n"/>
      <c r="AN60" s="8" t="n"/>
      <c r="AO60" s="121" t="n"/>
      <c r="AP60" s="121" t="n"/>
      <c r="AQ60" s="8" t="n"/>
      <c r="AR60" s="8" t="n"/>
      <c r="AS60" s="8" t="n"/>
      <c r="AT60" s="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28">
        <f>COUNTIF(P61:AS61,"TP")</f>
        <v/>
      </c>
      <c r="P61" s="114" t="n"/>
      <c r="Q61" s="114" t="n"/>
      <c r="R61" s="8" t="n"/>
      <c r="S61" s="8" t="n"/>
      <c r="T61" s="121" t="n"/>
      <c r="U61" s="121" t="n"/>
      <c r="V61" s="28" t="n"/>
      <c r="W61" s="28" t="n"/>
      <c r="X61" s="8" t="n"/>
      <c r="Y61" s="8" t="n"/>
      <c r="Z61" s="8" t="n"/>
      <c r="AA61" s="121" t="n"/>
      <c r="AB61" s="121" t="n"/>
      <c r="AC61" s="8" t="n"/>
      <c r="AD61" s="8" t="n"/>
      <c r="AE61" s="8" t="n"/>
      <c r="AF61" s="8" t="n"/>
      <c r="AG61" s="8" t="n"/>
      <c r="AH61" s="121" t="n"/>
      <c r="AI61" s="121" t="n"/>
      <c r="AJ61" s="139" t="n"/>
      <c r="AK61" s="8" t="n"/>
      <c r="AL61" s="8" t="n"/>
      <c r="AM61" s="8" t="n"/>
      <c r="AN61" s="8" t="n"/>
      <c r="AO61" s="121" t="n"/>
      <c r="AP61" s="121" t="n"/>
      <c r="AQ61" s="8" t="n"/>
      <c r="AR61" s="8" t="n"/>
      <c r="AS61" s="8" t="n"/>
      <c r="AT61" s="1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28">
        <f>COUNTIF(P62:AS62,"TP")</f>
        <v/>
      </c>
      <c r="P62" s="114" t="n"/>
      <c r="Q62" s="114" t="n"/>
      <c r="R62" s="114" t="n"/>
      <c r="S62" s="114" t="n"/>
      <c r="T62" s="122" t="n"/>
      <c r="U62" s="122" t="n"/>
      <c r="V62" s="28" t="n"/>
      <c r="W62" s="28" t="n"/>
      <c r="X62" s="8" t="n"/>
      <c r="Y62" s="29" t="n"/>
      <c r="Z62" s="29" t="n"/>
      <c r="AA62" s="122" t="n"/>
      <c r="AB62" s="122" t="n"/>
      <c r="AC62" s="29" t="n"/>
      <c r="AD62" s="8" t="n"/>
      <c r="AE62" s="8" t="n"/>
      <c r="AF62" s="8" t="n"/>
      <c r="AG62" s="8" t="n"/>
      <c r="AH62" s="122" t="n"/>
      <c r="AI62" s="122" t="n"/>
      <c r="AJ62" s="140" t="n"/>
      <c r="AK62" s="29" t="n"/>
      <c r="AL62" s="29" t="n"/>
      <c r="AM62" s="29" t="n"/>
      <c r="AN62" s="29" t="n"/>
      <c r="AO62" s="122" t="n"/>
      <c r="AP62" s="122" t="n"/>
      <c r="AQ62" s="29" t="n"/>
      <c r="AR62" s="29" t="n"/>
      <c r="AS62" s="29" t="n"/>
      <c r="AT62" s="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T63" s="334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28">
        <f>COUNTIF(P64:AS64,"TP")</f>
        <v/>
      </c>
      <c r="P64" s="114" t="n"/>
      <c r="Q64" s="114" t="n"/>
      <c r="R64" s="114" t="n"/>
      <c r="S64" s="114" t="n"/>
      <c r="T64" s="121" t="n"/>
      <c r="U64" s="121" t="n"/>
      <c r="V64" s="114" t="n"/>
      <c r="W64" s="114" t="n"/>
      <c r="X64" s="114" t="n"/>
      <c r="Y64" s="114" t="n"/>
      <c r="Z64" s="114" t="n"/>
      <c r="AA64" s="121" t="n"/>
      <c r="AB64" s="121" t="n"/>
      <c r="AC64" s="114" t="n"/>
      <c r="AD64" s="114" t="n"/>
      <c r="AE64" s="114" t="n"/>
      <c r="AF64" s="114" t="n"/>
      <c r="AG64" s="114" t="n"/>
      <c r="AH64" s="121" t="n"/>
      <c r="AI64" s="121" t="n"/>
      <c r="AJ64" s="114" t="n"/>
      <c r="AK64" s="114" t="n"/>
      <c r="AL64" s="114" t="n"/>
      <c r="AM64" s="114" t="n"/>
      <c r="AN64" s="114" t="n"/>
      <c r="AO64" s="113" t="n"/>
      <c r="AP64" s="113" t="n"/>
      <c r="AQ64" s="28" t="n"/>
      <c r="AR64" s="28" t="n"/>
      <c r="AS64" s="28" t="n"/>
      <c r="AT64" s="1" t="n"/>
      <c r="AV64" s="15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28">
        <f>COUNTIF(P65:AS65,"TP")</f>
        <v/>
      </c>
      <c r="P65" s="117" t="n"/>
      <c r="Q65" s="117" t="n"/>
      <c r="R65" s="117" t="n"/>
      <c r="S65" s="117" t="n"/>
      <c r="T65" s="121" t="n"/>
      <c r="U65" s="121" t="n"/>
      <c r="V65" s="8" t="n"/>
      <c r="W65" s="8" t="n"/>
      <c r="X65" s="8" t="n"/>
      <c r="Y65" s="8" t="n"/>
      <c r="Z65" s="8" t="n"/>
      <c r="AA65" s="121" t="n"/>
      <c r="AB65" s="121" t="n"/>
      <c r="AC65" s="8" t="n"/>
      <c r="AD65" s="8" t="n"/>
      <c r="AE65" s="8" t="n"/>
      <c r="AF65" s="8" t="n"/>
      <c r="AG65" s="8" t="n"/>
      <c r="AH65" s="121" t="n"/>
      <c r="AI65" s="121" t="n"/>
      <c r="AJ65" s="139" t="n"/>
      <c r="AK65" s="8" t="n"/>
      <c r="AL65" s="8" t="n"/>
      <c r="AM65" s="8" t="n"/>
      <c r="AN65" s="8" t="n"/>
      <c r="AO65" s="121" t="n"/>
      <c r="AP65" s="121" t="n"/>
      <c r="AQ65" s="8" t="n"/>
      <c r="AR65" s="8" t="n"/>
      <c r="AS65" s="8" t="n"/>
      <c r="AT65" s="1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28">
        <f>COUNTIF(P66:AS66,"TP")</f>
        <v/>
      </c>
      <c r="P66" s="117" t="n"/>
      <c r="Q66" s="117" t="n"/>
      <c r="R66" s="117" t="n"/>
      <c r="S66" s="8" t="n"/>
      <c r="T66" s="121" t="n"/>
      <c r="U66" s="121" t="n"/>
      <c r="V66" s="8" t="n"/>
      <c r="W66" s="8" t="n"/>
      <c r="X66" s="8" t="n"/>
      <c r="Y66" s="8" t="n"/>
      <c r="Z66" s="8" t="n"/>
      <c r="AA66" s="121" t="n"/>
      <c r="AB66" s="121" t="n"/>
      <c r="AC66" s="8" t="n"/>
      <c r="AD66" s="8" t="n"/>
      <c r="AE66" s="8" t="n"/>
      <c r="AF66" s="8" t="n"/>
      <c r="AG66" s="8" t="n"/>
      <c r="AH66" s="121" t="n"/>
      <c r="AI66" s="121" t="n"/>
      <c r="AJ66" s="139" t="n"/>
      <c r="AK66" s="8" t="n"/>
      <c r="AL66" s="8" t="n"/>
      <c r="AM66" s="8" t="n"/>
      <c r="AN66" s="8" t="n"/>
      <c r="AO66" s="121" t="n"/>
      <c r="AP66" s="121" t="n"/>
      <c r="AQ66" s="117" t="n"/>
      <c r="AR66" s="117" t="n"/>
      <c r="AS66" s="8" t="n"/>
      <c r="AT66" s="1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28">
        <f>COUNTIF(P67:AS67,"TP")</f>
        <v/>
      </c>
      <c r="P67" s="117" t="n"/>
      <c r="Q67" s="117" t="n"/>
      <c r="R67" s="117" t="n"/>
      <c r="S67" s="117" t="n"/>
      <c r="T67" s="121" t="n"/>
      <c r="U67" s="121" t="n"/>
      <c r="V67" s="8" t="n"/>
      <c r="W67" s="8" t="n"/>
      <c r="X67" s="8" t="n"/>
      <c r="Y67" s="8" t="n"/>
      <c r="Z67" s="8" t="n"/>
      <c r="AA67" s="121" t="n"/>
      <c r="AB67" s="121" t="n"/>
      <c r="AC67" s="8" t="n"/>
      <c r="AD67" s="8" t="n"/>
      <c r="AE67" s="8" t="n"/>
      <c r="AF67" s="8" t="n"/>
      <c r="AG67" s="8" t="n"/>
      <c r="AH67" s="121" t="n"/>
      <c r="AI67" s="121" t="n"/>
      <c r="AJ67" s="139" t="n"/>
      <c r="AK67" s="8" t="n"/>
      <c r="AL67" s="8" t="n"/>
      <c r="AM67" s="8" t="n"/>
      <c r="AN67" s="8" t="n"/>
      <c r="AO67" s="121" t="n"/>
      <c r="AP67" s="121" t="n"/>
      <c r="AQ67" s="8" t="n"/>
      <c r="AR67" s="8" t="n"/>
      <c r="AS67" s="8" t="n"/>
      <c r="AT67" s="1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28">
        <f>COUNTIF(P68:AS68,"TP")</f>
        <v/>
      </c>
      <c r="P68" s="117" t="n"/>
      <c r="Q68" s="8" t="n"/>
      <c r="R68" s="8" t="n"/>
      <c r="S68" s="8" t="n"/>
      <c r="T68" s="121" t="n"/>
      <c r="U68" s="121" t="n"/>
      <c r="V68" s="8" t="n"/>
      <c r="W68" s="8" t="n"/>
      <c r="X68" s="8" t="n"/>
      <c r="Y68" s="8" t="n"/>
      <c r="Z68" s="8" t="n"/>
      <c r="AA68" s="121" t="n"/>
      <c r="AB68" s="121" t="n"/>
      <c r="AC68" s="8" t="n"/>
      <c r="AD68" s="8" t="n"/>
      <c r="AE68" s="8" t="n"/>
      <c r="AF68" s="8" t="n"/>
      <c r="AG68" s="8" t="n"/>
      <c r="AH68" s="121" t="n"/>
      <c r="AI68" s="121" t="n"/>
      <c r="AJ68" s="139" t="n"/>
      <c r="AK68" s="8" t="n"/>
      <c r="AL68" s="8" t="n"/>
      <c r="AM68" s="8" t="n"/>
      <c r="AN68" s="8" t="n"/>
      <c r="AO68" s="121" t="n"/>
      <c r="AP68" s="121" t="n"/>
      <c r="AQ68" s="8" t="n"/>
      <c r="AR68" s="8" t="n"/>
      <c r="AS68" s="43" t="n"/>
      <c r="AT68" s="1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28">
        <f>COUNTIF(P69:AS69,"TP")</f>
        <v/>
      </c>
      <c r="P69" s="118" t="n"/>
      <c r="Q69" s="29" t="n"/>
      <c r="R69" s="29" t="n"/>
      <c r="S69" s="29" t="n"/>
      <c r="T69" s="122" t="n"/>
      <c r="U69" s="122" t="n"/>
      <c r="V69" s="29" t="n"/>
      <c r="W69" s="29" t="n"/>
      <c r="X69" s="29" t="n"/>
      <c r="Y69" s="29" t="n"/>
      <c r="Z69" s="29" t="n"/>
      <c r="AA69" s="122" t="n"/>
      <c r="AB69" s="122" t="n"/>
      <c r="AC69" s="29" t="n"/>
      <c r="AD69" s="29" t="n"/>
      <c r="AE69" s="29" t="n"/>
      <c r="AF69" s="29" t="n"/>
      <c r="AG69" s="29" t="n"/>
      <c r="AH69" s="122" t="n"/>
      <c r="AI69" s="122" t="n"/>
      <c r="AJ69" s="140" t="n"/>
      <c r="AK69" s="29" t="n"/>
      <c r="AL69" s="29" t="n"/>
      <c r="AM69" s="29" t="n"/>
      <c r="AN69" s="29" t="n"/>
      <c r="AO69" s="122" t="n"/>
      <c r="AP69" s="122" t="n"/>
      <c r="AQ69" s="29" t="n"/>
      <c r="AR69" s="29" t="n"/>
      <c r="AS69" s="44" t="n"/>
      <c r="AT69" s="1" t="n"/>
    </row>
    <row r="78">
      <c r="T78" s="27" t="inlineStr">
        <is>
          <t>P</t>
        </is>
      </c>
    </row>
  </sheetData>
  <mergeCells count="8">
    <mergeCell ref="A63:AS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267" operator="equal" dxfId="55">
      <formula>"repos"</formula>
    </cfRule>
    <cfRule type="cellIs" priority="268" operator="equal" dxfId="53">
      <formula>"permanence"</formula>
    </cfRule>
    <cfRule type="cellIs" priority="269" operator="equal" dxfId="53">
      <formula>"dimanche"</formula>
    </cfRule>
    <cfRule type="cellIs" priority="270" operator="equal" dxfId="52">
      <formula>"formation"</formula>
    </cfRule>
    <cfRule type="cellIs" priority="271" operator="equal" dxfId="6">
      <formula>"conges exc"</formula>
    </cfRule>
    <cfRule type="cellIs" priority="272" operator="equal" dxfId="4">
      <formula>"conges"</formula>
    </cfRule>
    <cfRule type="cellIs" priority="273" operator="equal" dxfId="5">
      <formula>"asa"</formula>
    </cfRule>
    <cfRule type="cellIs" priority="274" operator="equal" dxfId="8">
      <formula>"maladie / at"</formula>
    </cfRule>
    <cfRule type="cellIs" priority="275" operator="equal" dxfId="0">
      <formula>"presence"</formula>
    </cfRule>
  </conditionalFormatting>
  <conditionalFormatting sqref="D11:O20 D23:O24 D26:O29 D31:O36 D39:O49 D51:O62 D64:O69">
    <cfRule type="cellIs" priority="276" operator="equal" dxfId="46">
      <formula>0</formula>
    </cfRule>
  </conditionalFormatting>
  <conditionalFormatting sqref="P23 P24:U24 R23 T23:U23 AA23:AB24 AH23:AT24">
    <cfRule type="containsText" priority="251" operator="containsText" dxfId="3" text="AST">
      <formula>NOT(ISERROR(SEARCH("AST",P23)))</formula>
    </cfRule>
    <cfRule type="containsText" priority="252" operator="containsText" dxfId="2" text="F">
      <formula>NOT(ISERROR(SEARCH("F",P23)))</formula>
    </cfRule>
    <cfRule type="containsText" priority="253" operator="containsText" dxfId="1" text="MI">
      <formula>NOT(ISERROR(SEARCH("MI",P23)))</formula>
    </cfRule>
    <cfRule type="containsText" priority="254" operator="containsText" dxfId="0" text="P">
      <formula>NOT(ISERROR(SEARCH("P",P23)))</formula>
    </cfRule>
    <cfRule type="containsText" priority="250" operator="containsText" dxfId="4" text="C">
      <formula>NOT(ISERROR(SEARCH("C",P23)))</formula>
    </cfRule>
  </conditionalFormatting>
  <conditionalFormatting sqref="P23:S24 T24:AB24 AH23:AT24">
    <cfRule type="containsText" priority="218" operator="containsText" dxfId="9" text="AT">
      <formula>NOT(ISERROR(SEARCH("AT",P23)))</formula>
    </cfRule>
    <cfRule type="containsText" priority="219" operator="containsText" dxfId="8" text="MA">
      <formula>NOT(ISERROR(SEARCH("MA",P23)))</formula>
    </cfRule>
    <cfRule type="containsText" priority="220" operator="containsText" dxfId="7" text="RES">
      <formula>NOT(ISERROR(SEARCH("RES",P23)))</formula>
    </cfRule>
    <cfRule type="containsText" priority="221" operator="containsText" dxfId="6" text="CEX">
      <formula>NOT(ISERROR(SEARCH("CEX",P23)))</formula>
    </cfRule>
    <cfRule type="containsText" priority="222" operator="containsText" dxfId="5" text="RTT">
      <formula>NOT(ISERROR(SEARCH("RTT",P23)))</formula>
    </cfRule>
  </conditionalFormatting>
  <conditionalFormatting sqref="P26:S28 P29:AT29 P31:AT36 P51:S62 AQ51:AT62">
    <cfRule type="beginsWith" priority="166" operator="beginsWith" dxfId="4" text="CA">
      <formula>LEFT(P26,LEN("CA"))="CA"</formula>
    </cfRule>
    <cfRule type="containsText" priority="167" operator="containsText" dxfId="3" text="AST">
      <formula>NOT(ISERROR(SEARCH("AST",P26)))</formula>
    </cfRule>
    <cfRule type="containsText" priority="168" operator="containsText" dxfId="2" text="F">
      <formula>NOT(ISERROR(SEARCH("F",P26)))</formula>
    </cfRule>
    <cfRule type="containsText" priority="169" operator="containsText" dxfId="1" text="PC">
      <formula>NOT(ISERROR(SEARCH("PC",P26)))</formula>
    </cfRule>
    <cfRule type="containsText" priority="170" operator="containsText" dxfId="0" text="P">
      <formula>NOT(ISERROR(SEARCH("P",P26)))</formula>
    </cfRule>
  </conditionalFormatting>
  <conditionalFormatting sqref="P39:S45 P46:AT46 P47:S49">
    <cfRule type="beginsWith" priority="154" operator="beginsWith" dxfId="4" text="CA">
      <formula>LEFT(P39,LEN("CA"))="CA"</formula>
    </cfRule>
    <cfRule type="containsText" priority="155" operator="containsText" dxfId="3" text="AST">
      <formula>NOT(ISERROR(SEARCH("AST",P39)))</formula>
    </cfRule>
    <cfRule type="containsText" priority="156" operator="containsText" dxfId="2" text="F">
      <formula>NOT(ISERROR(SEARCH("F",P39)))</formula>
    </cfRule>
    <cfRule type="containsText" priority="157" operator="containsText" dxfId="1" text="PC">
      <formula>NOT(ISERROR(SEARCH("PC",P39)))</formula>
    </cfRule>
    <cfRule type="containsText" priority="158" operator="containsText" dxfId="0" text="P">
      <formula>NOT(ISERROR(SEARCH("P",P39)))</formula>
    </cfRule>
  </conditionalFormatting>
  <conditionalFormatting sqref="P65:U69 V66:AT69">
    <cfRule type="containsText" priority="101" operator="containsText" text="TAD">
      <formula>NOT(ISERROR(SEARCH("TAD",P65)))</formula>
    </cfRule>
  </conditionalFormatting>
  <conditionalFormatting sqref="P64:Z64 AA64:AT69">
    <cfRule type="containsText" priority="100" operator="containsText" dxfId="10" text="TP">
      <formula>NOT(ISERROR(SEARCH("TP",P64)))</formula>
    </cfRule>
    <cfRule type="containsText" priority="102" operator="containsText" dxfId="9" text="AT">
      <formula>NOT(ISERROR(SEARCH("AT",P64)))</formula>
    </cfRule>
    <cfRule type="containsText" priority="103" operator="containsText" dxfId="8" text="MA">
      <formula>NOT(ISERROR(SEARCH("MA",P64)))</formula>
    </cfRule>
    <cfRule type="containsText" priority="104" operator="containsText" dxfId="7" text="RES">
      <formula>NOT(ISERROR(SEARCH("RES",P64)))</formula>
    </cfRule>
    <cfRule type="containsText" priority="105" operator="containsText" dxfId="6" text="CEX">
      <formula>NOT(ISERROR(SEARCH("CEX",P64)))</formula>
    </cfRule>
    <cfRule type="containsText" priority="106" operator="containsText" dxfId="5" text="RTT">
      <formula>NOT(ISERROR(SEARCH("RTT",P64)))</formula>
    </cfRule>
  </conditionalFormatting>
  <conditionalFormatting sqref="P64:Z64 P65:S69 AJ64:AN64">
    <cfRule type="beginsWith" priority="107" operator="beginsWith" dxfId="4" text="CA">
      <formula>LEFT(P64,LEN("CA"))="CA"</formula>
    </cfRule>
    <cfRule type="containsText" priority="108" operator="containsText" dxfId="3" text="AST">
      <formula>NOT(ISERROR(SEARCH("AST",P64)))</formula>
    </cfRule>
    <cfRule type="containsText" priority="109" operator="containsText" dxfId="2" text="F">
      <formula>NOT(ISERROR(SEARCH("F",P64)))</formula>
    </cfRule>
    <cfRule type="containsText" priority="110" operator="containsText" dxfId="1" text="PC">
      <formula>NOT(ISERROR(SEARCH("PC",P64)))</formula>
    </cfRule>
    <cfRule type="containsText" priority="111" operator="containsText" dxfId="0" text="P">
      <formula>NOT(ISERROR(SEARCH("P",P64)))</formula>
    </cfRule>
  </conditionalFormatting>
  <conditionalFormatting sqref="P23:AB24 P51:AT62 AH23:AT24">
    <cfRule type="containsText" priority="206" operator="containsText" dxfId="10" text="TP">
      <formula>NOT(ISERROR(SEARCH("TP",P23)))</formula>
    </cfRule>
  </conditionalFormatting>
  <conditionalFormatting sqref="P64:AN64 V65:AN65 Z66">
    <cfRule type="containsText" priority="58" operator="containsText" text="TAD">
      <formula>NOT(ISERROR(SEARCH("TAD",P64)))</formula>
    </cfRule>
  </conditionalFormatting>
  <conditionalFormatting sqref="P9:AT9">
    <cfRule type="expression" priority="278" dxfId="44">
      <formula>OR(P$9=1, P$9=7)</formula>
    </cfRule>
  </conditionalFormatting>
  <conditionalFormatting sqref="P9:AT10">
    <cfRule type="expression" priority="277" dxfId="44">
      <formula>OR(P$9=1,P$9=7)</formula>
    </cfRule>
  </conditionalFormatting>
  <conditionalFormatting sqref="P11:AT20">
    <cfRule type="containsText" priority="255" operator="containsText" dxfId="10" text="TP">
      <formula>NOT(ISERROR(SEARCH("TP",P11)))</formula>
    </cfRule>
    <cfRule type="containsText" priority="256" operator="containsText" text="TAD">
      <formula>NOT(ISERROR(SEARCH("TAD",P11)))</formula>
    </cfRule>
    <cfRule type="containsText" priority="257" operator="containsText" dxfId="9" text="AT">
      <formula>NOT(ISERROR(SEARCH("AT",P11)))</formula>
    </cfRule>
    <cfRule type="containsText" priority="258" operator="containsText" dxfId="8" text="MA">
      <formula>NOT(ISERROR(SEARCH("MA",P11)))</formula>
    </cfRule>
    <cfRule type="containsText" priority="259" operator="containsText" dxfId="7" text="RES">
      <formula>NOT(ISERROR(SEARCH("RES",P11)))</formula>
    </cfRule>
    <cfRule type="containsText" priority="260" operator="containsText" dxfId="6" text="CEX">
      <formula>NOT(ISERROR(SEARCH("CEX",P11)))</formula>
    </cfRule>
    <cfRule type="containsText" priority="261" operator="containsText" dxfId="5" text="RTT">
      <formula>NOT(ISERROR(SEARCH("RTT",P11)))</formula>
    </cfRule>
    <cfRule type="beginsWith" priority="262" operator="beginsWith" dxfId="4" text="CA">
      <formula>LEFT(P11,LEN("CA"))="CA"</formula>
    </cfRule>
    <cfRule type="containsText" priority="263" operator="containsText" dxfId="3" text="AST">
      <formula>NOT(ISERROR(SEARCH("AST",P11)))</formula>
    </cfRule>
    <cfRule type="containsText" priority="264" operator="containsText" dxfId="2" text="F">
      <formula>NOT(ISERROR(SEARCH("F",P11)))</formula>
    </cfRule>
    <cfRule type="containsText" priority="265" operator="containsText" dxfId="1" text="PC">
      <formula>NOT(ISERROR(SEARCH("PC",P11)))</formula>
    </cfRule>
    <cfRule type="containsText" priority="266" operator="containsText" dxfId="0" text="P">
      <formula>NOT(ISERROR(SEARCH("P",P11)))</formula>
    </cfRule>
  </conditionalFormatting>
  <conditionalFormatting sqref="P23:AT24">
    <cfRule type="containsText" priority="36" operator="containsText" text="TAD">
      <formula>NOT(ISERROR(SEARCH("TAD",P23)))</formula>
    </cfRule>
  </conditionalFormatting>
  <conditionalFormatting sqref="P26:AT29 P31:AT36 P51:AT62">
    <cfRule type="containsText" priority="160" operator="containsText" text="TAD">
      <formula>NOT(ISERROR(SEARCH("TAD",P26)))</formula>
    </cfRule>
    <cfRule type="containsText" priority="161" operator="containsText" dxfId="9" text="AT">
      <formula>NOT(ISERROR(SEARCH("AT",P26)))</formula>
    </cfRule>
    <cfRule type="containsText" priority="162" operator="containsText" dxfId="8" text="MA">
      <formula>NOT(ISERROR(SEARCH("MA",P26)))</formula>
    </cfRule>
    <cfRule type="containsText" priority="163" operator="containsText" dxfId="7" text="RES">
      <formula>NOT(ISERROR(SEARCH("RES",P26)))</formula>
    </cfRule>
    <cfRule type="containsText" priority="164" operator="containsText" dxfId="6" text="CEX">
      <formula>NOT(ISERROR(SEARCH("CEX",P26)))</formula>
    </cfRule>
    <cfRule type="containsText" priority="165" operator="containsText" dxfId="5" text="RTT">
      <formula>NOT(ISERROR(SEARCH("RTT",P26)))</formula>
    </cfRule>
  </conditionalFormatting>
  <conditionalFormatting sqref="P26:AT29 P31:AT36">
    <cfRule type="containsText" priority="159" operator="containsText" dxfId="10" text="TP">
      <formula>NOT(ISERROR(SEARCH("TP",P26)))</formula>
    </cfRule>
  </conditionalFormatting>
  <conditionalFormatting sqref="P39:AT49">
    <cfRule type="containsText" priority="127" operator="containsText" dxfId="10" text="TP">
      <formula>NOT(ISERROR(SEARCH("TP",P39)))</formula>
    </cfRule>
    <cfRule type="containsText" priority="128" operator="containsText" text="TAD">
      <formula>NOT(ISERROR(SEARCH("TAD",P39)))</formula>
    </cfRule>
    <cfRule type="containsText" priority="129" operator="containsText" dxfId="9" text="AT">
      <formula>NOT(ISERROR(SEARCH("AT",P39)))</formula>
    </cfRule>
    <cfRule type="containsText" priority="130" operator="containsText" dxfId="8" text="MA">
      <formula>NOT(ISERROR(SEARCH("MA",P39)))</formula>
    </cfRule>
    <cfRule type="containsText" priority="131" operator="containsText" dxfId="7" text="RES">
      <formula>NOT(ISERROR(SEARCH("RES",P39)))</formula>
    </cfRule>
    <cfRule type="containsText" priority="132" operator="containsText" dxfId="6" text="CEX">
      <formula>NOT(ISERROR(SEARCH("CEX",P39)))</formula>
    </cfRule>
    <cfRule type="containsText" priority="133" operator="containsText" dxfId="5" text="RTT">
      <formula>NOT(ISERROR(SEARCH("RTT",P39)))</formula>
    </cfRule>
  </conditionalFormatting>
  <conditionalFormatting sqref="Q23:S24">
    <cfRule type="containsText" priority="217" operator="containsText" dxfId="10" text="TP">
      <formula>NOT(ISERROR(SEARCH("TP",Q23)))</formula>
    </cfRule>
    <cfRule type="beginsWith" priority="223" operator="beginsWith" dxfId="4" text="CA">
      <formula>LEFT(Q23,LEN("CA"))="CA"</formula>
    </cfRule>
    <cfRule type="containsText" priority="224" operator="containsText" dxfId="3" text="AST">
      <formula>NOT(ISERROR(SEARCH("AST",Q23)))</formula>
    </cfRule>
    <cfRule type="containsText" priority="225" operator="containsText" dxfId="2" text="F">
      <formula>NOT(ISERROR(SEARCH("F",Q23)))</formula>
    </cfRule>
    <cfRule type="containsText" priority="226" operator="containsText" dxfId="1" text="PC">
      <formula>NOT(ISERROR(SEARCH("PC",Q23)))</formula>
    </cfRule>
    <cfRule type="containsText" priority="227" operator="containsText" dxfId="0" text="P">
      <formula>NOT(ISERROR(SEARCH("P",Q23)))</formula>
    </cfRule>
  </conditionalFormatting>
  <conditionalFormatting sqref="S23">
    <cfRule type="beginsWith" priority="212" operator="beginsWith" dxfId="4" text="CA">
      <formula>LEFT(S23,LEN("CA"))="CA"</formula>
    </cfRule>
    <cfRule type="containsText" priority="213" operator="containsText" dxfId="3" text="AST">
      <formula>NOT(ISERROR(SEARCH("AST",S23)))</formula>
    </cfRule>
    <cfRule type="containsText" priority="214" operator="containsText" dxfId="2" text="F">
      <formula>NOT(ISERROR(SEARCH("F",S23)))</formula>
    </cfRule>
    <cfRule type="containsText" priority="215" operator="containsText" dxfId="1" text="PC">
      <formula>NOT(ISERROR(SEARCH("PC",S23)))</formula>
    </cfRule>
    <cfRule type="containsText" priority="216" operator="containsText" dxfId="0" text="P">
      <formula>NOT(ISERROR(SEARCH("P",S23)))</formula>
    </cfRule>
  </conditionalFormatting>
  <conditionalFormatting sqref="S23:AB23 W24:Z24">
    <cfRule type="containsText" priority="207" operator="containsText" dxfId="9" text="AT">
      <formula>NOT(ISERROR(SEARCH("AT",S23)))</formula>
    </cfRule>
    <cfRule type="containsText" priority="208" operator="containsText" dxfId="8" text="MA">
      <formula>NOT(ISERROR(SEARCH("MA",S23)))</formula>
    </cfRule>
    <cfRule type="containsText" priority="209" operator="containsText" dxfId="7" text="RES">
      <formula>NOT(ISERROR(SEARCH("RES",S23)))</formula>
    </cfRule>
    <cfRule type="containsText" priority="210" operator="containsText" dxfId="6" text="CEX">
      <formula>NOT(ISERROR(SEARCH("CEX",S23)))</formula>
    </cfRule>
    <cfRule type="containsText" priority="211" operator="containsText" dxfId="5" text="RTT">
      <formula>NOT(ISERROR(SEARCH("RTT",S23)))</formula>
    </cfRule>
  </conditionalFormatting>
  <conditionalFormatting sqref="T26:U29 T31:U36 AA26:AB29 AA31:AB36 AH26:AJ28 AO26:AP29 AO31:AP36">
    <cfRule type="containsText" priority="245" operator="containsText" dxfId="4" text="C">
      <formula>NOT(ISERROR(SEARCH("C",T26)))</formula>
    </cfRule>
    <cfRule type="containsText" priority="246" operator="containsText" dxfId="3" text="AST">
      <formula>NOT(ISERROR(SEARCH("AST",T26)))</formula>
    </cfRule>
    <cfRule type="containsText" priority="247" operator="containsText" dxfId="2" text="F">
      <formula>NOT(ISERROR(SEARCH("F",T26)))</formula>
    </cfRule>
    <cfRule type="containsText" priority="248" operator="containsText" dxfId="1" text="MI">
      <formula>NOT(ISERROR(SEARCH("MI",T26)))</formula>
    </cfRule>
    <cfRule type="containsText" priority="249" operator="containsText" dxfId="0" text="P">
      <formula>NOT(ISERROR(SEARCH("P",T26)))</formula>
    </cfRule>
  </conditionalFormatting>
  <conditionalFormatting sqref="T39:U49 AA39:AB49 AH39:AJ49 AO39:AP49">
    <cfRule type="containsText" priority="240" operator="containsText" dxfId="4" text="C">
      <formula>NOT(ISERROR(SEARCH("C",T39)))</formula>
    </cfRule>
    <cfRule type="containsText" priority="241" operator="containsText" dxfId="3" text="AST">
      <formula>NOT(ISERROR(SEARCH("AST",T39)))</formula>
    </cfRule>
    <cfRule type="containsText" priority="242" operator="containsText" dxfId="2" text="F">
      <formula>NOT(ISERROR(SEARCH("F",T39)))</formula>
    </cfRule>
    <cfRule type="containsText" priority="243" operator="containsText" dxfId="1" text="PC">
      <formula>NOT(ISERROR(SEARCH("PC",T39)))</formula>
    </cfRule>
    <cfRule type="containsText" priority="244" operator="containsText" dxfId="0" text="P">
      <formula>NOT(ISERROR(SEARCH("P",T39)))</formula>
    </cfRule>
  </conditionalFormatting>
  <conditionalFormatting sqref="T51:U62 AA51:AB62 AH51:AJ62 AO51:AP62">
    <cfRule type="containsText" priority="235" operator="containsText" dxfId="4" text="C">
      <formula>NOT(ISERROR(SEARCH("C",T51)))</formula>
    </cfRule>
    <cfRule type="containsText" priority="236" operator="containsText" dxfId="3" text="AST">
      <formula>NOT(ISERROR(SEARCH("AST",T51)))</formula>
    </cfRule>
    <cfRule type="containsText" priority="237" operator="containsText" dxfId="2" text="F">
      <formula>NOT(ISERROR(SEARCH("F",T51)))</formula>
    </cfRule>
    <cfRule type="containsText" priority="238" operator="containsText" dxfId="1" text="MI">
      <formula>NOT(ISERROR(SEARCH("MI",T51)))</formula>
    </cfRule>
    <cfRule type="containsText" priority="239" operator="containsText" dxfId="0" text="P">
      <formula>NOT(ISERROR(SEARCH("P",T51)))</formula>
    </cfRule>
  </conditionalFormatting>
  <conditionalFormatting sqref="P65:Z69 T64:U64">
    <cfRule type="containsText" priority="69" operator="containsText" dxfId="10" text="TP">
      <formula>NOT(ISERROR(SEARCH("TP",P64)))</formula>
    </cfRule>
    <cfRule type="containsText" priority="70" operator="containsText" dxfId="9" text="AT">
      <formula>NOT(ISERROR(SEARCH("AT",P64)))</formula>
    </cfRule>
    <cfRule type="containsText" priority="71" operator="containsText" dxfId="8" text="MA">
      <formula>NOT(ISERROR(SEARCH("MA",P64)))</formula>
    </cfRule>
    <cfRule type="containsText" priority="72" operator="containsText" dxfId="7" text="RES">
      <formula>NOT(ISERROR(SEARCH("RES",P64)))</formula>
    </cfRule>
    <cfRule type="containsText" priority="73" operator="containsText" dxfId="6" text="CEX">
      <formula>NOT(ISERROR(SEARCH("CEX",P64)))</formula>
    </cfRule>
    <cfRule type="containsText" priority="74" operator="containsText" dxfId="5" text="RTT">
      <formula>NOT(ISERROR(SEARCH("RTT",P64)))</formula>
    </cfRule>
  </conditionalFormatting>
  <conditionalFormatting sqref="T64:U69 W66 Y66 AA64:AB65 AA66:AC67 AA68:AB69 AD67 AE66:AE67 AF67:AT67 AG66:AN66 AH64:AI64 AH65:AJ65 AH68:AJ69 AO64:AP66 AO68:AP69 AQ66:AT66">
    <cfRule type="containsText" priority="230" operator="containsText" dxfId="4" text="C">
      <formula>NOT(ISERROR(SEARCH("C",T64)))</formula>
    </cfRule>
    <cfRule type="containsText" priority="231" operator="containsText" dxfId="3" text="AST">
      <formula>NOT(ISERROR(SEARCH("AST",T64)))</formula>
    </cfRule>
    <cfRule type="containsText" priority="232" operator="containsText" dxfId="2" text="F">
      <formula>NOT(ISERROR(SEARCH("F",T64)))</formula>
    </cfRule>
    <cfRule type="containsText" priority="233" operator="containsText" dxfId="1" text="MI">
      <formula>NOT(ISERROR(SEARCH("MI",T64)))</formula>
    </cfRule>
    <cfRule type="containsText" priority="234" operator="containsText" dxfId="0" text="P">
      <formula>NOT(ISERROR(SEARCH("P",T64)))</formula>
    </cfRule>
  </conditionalFormatting>
  <conditionalFormatting sqref="V66">
    <cfRule type="beginsWith" priority="95" operator="beginsWith" dxfId="4" text="CA">
      <formula>LEFT(V66,LEN("CA"))="CA"</formula>
    </cfRule>
    <cfRule type="containsText" priority="96" operator="containsText" dxfId="3" text="AST">
      <formula>NOT(ISERROR(SEARCH("AST",V66)))</formula>
    </cfRule>
    <cfRule type="containsText" priority="97" operator="containsText" dxfId="2" text="F">
      <formula>NOT(ISERROR(SEARCH("F",V66)))</formula>
    </cfRule>
    <cfRule type="containsText" priority="98" operator="containsText" dxfId="1" text="PC">
      <formula>NOT(ISERROR(SEARCH("PC",V66)))</formula>
    </cfRule>
    <cfRule type="containsText" priority="99" operator="containsText" dxfId="0" text="P">
      <formula>NOT(ISERROR(SEARCH("P",V66)))</formula>
    </cfRule>
  </conditionalFormatting>
  <conditionalFormatting sqref="V23:Z24">
    <cfRule type="beginsWith" priority="201" operator="beginsWith" dxfId="4" text="CA">
      <formula>LEFT(V23,LEN("CA"))="CA"</formula>
    </cfRule>
    <cfRule type="containsText" priority="202" operator="containsText" dxfId="3" text="AST">
      <formula>NOT(ISERROR(SEARCH("AST",V23)))</formula>
    </cfRule>
    <cfRule type="containsText" priority="203" operator="containsText" dxfId="2" text="F">
      <formula>NOT(ISERROR(SEARCH("F",V23)))</formula>
    </cfRule>
    <cfRule type="containsText" priority="204" operator="containsText" dxfId="1" text="PC">
      <formula>NOT(ISERROR(SEARCH("PC",V23)))</formula>
    </cfRule>
    <cfRule type="containsText" priority="205" operator="containsText" dxfId="0" text="P">
      <formula>NOT(ISERROR(SEARCH("P",V23)))</formula>
    </cfRule>
  </conditionalFormatting>
  <conditionalFormatting sqref="V26:Z28">
    <cfRule type="beginsWith" priority="186" operator="beginsWith" dxfId="4" text="CA">
      <formula>LEFT(V26,LEN("CA"))="CA"</formula>
    </cfRule>
    <cfRule type="containsText" priority="187" operator="containsText" dxfId="3" text="AST">
      <formula>NOT(ISERROR(SEARCH("AST",V26)))</formula>
    </cfRule>
    <cfRule type="containsText" priority="188" operator="containsText" dxfId="2" text="F">
      <formula>NOT(ISERROR(SEARCH("F",V26)))</formula>
    </cfRule>
    <cfRule type="containsText" priority="189" operator="containsText" dxfId="1" text="PC">
      <formula>NOT(ISERROR(SEARCH("PC",V26)))</formula>
    </cfRule>
    <cfRule type="containsText" priority="190" operator="containsText" dxfId="0" text="P">
      <formula>NOT(ISERROR(SEARCH("P",V26)))</formula>
    </cfRule>
  </conditionalFormatting>
  <conditionalFormatting sqref="V51:Z62">
    <cfRule type="beginsWith" priority="122" operator="beginsWith" dxfId="4" text="CA">
      <formula>LEFT(V51,LEN("CA"))="CA"</formula>
    </cfRule>
    <cfRule type="containsText" priority="123" operator="containsText" dxfId="3" text="AST">
      <formula>NOT(ISERROR(SEARCH("AST",V51)))</formula>
    </cfRule>
    <cfRule type="containsText" priority="124" operator="containsText" dxfId="2" text="F">
      <formula>NOT(ISERROR(SEARCH("F",V51)))</formula>
    </cfRule>
    <cfRule type="containsText" priority="125" operator="containsText" dxfId="1" text="PC">
      <formula>NOT(ISERROR(SEARCH("PC",V51)))</formula>
    </cfRule>
    <cfRule type="containsText" priority="126" operator="containsText" dxfId="0" text="P">
      <formula>NOT(ISERROR(SEARCH("P",V51)))</formula>
    </cfRule>
  </conditionalFormatting>
  <conditionalFormatting sqref="V65:Z65 Z66">
    <cfRule type="beginsWith" priority="80" operator="beginsWith" dxfId="4" text="CA">
      <formula>LEFT(V65,LEN("CA"))="CA"</formula>
    </cfRule>
    <cfRule type="containsText" priority="81" operator="containsText" dxfId="3" text="AST">
      <formula>NOT(ISERROR(SEARCH("AST",V65)))</formula>
    </cfRule>
    <cfRule type="containsText" priority="82" operator="containsText" dxfId="2" text="F">
      <formula>NOT(ISERROR(SEARCH("F",V65)))</formula>
    </cfRule>
    <cfRule type="containsText" priority="83" operator="containsText" dxfId="1" text="PC">
      <formula>NOT(ISERROR(SEARCH("PC",V65)))</formula>
    </cfRule>
    <cfRule type="containsText" priority="84" operator="containsText" dxfId="0" text="P">
      <formula>NOT(ISERROR(SEARCH("P",V65)))</formula>
    </cfRule>
  </conditionalFormatting>
  <conditionalFormatting sqref="V67:Z69">
    <cfRule type="beginsWith" priority="75" operator="beginsWith" dxfId="4" text="CA">
      <formula>LEFT(V67,LEN("CA"))="CA"</formula>
    </cfRule>
    <cfRule type="containsText" priority="76" operator="containsText" dxfId="3" text="AST">
      <formula>NOT(ISERROR(SEARCH("AST",V67)))</formula>
    </cfRule>
    <cfRule type="containsText" priority="77" operator="containsText" dxfId="2" text="F">
      <formula>NOT(ISERROR(SEARCH("F",V67)))</formula>
    </cfRule>
    <cfRule type="containsText" priority="78" operator="containsText" dxfId="1" text="PC">
      <formula>NOT(ISERROR(SEARCH("PC",V67)))</formula>
    </cfRule>
    <cfRule type="containsText" priority="79" operator="containsText" dxfId="0" text="P">
      <formula>NOT(ISERROR(SEARCH("P",V67)))</formula>
    </cfRule>
  </conditionalFormatting>
  <conditionalFormatting sqref="V39:V45 V47:Z49 W39:AT39 W40:Z45">
    <cfRule type="beginsWith" priority="149" operator="beginsWith" dxfId="4" text="CA">
      <formula>LEFT(V39,LEN("CA"))="CA"</formula>
    </cfRule>
    <cfRule type="containsText" priority="150" operator="containsText" dxfId="3" text="AST">
      <formula>NOT(ISERROR(SEARCH("AST",V39)))</formula>
    </cfRule>
    <cfRule type="containsText" priority="151" operator="containsText" dxfId="2" text="F">
      <formula>NOT(ISERROR(SEARCH("F",V39)))</formula>
    </cfRule>
    <cfRule type="containsText" priority="152" operator="containsText" dxfId="1" text="PC">
      <formula>NOT(ISERROR(SEARCH("PC",V39)))</formula>
    </cfRule>
    <cfRule type="containsText" priority="153" operator="containsText" dxfId="0" text="P">
      <formula>NOT(ISERROR(SEARCH("P",V39)))</formula>
    </cfRule>
  </conditionalFormatting>
  <conditionalFormatting sqref="X20">
    <cfRule type="colorScale" priority="22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priority="90" operator="beginsWith" dxfId="4" text="CA">
      <formula>LEFT(X66,LEN("CA"))="CA"</formula>
    </cfRule>
    <cfRule type="containsText" priority="91" operator="containsText" dxfId="3" text="AST">
      <formula>NOT(ISERROR(SEARCH("AST",X66)))</formula>
    </cfRule>
    <cfRule type="containsText" priority="92" operator="containsText" dxfId="2" text="F">
      <formula>NOT(ISERROR(SEARCH("F",X66)))</formula>
    </cfRule>
    <cfRule type="containsText" priority="93" operator="containsText" dxfId="1" text="PC">
      <formula>NOT(ISERROR(SEARCH("PC",X66)))</formula>
    </cfRule>
    <cfRule type="containsText" priority="94" operator="containsText" dxfId="0" text="P">
      <formula>NOT(ISERROR(SEARCH("P",X66)))</formula>
    </cfRule>
  </conditionalFormatting>
  <conditionalFormatting sqref="Z66">
    <cfRule type="beginsWith" priority="85" operator="beginsWith" dxfId="4" text="CA">
      <formula>LEFT(Z66,LEN("CA"))="CA"</formula>
    </cfRule>
    <cfRule type="containsText" priority="86" operator="containsText" dxfId="3" text="AST">
      <formula>NOT(ISERROR(SEARCH("AST",Z66)))</formula>
    </cfRule>
    <cfRule type="containsText" priority="87" operator="containsText" dxfId="2" text="F">
      <formula>NOT(ISERROR(SEARCH("F",Z66)))</formula>
    </cfRule>
    <cfRule type="containsText" priority="88" operator="containsText" dxfId="1" text="PC">
      <formula>NOT(ISERROR(SEARCH("PC",Z66)))</formula>
    </cfRule>
    <cfRule type="containsText" priority="89" operator="containsText" dxfId="0" text="P">
      <formula>NOT(ISERROR(SEARCH("P",Z66)))</formula>
    </cfRule>
  </conditionalFormatting>
  <conditionalFormatting sqref="AC23:AG24">
    <cfRule type="containsText" priority="35" operator="containsText" dxfId="10" text="TP">
      <formula>NOT(ISERROR(SEARCH("TP",AC23)))</formula>
    </cfRule>
    <cfRule type="containsText" priority="37" operator="containsText" dxfId="9" text="AT">
      <formula>NOT(ISERROR(SEARCH("AT",AC23)))</formula>
    </cfRule>
    <cfRule type="containsText" priority="38" operator="containsText" dxfId="8" text="MA">
      <formula>NOT(ISERROR(SEARCH("MA",AC23)))</formula>
    </cfRule>
    <cfRule type="containsText" priority="39" operator="containsText" dxfId="7" text="RES">
      <formula>NOT(ISERROR(SEARCH("RES",AC23)))</formula>
    </cfRule>
    <cfRule type="containsText" priority="40" operator="containsText" dxfId="6" text="CEX">
      <formula>NOT(ISERROR(SEARCH("CEX",AC23)))</formula>
    </cfRule>
    <cfRule type="containsText" priority="41" operator="containsText" dxfId="5" text="RTT">
      <formula>NOT(ISERROR(SEARCH("RTT",AC23)))</formula>
    </cfRule>
    <cfRule type="containsText" priority="42" operator="containsText" dxfId="4" text="C">
      <formula>NOT(ISERROR(SEARCH("C",AC23)))</formula>
    </cfRule>
    <cfRule type="containsText" priority="43" operator="containsText" dxfId="3" text="AST">
      <formula>NOT(ISERROR(SEARCH("AST",AC23)))</formula>
    </cfRule>
    <cfRule type="containsText" priority="44" operator="containsText" dxfId="2" text="F">
      <formula>NOT(ISERROR(SEARCH("F",AC23)))</formula>
    </cfRule>
    <cfRule type="containsText" priority="45" operator="containsText" dxfId="1" text="MI">
      <formula>NOT(ISERROR(SEARCH("MI",AC23)))</formula>
    </cfRule>
    <cfRule type="containsText" priority="46" operator="containsText" dxfId="0" text="P">
      <formula>NOT(ISERROR(SEARCH("P",AC23)))</formula>
    </cfRule>
  </conditionalFormatting>
  <conditionalFormatting sqref="AC26:AG28">
    <cfRule type="beginsWith" priority="181" operator="beginsWith" dxfId="4" text="CA">
      <formula>LEFT(AC26,LEN("CA"))="CA"</formula>
    </cfRule>
    <cfRule type="containsText" priority="182" operator="containsText" dxfId="3" text="AST">
      <formula>NOT(ISERROR(SEARCH("AST",AC26)))</formula>
    </cfRule>
    <cfRule type="containsText" priority="183" operator="containsText" dxfId="2" text="F">
      <formula>NOT(ISERROR(SEARCH("F",AC26)))</formula>
    </cfRule>
    <cfRule type="containsText" priority="184" operator="containsText" dxfId="1" text="PC">
      <formula>NOT(ISERROR(SEARCH("PC",AC26)))</formula>
    </cfRule>
    <cfRule type="containsText" priority="185" operator="containsText" dxfId="0" text="P">
      <formula>NOT(ISERROR(SEARCH("P",AC26)))</formula>
    </cfRule>
  </conditionalFormatting>
  <conditionalFormatting sqref="AC39:AG45 AC47:AG49 AH42:AN42">
    <cfRule type="containsText" priority="145" operator="containsText" dxfId="3" text="AST">
      <formula>NOT(ISERROR(SEARCH("AST",AC39)))</formula>
    </cfRule>
    <cfRule type="containsText" priority="146" operator="containsText" dxfId="2" text="F">
      <formula>NOT(ISERROR(SEARCH("F",AC39)))</formula>
    </cfRule>
    <cfRule type="containsText" priority="147" operator="containsText" dxfId="1" text="PC">
      <formula>NOT(ISERROR(SEARCH("PC",AC39)))</formula>
    </cfRule>
    <cfRule type="containsText" priority="148" operator="containsText" dxfId="0" text="P">
      <formula>NOT(ISERROR(SEARCH("P",AC39)))</formula>
    </cfRule>
    <cfRule type="beginsWith" priority="144" operator="beginsWith" dxfId="4" text="CA">
      <formula>LEFT(AC39,LEN("CA"))="CA"</formula>
    </cfRule>
  </conditionalFormatting>
  <conditionalFormatting sqref="AC51:AG62 AH57:AN57">
    <cfRule type="containsText" priority="118" operator="containsText" dxfId="3" text="AST">
      <formula>NOT(ISERROR(SEARCH("AST",AC51)))</formula>
    </cfRule>
    <cfRule type="containsText" priority="119" operator="containsText" dxfId="2" text="F">
      <formula>NOT(ISERROR(SEARCH("F",AC51)))</formula>
    </cfRule>
    <cfRule type="containsText" priority="120" operator="containsText" dxfId="1" text="PC">
      <formula>NOT(ISERROR(SEARCH("PC",AC51)))</formula>
    </cfRule>
    <cfRule type="containsText" priority="121" operator="containsText" dxfId="0" text="P">
      <formula>NOT(ISERROR(SEARCH("P",AC51)))</formula>
    </cfRule>
    <cfRule type="beginsWith" priority="117" operator="beginsWith" dxfId="4" text="CA">
      <formula>LEFT(AC51,LEN("CA"))="CA"</formula>
    </cfRule>
  </conditionalFormatting>
  <conditionalFormatting sqref="AC64:AG65 AD66:AD67 AF66:AF67">
    <cfRule type="containsText" priority="65" operator="containsText" dxfId="3" text="AST">
      <formula>NOT(ISERROR(SEARCH("AST",AC64)))</formula>
    </cfRule>
    <cfRule type="containsText" priority="66" operator="containsText" dxfId="2" text="F">
      <formula>NOT(ISERROR(SEARCH("F",AC64)))</formula>
    </cfRule>
    <cfRule type="containsText" priority="67" operator="containsText" dxfId="1" text="PC">
      <formula>NOT(ISERROR(SEARCH("PC",AC64)))</formula>
    </cfRule>
    <cfRule type="containsText" priority="68" operator="containsText" dxfId="0" text="P">
      <formula>NOT(ISERROR(SEARCH("P",AC64)))</formula>
    </cfRule>
    <cfRule type="beginsWith" priority="64" operator="beginsWith" dxfId="4" text="CA">
      <formula>LEFT(AC64,LEN("CA"))="CA"</formula>
    </cfRule>
  </conditionalFormatting>
  <conditionalFormatting sqref="AC67:AG67">
    <cfRule type="containsText" priority="24" operator="containsText" dxfId="10" text="TP">
      <formula>NOT(ISERROR(SEARCH("TP",AC67)))</formula>
    </cfRule>
    <cfRule type="containsText" priority="25" operator="containsText" dxfId="9" text="AT">
      <formula>NOT(ISERROR(SEARCH("AT",AC67)))</formula>
    </cfRule>
    <cfRule type="containsText" priority="26" operator="containsText" dxfId="8" text="MA">
      <formula>NOT(ISERROR(SEARCH("MA",AC67)))</formula>
    </cfRule>
    <cfRule type="containsText" priority="27" operator="containsText" dxfId="7" text="RES">
      <formula>NOT(ISERROR(SEARCH("RES",AC67)))</formula>
    </cfRule>
    <cfRule type="containsText" priority="28" operator="containsText" dxfId="6" text="CEX">
      <formula>NOT(ISERROR(SEARCH("CEX",AC67)))</formula>
    </cfRule>
    <cfRule type="containsText" priority="29" operator="containsText" dxfId="5" text="RTT">
      <formula>NOT(ISERROR(SEARCH("RTT",AC67)))</formula>
    </cfRule>
  </conditionalFormatting>
  <conditionalFormatting sqref="AC67:AG69">
    <cfRule type="beginsWith" priority="30" operator="beginsWith" dxfId="4" text="CA">
      <formula>LEFT(AC67,LEN("CA"))="CA"</formula>
    </cfRule>
    <cfRule type="containsText" priority="31" operator="containsText" dxfId="3" text="AST">
      <formula>NOT(ISERROR(SEARCH("AST",AC67)))</formula>
    </cfRule>
    <cfRule type="containsText" priority="32" operator="containsText" dxfId="2" text="F">
      <formula>NOT(ISERROR(SEARCH("F",AC67)))</formula>
    </cfRule>
    <cfRule type="containsText" priority="33" operator="containsText" dxfId="1" text="PC">
      <formula>NOT(ISERROR(SEARCH("PC",AC67)))</formula>
    </cfRule>
    <cfRule type="containsText" priority="34" operator="containsText" dxfId="0" text="P">
      <formula>NOT(ISERROR(SEARCH("P",AC67)))</formula>
    </cfRule>
  </conditionalFormatting>
  <conditionalFormatting sqref="AK23:AN24">
    <cfRule type="beginsWith" priority="196" operator="beginsWith" dxfId="4" text="CA">
      <formula>LEFT(AK23,LEN("CA"))="CA"</formula>
    </cfRule>
    <cfRule type="containsText" priority="197" operator="containsText" dxfId="3" text="AST">
      <formula>NOT(ISERROR(SEARCH("AST",AK23)))</formula>
    </cfRule>
    <cfRule type="containsText" priority="198" operator="containsText" dxfId="2" text="F">
      <formula>NOT(ISERROR(SEARCH("F",AK23)))</formula>
    </cfRule>
    <cfRule type="containsText" priority="199" operator="containsText" dxfId="1" text="PC">
      <formula>NOT(ISERROR(SEARCH("PC",AK23)))</formula>
    </cfRule>
    <cfRule type="containsText" priority="200" operator="containsText" dxfId="0" text="P">
      <formula>NOT(ISERROR(SEARCH("P",AK23)))</formula>
    </cfRule>
  </conditionalFormatting>
  <conditionalFormatting sqref="AK26:AN28">
    <cfRule type="beginsWith" priority="176" operator="beginsWith" dxfId="4" text="CA">
      <formula>LEFT(AK26,LEN("CA"))="CA"</formula>
    </cfRule>
    <cfRule type="containsText" priority="177" operator="containsText" dxfId="3" text="AST">
      <formula>NOT(ISERROR(SEARCH("AST",AK26)))</formula>
    </cfRule>
    <cfRule type="containsText" priority="178" operator="containsText" dxfId="2" text="F">
      <formula>NOT(ISERROR(SEARCH("F",AK26)))</formula>
    </cfRule>
    <cfRule type="containsText" priority="179" operator="containsText" dxfId="1" text="PC">
      <formula>NOT(ISERROR(SEARCH("PC",AK26)))</formula>
    </cfRule>
    <cfRule type="containsText" priority="180" operator="containsText" dxfId="0" text="P">
      <formula>NOT(ISERROR(SEARCH("P",AK26)))</formula>
    </cfRule>
  </conditionalFormatting>
  <conditionalFormatting sqref="AK39:AN45 AK47:AN49">
    <cfRule type="beginsWith" priority="139" operator="beginsWith" dxfId="4" text="CA">
      <formula>LEFT(AK39,LEN("CA"))="CA"</formula>
    </cfRule>
    <cfRule type="containsText" priority="140" operator="containsText" dxfId="3" text="AST">
      <formula>NOT(ISERROR(SEARCH("AST",AK39)))</formula>
    </cfRule>
    <cfRule type="containsText" priority="141" operator="containsText" dxfId="2" text="F">
      <formula>NOT(ISERROR(SEARCH("F",AK39)))</formula>
    </cfRule>
    <cfRule type="containsText" priority="142" operator="containsText" dxfId="1" text="PC">
      <formula>NOT(ISERROR(SEARCH("PC",AK39)))</formula>
    </cfRule>
    <cfRule type="containsText" priority="143" operator="containsText" dxfId="0" text="P">
      <formula>NOT(ISERROR(SEARCH("P",AK39)))</formula>
    </cfRule>
  </conditionalFormatting>
  <conditionalFormatting sqref="AK51:AN62">
    <cfRule type="beginsWith" priority="112" operator="beginsWith" dxfId="4" text="CA">
      <formula>LEFT(AK51,LEN("CA"))="CA"</formula>
    </cfRule>
    <cfRule type="containsText" priority="113" operator="containsText" dxfId="3" text="AST">
      <formula>NOT(ISERROR(SEARCH("AST",AK51)))</formula>
    </cfRule>
    <cfRule type="containsText" priority="114" operator="containsText" dxfId="2" text="F">
      <formula>NOT(ISERROR(SEARCH("F",AK51)))</formula>
    </cfRule>
    <cfRule type="containsText" priority="115" operator="containsText" dxfId="1" text="PC">
      <formula>NOT(ISERROR(SEARCH("PC",AK51)))</formula>
    </cfRule>
    <cfRule type="containsText" priority="116" operator="containsText" dxfId="0" text="P">
      <formula>NOT(ISERROR(SEARCH("P",AK51)))</formula>
    </cfRule>
  </conditionalFormatting>
  <conditionalFormatting sqref="AK65:AN65">
    <cfRule type="beginsWith" priority="59" operator="beginsWith" dxfId="4" text="CA">
      <formula>LEFT(AK65,LEN("CA"))="CA"</formula>
    </cfRule>
    <cfRule type="containsText" priority="60" operator="containsText" dxfId="3" text="AST">
      <formula>NOT(ISERROR(SEARCH("AST",AK65)))</formula>
    </cfRule>
    <cfRule type="containsText" priority="61" operator="containsText" dxfId="2" text="F">
      <formula>NOT(ISERROR(SEARCH("F",AK65)))</formula>
    </cfRule>
    <cfRule type="containsText" priority="62" operator="containsText" dxfId="1" text="PC">
      <formula>NOT(ISERROR(SEARCH("PC",AK65)))</formula>
    </cfRule>
    <cfRule type="containsText" priority="63" operator="containsText" dxfId="0" text="P">
      <formula>NOT(ISERROR(SEARCH("P",AK65)))</formula>
    </cfRule>
  </conditionalFormatting>
  <conditionalFormatting sqref="AK67:AN67">
    <cfRule type="containsText" priority="13" operator="containsText" dxfId="10" text="TP">
      <formula>NOT(ISERROR(SEARCH("TP",AK67)))</formula>
    </cfRule>
    <cfRule type="containsText" priority="14" operator="containsText" dxfId="9" text="AT">
      <formula>NOT(ISERROR(SEARCH("AT",AK67)))</formula>
    </cfRule>
    <cfRule type="containsText" priority="15" operator="containsText" dxfId="8" text="MA">
      <formula>NOT(ISERROR(SEARCH("MA",AK67)))</formula>
    </cfRule>
    <cfRule type="containsText" priority="16" operator="containsText" dxfId="7" text="RES">
      <formula>NOT(ISERROR(SEARCH("RES",AK67)))</formula>
    </cfRule>
    <cfRule type="containsText" priority="17" operator="containsText" dxfId="6" text="CEX">
      <formula>NOT(ISERROR(SEARCH("CEX",AK67)))</formula>
    </cfRule>
    <cfRule type="containsText" priority="18" operator="containsText" dxfId="5" text="RTT">
      <formula>NOT(ISERROR(SEARCH("RTT",AK67)))</formula>
    </cfRule>
  </conditionalFormatting>
  <conditionalFormatting sqref="AK67:AN69">
    <cfRule type="beginsWith" priority="19" operator="beginsWith" dxfId="4" text="CA">
      <formula>LEFT(AK67,LEN("CA"))="CA"</formula>
    </cfRule>
    <cfRule type="containsText" priority="20" operator="containsText" dxfId="3" text="AST">
      <formula>NOT(ISERROR(SEARCH("AST",AK67)))</formula>
    </cfRule>
    <cfRule type="containsText" priority="21" operator="containsText" dxfId="2" text="F">
      <formula>NOT(ISERROR(SEARCH("F",AK67)))</formula>
    </cfRule>
    <cfRule type="containsText" priority="22" operator="containsText" dxfId="1" text="PC">
      <formula>NOT(ISERROR(SEARCH("PC",AK67)))</formula>
    </cfRule>
    <cfRule type="containsText" priority="23" operator="containsText" dxfId="0" text="P">
      <formula>NOT(ISERROR(SEARCH("P",AK67)))</formula>
    </cfRule>
  </conditionalFormatting>
  <conditionalFormatting sqref="AM20">
    <cfRule type="colorScale" priority="12">
      <colorScale>
        <cfvo type="min"/>
        <cfvo type="max"/>
        <color rgb="FFFF7128"/>
        <color rgb="FFFFEF9C"/>
      </colorScale>
    </cfRule>
  </conditionalFormatting>
  <conditionalFormatting sqref="AO64:AT65">
    <cfRule type="containsText" priority="57" operator="containsText" text="TAD">
      <formula>NOT(ISERROR(SEARCH("TAD",AO64)))</formula>
    </cfRule>
  </conditionalFormatting>
  <conditionalFormatting sqref="AQ66">
    <cfRule type="beginsWith" priority="52" operator="beginsWith" dxfId="4" text="CA">
      <formula>LEFT(AQ66,LEN("CA"))="CA"</formula>
    </cfRule>
    <cfRule type="containsText" priority="53" operator="containsText" dxfId="3" text="AST">
      <formula>NOT(ISERROR(SEARCH("AST",AQ66)))</formula>
    </cfRule>
    <cfRule type="containsText" priority="54" operator="containsText" dxfId="2" text="F">
      <formula>NOT(ISERROR(SEARCH("F",AQ66)))</formula>
    </cfRule>
    <cfRule type="containsText" priority="55" operator="containsText" dxfId="1" text="PC">
      <formula>NOT(ISERROR(SEARCH("PC",AQ66)))</formula>
    </cfRule>
    <cfRule type="containsText" priority="56" operator="containsText" dxfId="0" text="P">
      <formula>NOT(ISERROR(SEARCH("P",AQ66)))</formula>
    </cfRule>
  </conditionalFormatting>
  <conditionalFormatting sqref="AM20:AN20 AQ20:AT20">
    <cfRule type="colorScale" priority="228">
      <colorScale>
        <cfvo type="min"/>
        <cfvo type="max"/>
        <color rgb="FFFF7128"/>
        <color rgb="FFFFEF9C"/>
      </colorScale>
    </cfRule>
  </conditionalFormatting>
  <conditionalFormatting sqref="AQ23:AT24">
    <cfRule type="beginsWith" priority="191" operator="beginsWith" dxfId="4" text="CA">
      <formula>LEFT(AQ23,LEN("CA"))="CA"</formula>
    </cfRule>
    <cfRule type="containsText" priority="192" operator="containsText" dxfId="3" text="AST">
      <formula>NOT(ISERROR(SEARCH("AST",AQ23)))</formula>
    </cfRule>
    <cfRule type="containsText" priority="193" operator="containsText" dxfId="2" text="F">
      <formula>NOT(ISERROR(SEARCH("F",AQ23)))</formula>
    </cfRule>
    <cfRule type="containsText" priority="194" operator="containsText" dxfId="1" text="PC">
      <formula>NOT(ISERROR(SEARCH("PC",AQ23)))</formula>
    </cfRule>
    <cfRule type="containsText" priority="195" operator="containsText" dxfId="0" text="P">
      <formula>NOT(ISERROR(SEARCH("P",AQ23)))</formula>
    </cfRule>
  </conditionalFormatting>
  <conditionalFormatting sqref="AQ26:AT28">
    <cfRule type="beginsWith" priority="171" operator="beginsWith" dxfId="4" text="CA">
      <formula>LEFT(AQ26,LEN("CA"))="CA"</formula>
    </cfRule>
    <cfRule type="containsText" priority="172" operator="containsText" dxfId="3" text="AST">
      <formula>NOT(ISERROR(SEARCH("AST",AQ26)))</formula>
    </cfRule>
    <cfRule type="containsText" priority="173" operator="containsText" dxfId="2" text="F">
      <formula>NOT(ISERROR(SEARCH("F",AQ26)))</formula>
    </cfRule>
    <cfRule type="containsText" priority="174" operator="containsText" dxfId="1" text="PC">
      <formula>NOT(ISERROR(SEARCH("PC",AQ26)))</formula>
    </cfRule>
    <cfRule type="containsText" priority="175" operator="containsText" dxfId="0" text="P">
      <formula>NOT(ISERROR(SEARCH("P",AQ26)))</formula>
    </cfRule>
  </conditionalFormatting>
  <conditionalFormatting sqref="AQ39:AT45 AQ47:AT49">
    <cfRule type="beginsWith" priority="134" operator="beginsWith" dxfId="4" text="CA">
      <formula>LEFT(AQ39,LEN("CA"))="CA"</formula>
    </cfRule>
    <cfRule type="containsText" priority="135" operator="containsText" dxfId="3" text="AST">
      <formula>NOT(ISERROR(SEARCH("AST",AQ39)))</formula>
    </cfRule>
    <cfRule type="containsText" priority="136" operator="containsText" dxfId="2" text="F">
      <formula>NOT(ISERROR(SEARCH("F",AQ39)))</formula>
    </cfRule>
    <cfRule type="containsText" priority="137" operator="containsText" dxfId="1" text="PC">
      <formula>NOT(ISERROR(SEARCH("PC",AQ39)))</formula>
    </cfRule>
    <cfRule type="containsText" priority="138" operator="containsText" dxfId="0" text="P">
      <formula>NOT(ISERROR(SEARCH("P",AQ39)))</formula>
    </cfRule>
  </conditionalFormatting>
  <conditionalFormatting sqref="AQ64:AT69">
    <cfRule type="beginsWith" priority="7" operator="beginsWith" dxfId="4" text="CA">
      <formula>LEFT(AQ64,LEN("CA"))="CA"</formula>
    </cfRule>
    <cfRule type="containsText" priority="8" operator="containsText" dxfId="3" text="AST">
      <formula>NOT(ISERROR(SEARCH("AST",AQ64)))</formula>
    </cfRule>
    <cfRule type="containsText" priority="9" operator="containsText" dxfId="2" text="F">
      <formula>NOT(ISERROR(SEARCH("F",AQ64)))</formula>
    </cfRule>
    <cfRule type="containsText" priority="10" operator="containsText" dxfId="1" text="PC">
      <formula>NOT(ISERROR(SEARCH("PC",AQ64)))</formula>
    </cfRule>
    <cfRule type="containsText" priority="11" operator="containsText" dxfId="0" text="P">
      <formula>NOT(ISERROR(SEARCH("P",AQ64)))</formula>
    </cfRule>
  </conditionalFormatting>
  <conditionalFormatting sqref="AQ66:AT67">
    <cfRule type="containsText" priority="1" operator="containsText" dxfId="10" text="TP">
      <formula>NOT(ISERROR(SEARCH("TP",AQ66)))</formula>
    </cfRule>
    <cfRule type="containsText" priority="2" operator="containsText" dxfId="9" text="AT">
      <formula>NOT(ISERROR(SEARCH("AT",AQ66)))</formula>
    </cfRule>
    <cfRule type="containsText" priority="3" operator="containsText" dxfId="8" text="MA">
      <formula>NOT(ISERROR(SEARCH("MA",AQ66)))</formula>
    </cfRule>
    <cfRule type="containsText" priority="4" operator="containsText" dxfId="7" text="RES">
      <formula>NOT(ISERROR(SEARCH("RES",AQ66)))</formula>
    </cfRule>
    <cfRule type="containsText" priority="5" operator="containsText" dxfId="6" text="CEX">
      <formula>NOT(ISERROR(SEARCH("CEX",AQ66)))</formula>
    </cfRule>
    <cfRule type="containsText" priority="6" operator="containsText" dxfId="5" text="RTT">
      <formula>NOT(ISERROR(SEARCH("RTT",AQ66)))</formula>
    </cfRule>
  </conditionalFormatting>
  <conditionalFormatting sqref="AS66:AT66">
    <cfRule type="beginsWith" priority="47" operator="beginsWith" dxfId="4" text="CA">
      <formula>LEFT(AS66,LEN("CA"))="CA"</formula>
    </cfRule>
    <cfRule type="containsText" priority="48" operator="containsText" dxfId="3" text="AST">
      <formula>NOT(ISERROR(SEARCH("AST",AS66)))</formula>
    </cfRule>
    <cfRule type="containsText" priority="49" operator="containsText" dxfId="2" text="F">
      <formula>NOT(ISERROR(SEARCH("F",AS66)))</formula>
    </cfRule>
    <cfRule type="containsText" priority="50" operator="containsText" dxfId="1" text="PC">
      <formula>NOT(ISERROR(SEARCH("PC",AS66)))</formula>
    </cfRule>
    <cfRule type="containsText" priority="51" operator="containsText" dxfId="0" text="P">
      <formula>NOT(ISERROR(SEARCH("P",AS66)))</formula>
    </cfRule>
  </conditionalFormatting>
  <dataValidations count="5">
    <dataValidation sqref="P23:P24 T23:U24 T26:U29 T31:U36 T39:U49 T51:U62 T64:U68 W66 Y66 AA23:AJ24 AA26:AB29 AA31:AB36 AA39:AB49 AA51:AB62 AA64:AB68 AC66 AE66 AG66 AH26:AJ28 AH39:AJ41 AH43:AJ49 AH51:AJ56 AH58:AJ62 AH64:AI64 AH65:AJ68 AK66:AN66 AO23:AP24 AO26:AP29 AO31:AP36 AO39:AP49 AO51:AP62 AO64:AP68" showDropDown="0" showInputMessage="1" showErrorMessage="1" allowBlank="1" type="list">
      <formula1>"P, PC, F, AST, C, RTT, CEX, RES, MA, AT, TAD, TP"</formula1>
    </dataValidation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T69:U69 AA69:AB69 AH69:AJ69 AO69:AP69" showDropDown="0" showInputMessage="1" showErrorMessage="1" allowBlank="1" type="list">
      <formula1>"P, MI, F, AST, C, RTT, CEX, RES, MA, AT, TAD, TP"</formula1>
    </dataValidation>
    <dataValidation sqref="P11:AT20 P26:S29 P31:S36 P39:S49 P51:S62 P64:S69 Q23:S24 V23:Z24 V26:Z29 V31:Z36 V39:Z49 V51:Z62 V64:V69 W64:W65 W67:W69 X64:X69 Y64:Y65 Y67:Y69 Z64:Z69 AC26:AG28 AC29:AN29 AC31:AN36 AC39:AG49 AC51:AG62 AC64:AC65 AC67:AC69 AD64:AD69 AE64:AE65 AE67:AE69 AF64:AF69 AG64:AG65 AG67:AG69 AH42:AN42 AH57:AN57 AJ64:AN64 AK23:AN24 AK26:AN28 AK39:AN41 AK43:AN49 AK51:AN56 AK58:AN62 AK65:AN69 AQ23:AT24 AQ26:AT29 AQ31:AT36 AQ39:AT49 AQ51:AT62 AQ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F76"/>
  <sheetViews>
    <sheetView zoomScale="85" zoomScaleNormal="85" workbookViewId="0">
      <pane ySplit="10" topLeftCell="A11" activePane="bottomLeft" state="frozen"/>
      <selection pane="bottomLeft" activeCell="C4" sqref="C4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config!B17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config!C17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15.75" customHeight="1">
      <c r="A5" s="325">
        <f>TEXT(A1,"mmmmmmmmmmmm")</f>
        <v/>
      </c>
      <c r="AT5" s="325" t="n"/>
    </row>
    <row r="6" ht="24.95" customHeight="1">
      <c r="AT6" s="325" t="n"/>
    </row>
    <row r="7" hidden="1" ht="15" customHeight="1">
      <c r="AT7" s="325" t="n"/>
    </row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35" t="inlineStr">
        <is>
          <t>FERIE</t>
        </is>
      </c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93" t="n"/>
      <c r="AO8" s="148" t="n"/>
      <c r="AP8" s="148" t="n"/>
      <c r="AQ8" s="148" t="n"/>
      <c r="AR8" s="193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13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55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137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1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39" t="n"/>
      <c r="Q11" s="121" t="n"/>
      <c r="R11" s="121" t="n"/>
      <c r="S11" s="8" t="n"/>
      <c r="T11" s="8" t="n"/>
      <c r="U11" s="8" t="n"/>
      <c r="V11" s="8" t="n"/>
      <c r="W11" s="8" t="n"/>
      <c r="X11" s="121" t="n"/>
      <c r="Y11" s="121" t="n"/>
      <c r="Z11" s="8" t="n"/>
      <c r="AA11" s="8" t="n"/>
      <c r="AB11" s="8" t="n"/>
      <c r="AC11" s="8" t="n"/>
      <c r="AD11" s="8" t="n"/>
      <c r="AE11" s="121" t="n"/>
      <c r="AF11" s="121" t="n"/>
      <c r="AG11" s="8" t="n"/>
      <c r="AH11" s="8" t="n"/>
      <c r="AI11" s="8" t="n"/>
      <c r="AJ11" s="8" t="n"/>
      <c r="AK11" s="8" t="n"/>
      <c r="AL11" s="121" t="n"/>
      <c r="AM11" s="121" t="n"/>
      <c r="AN11" s="8" t="n"/>
      <c r="AO11" s="8" t="n"/>
      <c r="AP11" s="8" t="n"/>
      <c r="AQ11" s="8" t="n"/>
      <c r="AR11" s="8" t="n"/>
      <c r="AS11" s="121" t="n"/>
      <c r="AT11" s="152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39" t="n"/>
      <c r="Q12" s="121" t="n"/>
      <c r="R12" s="121" t="n"/>
      <c r="S12" s="8" t="n"/>
      <c r="T12" s="8" t="n"/>
      <c r="U12" s="8" t="n"/>
      <c r="V12" s="8" t="n"/>
      <c r="W12" s="8" t="n"/>
      <c r="X12" s="121" t="n"/>
      <c r="Y12" s="121" t="n"/>
      <c r="Z12" s="8" t="n"/>
      <c r="AA12" s="8" t="n"/>
      <c r="AB12" s="8" t="n"/>
      <c r="AC12" s="8" t="n"/>
      <c r="AD12" s="8" t="n"/>
      <c r="AE12" s="121" t="n"/>
      <c r="AF12" s="121" t="n"/>
      <c r="AG12" s="8" t="n"/>
      <c r="AH12" s="8" t="n"/>
      <c r="AI12" s="8" t="n"/>
      <c r="AJ12" s="8" t="n"/>
      <c r="AK12" s="8" t="n"/>
      <c r="AL12" s="121" t="n"/>
      <c r="AM12" s="121" t="n"/>
      <c r="AN12" s="8" t="n"/>
      <c r="AO12" s="8" t="n"/>
      <c r="AP12" s="8" t="n"/>
      <c r="AQ12" s="8" t="n"/>
      <c r="AR12" s="8" t="n"/>
      <c r="AS12" s="121" t="n"/>
      <c r="AT12" s="152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39" t="n"/>
      <c r="Q13" s="121" t="n"/>
      <c r="R13" s="121" t="n"/>
      <c r="S13" s="8" t="n"/>
      <c r="T13" s="8" t="n"/>
      <c r="U13" s="8" t="n"/>
      <c r="V13" s="8" t="n"/>
      <c r="W13" s="8" t="n"/>
      <c r="X13" s="121" t="n"/>
      <c r="Y13" s="121" t="n"/>
      <c r="Z13" s="8" t="n"/>
      <c r="AA13" s="8" t="n"/>
      <c r="AB13" s="8" t="n"/>
      <c r="AC13" s="8" t="n"/>
      <c r="AD13" s="8" t="n"/>
      <c r="AE13" s="121" t="n"/>
      <c r="AF13" s="121" t="n"/>
      <c r="AG13" s="8" t="n"/>
      <c r="AH13" s="8" t="n"/>
      <c r="AI13" s="8" t="n"/>
      <c r="AJ13" s="8" t="n"/>
      <c r="AK13" s="8" t="n"/>
      <c r="AL13" s="121" t="n"/>
      <c r="AM13" s="121" t="n"/>
      <c r="AN13" s="8" t="n"/>
      <c r="AO13" s="8" t="n"/>
      <c r="AP13" s="8" t="n"/>
      <c r="AQ13" s="8" t="n"/>
      <c r="AR13" s="8" t="n"/>
      <c r="AS13" s="121" t="n"/>
      <c r="AT13" s="152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39" t="n"/>
      <c r="Q14" s="121" t="n"/>
      <c r="R14" s="121" t="n"/>
      <c r="S14" s="8" t="n"/>
      <c r="T14" s="8" t="n"/>
      <c r="U14" s="8" t="n"/>
      <c r="V14" s="8" t="n"/>
      <c r="W14" s="8" t="n"/>
      <c r="X14" s="121" t="n"/>
      <c r="Y14" s="121" t="n"/>
      <c r="Z14" s="8" t="n"/>
      <c r="AA14" s="8" t="n"/>
      <c r="AB14" s="8" t="n"/>
      <c r="AC14" s="8" t="n"/>
      <c r="AD14" s="8" t="n"/>
      <c r="AE14" s="121" t="n"/>
      <c r="AF14" s="121" t="n"/>
      <c r="AG14" s="8" t="n"/>
      <c r="AH14" s="8" t="n"/>
      <c r="AI14" s="8" t="n"/>
      <c r="AJ14" s="8" t="n"/>
      <c r="AK14" s="8" t="n"/>
      <c r="AL14" s="121" t="n"/>
      <c r="AM14" s="121" t="n"/>
      <c r="AN14" s="8" t="n"/>
      <c r="AO14" s="8" t="n"/>
      <c r="AP14" s="8" t="n"/>
      <c r="AQ14" s="8" t="n"/>
      <c r="AR14" s="8" t="n"/>
      <c r="AS14" s="121" t="n"/>
      <c r="AT14" s="152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39" t="n"/>
      <c r="Q15" s="121" t="n"/>
      <c r="R15" s="121" t="n"/>
      <c r="S15" s="8" t="n"/>
      <c r="T15" s="8" t="n"/>
      <c r="U15" s="8" t="n"/>
      <c r="V15" s="8" t="n"/>
      <c r="W15" s="8" t="n"/>
      <c r="X15" s="121" t="n"/>
      <c r="Y15" s="121" t="n"/>
      <c r="Z15" s="8" t="n"/>
      <c r="AA15" s="8" t="n"/>
      <c r="AB15" s="8" t="n"/>
      <c r="AC15" s="8" t="n"/>
      <c r="AD15" s="8" t="n"/>
      <c r="AE15" s="121" t="n"/>
      <c r="AF15" s="121" t="n"/>
      <c r="AG15" s="8" t="n"/>
      <c r="AH15" s="8" t="n"/>
      <c r="AI15" s="8" t="n"/>
      <c r="AJ15" s="8" t="n"/>
      <c r="AK15" s="8" t="n"/>
      <c r="AL15" s="121" t="n"/>
      <c r="AM15" s="121" t="n"/>
      <c r="AN15" s="8" t="n"/>
      <c r="AO15" s="8" t="n"/>
      <c r="AP15" s="8" t="n"/>
      <c r="AQ15" s="8" t="n"/>
      <c r="AR15" s="8" t="n"/>
      <c r="AS15" s="121" t="n"/>
      <c r="AT15" s="152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39" t="n"/>
      <c r="Q16" s="121" t="n"/>
      <c r="R16" s="121" t="n"/>
      <c r="S16" s="8" t="n"/>
      <c r="T16" s="8" t="n"/>
      <c r="U16" s="8" t="n"/>
      <c r="V16" s="8" t="n"/>
      <c r="W16" s="8" t="n"/>
      <c r="X16" s="121" t="n"/>
      <c r="Y16" s="121" t="n"/>
      <c r="Z16" s="8" t="n"/>
      <c r="AA16" s="8" t="n"/>
      <c r="AB16" s="8" t="n"/>
      <c r="AC16" s="8" t="n"/>
      <c r="AD16" s="8" t="n"/>
      <c r="AE16" s="121" t="n"/>
      <c r="AF16" s="121" t="n"/>
      <c r="AG16" s="8" t="n"/>
      <c r="AH16" s="8" t="n"/>
      <c r="AI16" s="8" t="n"/>
      <c r="AJ16" s="8" t="n"/>
      <c r="AK16" s="8" t="n"/>
      <c r="AL16" s="121" t="n"/>
      <c r="AM16" s="121" t="n"/>
      <c r="AN16" s="8" t="n"/>
      <c r="AO16" s="8" t="n"/>
      <c r="AP16" s="8" t="n"/>
      <c r="AQ16" s="8" t="n"/>
      <c r="AR16" s="8" t="n"/>
      <c r="AS16" s="121" t="n"/>
      <c r="AT16" s="152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39" t="n"/>
      <c r="Q17" s="121" t="n"/>
      <c r="R17" s="121" t="n"/>
      <c r="S17" s="8" t="n"/>
      <c r="T17" s="8" t="n"/>
      <c r="U17" s="8" t="n"/>
      <c r="V17" s="8" t="n"/>
      <c r="W17" s="8" t="n"/>
      <c r="X17" s="121" t="n"/>
      <c r="Y17" s="121" t="n"/>
      <c r="Z17" s="8" t="n"/>
      <c r="AA17" s="8" t="n"/>
      <c r="AB17" s="8" t="n"/>
      <c r="AC17" s="8" t="n"/>
      <c r="AD17" s="8" t="n"/>
      <c r="AE17" s="121" t="n"/>
      <c r="AF17" s="121" t="n"/>
      <c r="AG17" s="8" t="n"/>
      <c r="AH17" s="8" t="n"/>
      <c r="AI17" s="8" t="n"/>
      <c r="AJ17" s="8" t="n"/>
      <c r="AK17" s="8" t="n"/>
      <c r="AL17" s="121" t="n"/>
      <c r="AM17" s="121" t="n"/>
      <c r="AN17" s="8" t="n"/>
      <c r="AO17" s="8" t="n"/>
      <c r="AP17" s="8" t="n"/>
      <c r="AQ17" s="8" t="n"/>
      <c r="AR17" s="8" t="n"/>
      <c r="AS17" s="121" t="n"/>
      <c r="AT17" s="152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154" t="n"/>
      <c r="Q18" s="154" t="n"/>
      <c r="R18" s="154" t="n"/>
      <c r="S18" s="154" t="n"/>
      <c r="T18" s="154" t="n"/>
      <c r="U18" s="154" t="n"/>
      <c r="V18" s="154" t="n"/>
      <c r="W18" s="8" t="n"/>
      <c r="X18" s="154" t="n"/>
      <c r="Y18" s="154" t="n"/>
      <c r="Z18" s="154" t="n"/>
      <c r="AA18" s="154" t="n"/>
      <c r="AB18" s="154" t="n"/>
      <c r="AC18" s="8" t="n"/>
      <c r="AD18" s="8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8" t="n"/>
      <c r="AO18" s="154" t="n"/>
      <c r="AP18" s="154" t="n"/>
      <c r="AQ18" s="154" t="n"/>
      <c r="AR18" s="154" t="n"/>
      <c r="AS18" s="154" t="n"/>
      <c r="AT18" s="156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39" t="n"/>
      <c r="Q19" s="121" t="n"/>
      <c r="R19" s="121" t="n"/>
      <c r="S19" s="8" t="n"/>
      <c r="T19" s="8" t="n"/>
      <c r="U19" s="8" t="n"/>
      <c r="V19" s="8" t="n"/>
      <c r="W19" s="8" t="n"/>
      <c r="X19" s="121" t="n"/>
      <c r="Y19" s="121" t="n"/>
      <c r="Z19" s="8" t="n"/>
      <c r="AA19" s="8" t="n"/>
      <c r="AB19" s="8" t="n"/>
      <c r="AC19" s="8" t="n"/>
      <c r="AD19" s="8" t="n"/>
      <c r="AE19" s="121" t="n"/>
      <c r="AF19" s="121" t="n"/>
      <c r="AG19" s="8" t="n"/>
      <c r="AH19" s="8" t="n"/>
      <c r="AI19" s="8" t="n"/>
      <c r="AJ19" s="8" t="n"/>
      <c r="AK19" s="8" t="n"/>
      <c r="AL19" s="121" t="n"/>
      <c r="AM19" s="121" t="n"/>
      <c r="AN19" s="8" t="n"/>
      <c r="AO19" s="8" t="n"/>
      <c r="AP19" s="8" t="n"/>
      <c r="AQ19" s="8" t="n"/>
      <c r="AR19" s="8" t="n"/>
      <c r="AS19" s="121" t="n"/>
      <c r="AT19" s="152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39" t="n"/>
      <c r="Q20" s="121" t="n"/>
      <c r="R20" s="121" t="n"/>
      <c r="S20" s="8" t="n"/>
      <c r="T20" s="8" t="n"/>
      <c r="U20" s="8" t="n"/>
      <c r="V20" s="8" t="n"/>
      <c r="W20" s="8" t="n"/>
      <c r="X20" s="121" t="n"/>
      <c r="Y20" s="121" t="n"/>
      <c r="Z20" s="8" t="n"/>
      <c r="AA20" s="8" t="n"/>
      <c r="AB20" s="8" t="n"/>
      <c r="AC20" s="8" t="n"/>
      <c r="AD20" s="8" t="n"/>
      <c r="AE20" s="121" t="n"/>
      <c r="AF20" s="121" t="n"/>
      <c r="AG20" s="8" t="n"/>
      <c r="AH20" s="8" t="n"/>
      <c r="AI20" s="8" t="n"/>
      <c r="AJ20" s="8" t="n"/>
      <c r="AK20" s="8" t="n"/>
      <c r="AL20" s="121" t="n"/>
      <c r="AM20" s="121" t="n"/>
      <c r="AN20" s="8" t="n"/>
      <c r="AO20" s="8" t="n"/>
      <c r="AP20" s="8" t="n"/>
      <c r="AQ20" s="8" t="n"/>
      <c r="AR20" s="8" t="n"/>
      <c r="AS20" s="121" t="n"/>
      <c r="AT20" s="152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  <c r="AT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45" t="n"/>
      <c r="Q23" s="121" t="n"/>
      <c r="R23" s="121" t="n"/>
      <c r="S23" s="8" t="n"/>
      <c r="T23" s="8" t="n"/>
      <c r="U23" s="8" t="n"/>
      <c r="V23" s="8" t="n"/>
      <c r="W23" s="139" t="n"/>
      <c r="X23" s="121" t="n"/>
      <c r="Y23" s="121" t="n"/>
      <c r="Z23" s="8" t="n"/>
      <c r="AA23" s="8" t="n"/>
      <c r="AB23" s="8" t="n"/>
      <c r="AC23" s="139" t="n"/>
      <c r="AD23" s="8" t="n"/>
      <c r="AE23" s="121" t="n"/>
      <c r="AF23" s="121" t="n"/>
      <c r="AG23" s="8" t="n"/>
      <c r="AH23" s="8" t="n"/>
      <c r="AI23" s="8" t="n"/>
      <c r="AJ23" s="8" t="n"/>
      <c r="AK23" s="8" t="n"/>
      <c r="AL23" s="121" t="n"/>
      <c r="AM23" s="121" t="n"/>
      <c r="AN23" s="139" t="n"/>
      <c r="AO23" s="8" t="n"/>
      <c r="AP23" s="8" t="n"/>
      <c r="AQ23" s="8" t="n"/>
      <c r="AR23" s="8" t="n"/>
      <c r="AS23" s="121" t="n"/>
      <c r="AT23" s="15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145" t="n"/>
      <c r="Q24" s="121" t="n"/>
      <c r="R24" s="121" t="n"/>
      <c r="S24" s="8" t="n"/>
      <c r="T24" s="8" t="n"/>
      <c r="U24" s="8" t="n"/>
      <c r="V24" s="8" t="n"/>
      <c r="W24" s="139" t="n"/>
      <c r="X24" s="121" t="n"/>
      <c r="Y24" s="121" t="n"/>
      <c r="Z24" s="8" t="n"/>
      <c r="AA24" s="8" t="n"/>
      <c r="AB24" s="8" t="n"/>
      <c r="AC24" s="139" t="n"/>
      <c r="AD24" s="8" t="n"/>
      <c r="AE24" s="121" t="n"/>
      <c r="AF24" s="121" t="n"/>
      <c r="AG24" s="8" t="n"/>
      <c r="AH24" s="8" t="n"/>
      <c r="AI24" s="8" t="n"/>
      <c r="AJ24" s="8" t="n"/>
      <c r="AK24" s="8" t="n"/>
      <c r="AL24" s="121" t="n"/>
      <c r="AM24" s="121" t="n"/>
      <c r="AN24" s="139" t="n"/>
      <c r="AO24" s="8" t="n"/>
      <c r="AP24" s="8" t="n"/>
      <c r="AQ24" s="8" t="n"/>
      <c r="AR24" s="8" t="n"/>
      <c r="AS24" s="121" t="n"/>
      <c r="AT24" s="152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45" t="n"/>
      <c r="Q26" s="121" t="n"/>
      <c r="R26" s="121" t="n"/>
      <c r="S26" s="8" t="n"/>
      <c r="T26" s="8" t="n"/>
      <c r="U26" s="8" t="n"/>
      <c r="V26" s="8" t="n"/>
      <c r="W26" s="139" t="n"/>
      <c r="X26" s="121" t="n"/>
      <c r="Y26" s="121" t="n"/>
      <c r="Z26" s="8" t="n"/>
      <c r="AA26" s="8" t="n"/>
      <c r="AB26" s="8" t="n"/>
      <c r="AC26" s="139" t="n"/>
      <c r="AD26" s="8" t="n"/>
      <c r="AE26" s="121" t="n"/>
      <c r="AF26" s="121" t="n"/>
      <c r="AG26" s="8" t="n"/>
      <c r="AH26" s="8" t="n"/>
      <c r="AI26" s="8" t="n"/>
      <c r="AJ26" s="8" t="n"/>
      <c r="AK26" s="8" t="n"/>
      <c r="AL26" s="121" t="n"/>
      <c r="AM26" s="121" t="n"/>
      <c r="AN26" s="139" t="n"/>
      <c r="AO26" s="8" t="n"/>
      <c r="AP26" s="8" t="n"/>
      <c r="AQ26" s="8" t="n"/>
      <c r="AR26" s="8" t="n"/>
      <c r="AS26" s="121" t="n"/>
      <c r="AT26" s="15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5" t="n"/>
      <c r="Q27" s="121" t="n"/>
      <c r="R27" s="121" t="n"/>
      <c r="S27" s="8" t="n"/>
      <c r="T27" s="8" t="n"/>
      <c r="U27" s="8" t="n"/>
      <c r="V27" s="8" t="n"/>
      <c r="W27" s="139" t="n"/>
      <c r="X27" s="121" t="n"/>
      <c r="Y27" s="121" t="n"/>
      <c r="Z27" s="8" t="n"/>
      <c r="AA27" s="8" t="n"/>
      <c r="AB27" s="8" t="n"/>
      <c r="AC27" s="139" t="n"/>
      <c r="AD27" s="8" t="n"/>
      <c r="AE27" s="121" t="n"/>
      <c r="AF27" s="121" t="n"/>
      <c r="AG27" s="8" t="n"/>
      <c r="AH27" s="8" t="n"/>
      <c r="AI27" s="8" t="n"/>
      <c r="AJ27" s="8" t="n"/>
      <c r="AK27" s="8" t="n"/>
      <c r="AL27" s="121" t="n"/>
      <c r="AM27" s="121" t="n"/>
      <c r="AN27" s="139" t="n"/>
      <c r="AO27" s="8" t="n"/>
      <c r="AP27" s="8" t="n"/>
      <c r="AQ27" s="8" t="n"/>
      <c r="AR27" s="8" t="n"/>
      <c r="AS27" s="121" t="n"/>
      <c r="AT27" s="152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5" t="n"/>
      <c r="Q28" s="121" t="n"/>
      <c r="R28" s="121" t="n"/>
      <c r="S28" s="8" t="n"/>
      <c r="T28" s="8" t="n"/>
      <c r="U28" s="8" t="n"/>
      <c r="V28" s="8" t="n"/>
      <c r="W28" s="139" t="n"/>
      <c r="X28" s="121" t="n"/>
      <c r="Y28" s="121" t="n"/>
      <c r="Z28" s="8" t="n"/>
      <c r="AA28" s="8" t="n"/>
      <c r="AB28" s="8" t="n"/>
      <c r="AC28" s="139" t="n"/>
      <c r="AD28" s="8" t="n"/>
      <c r="AE28" s="121" t="n"/>
      <c r="AF28" s="121" t="n"/>
      <c r="AG28" s="8" t="n"/>
      <c r="AH28" s="8" t="n"/>
      <c r="AI28" s="8" t="n"/>
      <c r="AJ28" s="8" t="n"/>
      <c r="AK28" s="8" t="n"/>
      <c r="AL28" s="121" t="n"/>
      <c r="AM28" s="121" t="n"/>
      <c r="AN28" s="139" t="n"/>
      <c r="AO28" s="8" t="n"/>
      <c r="AP28" s="8" t="n"/>
      <c r="AQ28" s="8" t="n"/>
      <c r="AR28" s="8" t="n"/>
      <c r="AS28" s="121" t="n"/>
      <c r="AT28" s="152" t="n"/>
    </row>
    <row r="29" ht="20.1" customHeight="1" thickBot="1">
      <c r="A29" s="267">
        <f>IFERROR(IF(config!E21="","",config!E21),"")</f>
        <v/>
      </c>
      <c r="B29" s="268">
        <f>IFERROR(IF(config!F21="","",config!F21),"")</f>
        <v/>
      </c>
      <c r="C29" s="269">
        <f>IFERROR(IF(config!G21="","",config!G21),"")</f>
        <v/>
      </c>
      <c r="D29" s="114">
        <f>COUNTIF(P29:AS29,"p")</f>
        <v/>
      </c>
      <c r="E29" s="28">
        <f>COUNTIF(P29:AS29,"PC")</f>
        <v/>
      </c>
      <c r="F29" s="28">
        <f>COUNTIF(P29:AS29,"f")</f>
        <v/>
      </c>
      <c r="G29" s="28">
        <f>COUNTIF(P29:AS29,"ast")</f>
        <v/>
      </c>
      <c r="H29" s="28">
        <f>COUNTIF(P29:AS29,"cA")</f>
        <v/>
      </c>
      <c r="I29" s="28">
        <f>COUNTIF(P29:AS29,"rtt")</f>
        <v/>
      </c>
      <c r="J29" s="28">
        <f>COUNTIF(P29:AS29,"cex")</f>
        <v/>
      </c>
      <c r="K29" s="28">
        <f>COUNTIF(P29:AS29,"res")</f>
        <v/>
      </c>
      <c r="L29" s="28">
        <f>COUNTIF(P29:AS29,"mA")</f>
        <v/>
      </c>
      <c r="M29" s="28">
        <f>COUNTIF(P29:AS29,"at")</f>
        <v/>
      </c>
      <c r="N29" s="28">
        <f>COUNTIF(P29:AS29,"TAD")</f>
        <v/>
      </c>
      <c r="O29" s="28">
        <f>COUNTIF(P29:AS29,"TP")</f>
        <v/>
      </c>
      <c r="P29" s="149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  <c r="AR29" s="121" t="n"/>
      <c r="AS29" s="121" t="n"/>
      <c r="AT29" s="152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70" t="n"/>
      <c r="Q30" s="270" t="n"/>
      <c r="R30" s="270" t="n"/>
      <c r="S30" s="270" t="n"/>
      <c r="T30" s="270" t="n"/>
      <c r="U30" s="270" t="n"/>
      <c r="V30" s="270" t="n"/>
      <c r="W30" s="270" t="n"/>
      <c r="X30" s="270" t="n"/>
      <c r="Y30" s="270" t="n"/>
      <c r="Z30" s="270" t="n"/>
      <c r="AA30" s="270" t="n"/>
      <c r="AB30" s="270" t="n"/>
      <c r="AC30" s="270" t="n"/>
      <c r="AD30" s="270" t="n"/>
      <c r="AE30" s="270" t="n"/>
      <c r="AF30" s="270" t="n"/>
      <c r="AG30" s="270" t="n"/>
      <c r="AH30" s="270" t="n"/>
      <c r="AI30" s="270" t="n"/>
      <c r="AJ30" s="270" t="n"/>
      <c r="AK30" s="270" t="n"/>
      <c r="AL30" s="270" t="n"/>
      <c r="AM30" s="270" t="n"/>
      <c r="AN30" s="270" t="n"/>
      <c r="AO30" s="270" t="n"/>
      <c r="AP30" s="270" t="n"/>
      <c r="AQ30" s="271" t="n"/>
      <c r="AR30" s="271" t="n"/>
      <c r="AS30" s="271" t="n"/>
      <c r="AT30" s="271" t="n"/>
    </row>
    <row r="31" ht="20.1" customHeight="1" thickBot="1">
      <c r="A31" s="38">
        <f>IFERROR(IF(config!E23="","",config!E23),"")</f>
        <v/>
      </c>
      <c r="B31" s="50">
        <f>IFERROR(IF(config!F23="","",config!F23),"")</f>
        <v/>
      </c>
      <c r="C31" s="95">
        <f>IFERROR(IF(config!G23="","",config!G23),"")</f>
        <v/>
      </c>
      <c r="D31" s="114">
        <f>COUNTIF(P31:AS31,"p")</f>
        <v/>
      </c>
      <c r="E31" s="28">
        <f>COUNTIF(P31:AS31,"PC")</f>
        <v/>
      </c>
      <c r="F31" s="28">
        <f>COUNTIF(P31:AS31,"f")</f>
        <v/>
      </c>
      <c r="G31" s="28">
        <f>COUNTIF(P31:AS31,"ast")</f>
        <v/>
      </c>
      <c r="H31" s="28">
        <f>COUNTIF(P31:AS31,"cA")</f>
        <v/>
      </c>
      <c r="I31" s="28">
        <f>COUNTIF(P31:AS31,"rtt")</f>
        <v/>
      </c>
      <c r="J31" s="28">
        <f>COUNTIF(P31:AS31,"cex")</f>
        <v/>
      </c>
      <c r="K31" s="28">
        <f>COUNTIF(P31:AS31,"res")</f>
        <v/>
      </c>
      <c r="L31" s="28">
        <f>COUNTIF(P31:AS31,"mA")</f>
        <v/>
      </c>
      <c r="M31" s="28">
        <f>COUNTIF(P31:AS31,"at")</f>
        <v/>
      </c>
      <c r="N31" s="28">
        <f>COUNTIF(P31:AS31,"TAD")</f>
        <v/>
      </c>
      <c r="O31" s="28">
        <f>COUNTIF(P31:AS31,"TP")</f>
        <v/>
      </c>
      <c r="P31" s="145" t="n"/>
      <c r="Q31" s="121" t="n"/>
      <c r="R31" s="121" t="n"/>
      <c r="S31" s="8" t="n"/>
      <c r="T31" s="8" t="n"/>
      <c r="U31" s="8" t="n"/>
      <c r="V31" s="8" t="n"/>
      <c r="W31" s="139" t="n"/>
      <c r="X31" s="121" t="n"/>
      <c r="Y31" s="121" t="n"/>
      <c r="Z31" s="8" t="n"/>
      <c r="AA31" s="8" t="n"/>
      <c r="AB31" s="8" t="n"/>
      <c r="AC31" s="139" t="n"/>
      <c r="AD31" s="8" t="n"/>
      <c r="AE31" s="121" t="n"/>
      <c r="AF31" s="121" t="n"/>
      <c r="AG31" s="8" t="n"/>
      <c r="AH31" s="8" t="n"/>
      <c r="AI31" s="8" t="n"/>
      <c r="AJ31" s="8" t="n"/>
      <c r="AK31" s="8" t="n"/>
      <c r="AL31" s="121" t="n"/>
      <c r="AM31" s="121" t="n"/>
      <c r="AN31" s="139" t="n"/>
      <c r="AO31" s="8" t="n"/>
      <c r="AP31" s="8" t="n"/>
      <c r="AQ31" s="8" t="n"/>
      <c r="AR31" s="8" t="n"/>
      <c r="AS31" s="121" t="n"/>
      <c r="AT31" s="152" t="n"/>
    </row>
    <row r="32" ht="20.1" customHeight="1" thickBot="1">
      <c r="A32" s="38">
        <f>IFERROR(IF(config!E24="","",config!E24),"")</f>
        <v/>
      </c>
      <c r="B32" s="50">
        <f>IFERROR(IF(config!F24="","",config!F24),"")</f>
        <v/>
      </c>
      <c r="C32" s="95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28">
        <f>COUNTIF(P32:AS32,"TP")</f>
        <v/>
      </c>
      <c r="P32" s="145" t="n"/>
      <c r="Q32" s="121" t="n"/>
      <c r="R32" s="121" t="n"/>
      <c r="S32" s="8" t="n"/>
      <c r="T32" s="8" t="n"/>
      <c r="U32" s="8" t="n"/>
      <c r="V32" s="8" t="n"/>
      <c r="W32" s="139" t="n"/>
      <c r="X32" s="121" t="n"/>
      <c r="Y32" s="121" t="n"/>
      <c r="Z32" s="8" t="n"/>
      <c r="AA32" s="8" t="n"/>
      <c r="AB32" s="8" t="n"/>
      <c r="AC32" s="139" t="n"/>
      <c r="AD32" s="8" t="n"/>
      <c r="AE32" s="121" t="n"/>
      <c r="AF32" s="121" t="n"/>
      <c r="AG32" s="8" t="n"/>
      <c r="AH32" s="8" t="n"/>
      <c r="AI32" s="8" t="n"/>
      <c r="AJ32" s="8" t="n"/>
      <c r="AK32" s="8" t="n"/>
      <c r="AL32" s="121" t="n"/>
      <c r="AM32" s="121" t="n"/>
      <c r="AN32" s="139" t="n"/>
      <c r="AO32" s="8" t="n"/>
      <c r="AP32" s="8" t="n"/>
      <c r="AQ32" s="8" t="n"/>
      <c r="AR32" s="8" t="n"/>
      <c r="AS32" s="121" t="n"/>
      <c r="AT32" s="152" t="n"/>
    </row>
    <row r="33" ht="20.1" customHeight="1" thickBot="1">
      <c r="A33" s="38">
        <f>IFERROR(IF(config!E25="","",config!E25),"")</f>
        <v/>
      </c>
      <c r="B33" s="50">
        <f>IFERROR(IF(config!F25="","",config!F25),"")</f>
        <v/>
      </c>
      <c r="C33" s="95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28">
        <f>COUNTIF(P33:AS33,"TP")</f>
        <v/>
      </c>
      <c r="P33" s="145" t="n"/>
      <c r="Q33" s="121" t="n"/>
      <c r="R33" s="121" t="n"/>
      <c r="S33" s="8" t="n"/>
      <c r="T33" s="8" t="n"/>
      <c r="U33" s="8" t="n"/>
      <c r="V33" s="8" t="n"/>
      <c r="W33" s="139" t="n"/>
      <c r="X33" s="121" t="n"/>
      <c r="Y33" s="121" t="n"/>
      <c r="Z33" s="8" t="n"/>
      <c r="AA33" s="8" t="n"/>
      <c r="AB33" s="8" t="n"/>
      <c r="AC33" s="139" t="n"/>
      <c r="AD33" s="8" t="n"/>
      <c r="AE33" s="121" t="n"/>
      <c r="AF33" s="121" t="n"/>
      <c r="AG33" s="8" t="n"/>
      <c r="AH33" s="8" t="n"/>
      <c r="AI33" s="8" t="n"/>
      <c r="AJ33" s="8" t="n"/>
      <c r="AK33" s="8" t="n"/>
      <c r="AL33" s="121" t="n"/>
      <c r="AM33" s="121" t="n"/>
      <c r="AN33" s="139" t="n"/>
      <c r="AO33" s="8" t="n"/>
      <c r="AP33" s="8" t="n"/>
      <c r="AQ33" s="8" t="n"/>
      <c r="AR33" s="8" t="n"/>
      <c r="AS33" s="121" t="n"/>
      <c r="AT33" s="152" t="n"/>
    </row>
    <row r="34" ht="20.1" customHeight="1" thickBot="1">
      <c r="A34" s="38">
        <f>IFERROR(IF(config!E26="","",config!E26),"")</f>
        <v/>
      </c>
      <c r="B34" s="50">
        <f>IFERROR(IF(config!F26="","",config!F26),"")</f>
        <v/>
      </c>
      <c r="C34" s="95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28">
        <f>COUNTIF(P34:AS34,"TP")</f>
        <v/>
      </c>
      <c r="P34" s="145" t="n"/>
      <c r="Q34" s="121" t="n"/>
      <c r="R34" s="121" t="n"/>
      <c r="S34" s="8" t="n"/>
      <c r="T34" s="8" t="n"/>
      <c r="U34" s="8" t="n"/>
      <c r="V34" s="8" t="n"/>
      <c r="W34" s="139" t="n"/>
      <c r="X34" s="121" t="n"/>
      <c r="Y34" s="121" t="n"/>
      <c r="Z34" s="8" t="n"/>
      <c r="AA34" s="8" t="n"/>
      <c r="AB34" s="8" t="n"/>
      <c r="AC34" s="139" t="n"/>
      <c r="AD34" s="8" t="n"/>
      <c r="AE34" s="121" t="n"/>
      <c r="AF34" s="121" t="n"/>
      <c r="AG34" s="8" t="n"/>
      <c r="AH34" s="8" t="n"/>
      <c r="AI34" s="8" t="n"/>
      <c r="AJ34" s="8" t="n"/>
      <c r="AK34" s="8" t="n"/>
      <c r="AL34" s="121" t="n"/>
      <c r="AM34" s="121" t="n"/>
      <c r="AN34" s="139" t="n"/>
      <c r="AO34" s="8" t="n"/>
      <c r="AP34" s="8" t="n"/>
      <c r="AQ34" s="8" t="n"/>
      <c r="AR34" s="8" t="n"/>
      <c r="AS34" s="121" t="n"/>
      <c r="AT34" s="152" t="n"/>
    </row>
    <row r="35" ht="20.1" customHeight="1" thickBot="1">
      <c r="A35" s="38">
        <f>IFERROR(IF(config!E27="","",config!E27),"")</f>
        <v/>
      </c>
      <c r="B35" s="50">
        <f>IFERROR(IF(config!F27="","",config!F27),"")</f>
        <v/>
      </c>
      <c r="C35" s="95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28">
        <f>COUNTIF(P35:AS35,"TP")</f>
        <v/>
      </c>
      <c r="P35" s="145" t="n"/>
      <c r="Q35" s="121" t="n"/>
      <c r="R35" s="121" t="n"/>
      <c r="S35" s="8" t="n"/>
      <c r="T35" s="8" t="n"/>
      <c r="U35" s="8" t="n"/>
      <c r="V35" s="8" t="n"/>
      <c r="W35" s="139" t="n"/>
      <c r="X35" s="121" t="n"/>
      <c r="Y35" s="121" t="n"/>
      <c r="Z35" s="8" t="n"/>
      <c r="AA35" s="8" t="n"/>
      <c r="AB35" s="8" t="n"/>
      <c r="AC35" s="139" t="n"/>
      <c r="AD35" s="8" t="n"/>
      <c r="AE35" s="121" t="n"/>
      <c r="AF35" s="121" t="n"/>
      <c r="AG35" s="8" t="n"/>
      <c r="AH35" s="8" t="n"/>
      <c r="AI35" s="8" t="n"/>
      <c r="AJ35" s="8" t="n"/>
      <c r="AK35" s="8" t="n"/>
      <c r="AL35" s="121" t="n"/>
      <c r="AM35" s="121" t="n"/>
      <c r="AN35" s="139" t="n"/>
      <c r="AO35" s="8" t="n"/>
      <c r="AP35" s="8" t="n"/>
      <c r="AQ35" s="8" t="n"/>
      <c r="AR35" s="8" t="n"/>
      <c r="AS35" s="121" t="n"/>
      <c r="AT35" s="152" t="n"/>
    </row>
    <row r="36" ht="20.1" customHeight="1" thickBot="1">
      <c r="A36" s="38">
        <f>IFERROR(IF(config!E28="","",config!E28),"")</f>
        <v/>
      </c>
      <c r="B36" s="50">
        <f>IFERROR(IF(config!F28="","",config!F28),"")</f>
        <v/>
      </c>
      <c r="C36" s="95">
        <f>IFERROR(IF(config!G28="","",config!G28),"")</f>
        <v/>
      </c>
      <c r="D36" s="114">
        <f>COUNTIF(P36:AS36,"p")</f>
        <v/>
      </c>
      <c r="E36" s="28">
        <f>COUNTIF(P36:AS36,"PC")</f>
        <v/>
      </c>
      <c r="F36" s="28">
        <f>COUNTIF(P36:AS36,"f")</f>
        <v/>
      </c>
      <c r="G36" s="28">
        <f>COUNTIF(P36:AS36,"ast")</f>
        <v/>
      </c>
      <c r="H36" s="28">
        <f>COUNTIF(P36:AS36,"cA")</f>
        <v/>
      </c>
      <c r="I36" s="28">
        <f>COUNTIF(P36:AS36,"rtt")</f>
        <v/>
      </c>
      <c r="J36" s="28">
        <f>COUNTIF(P36:AS36,"cex")</f>
        <v/>
      </c>
      <c r="K36" s="28">
        <f>COUNTIF(P36:AS36,"res")</f>
        <v/>
      </c>
      <c r="L36" s="28">
        <f>COUNTIF(P36:AS36,"mA")</f>
        <v/>
      </c>
      <c r="M36" s="28">
        <f>COUNTIF(P36:AS36,"at")</f>
        <v/>
      </c>
      <c r="N36" s="28">
        <f>COUNTIF(P36:AS36,"TAD")</f>
        <v/>
      </c>
      <c r="O36" s="28">
        <f>COUNTIF(P36:AS36,"TP")</f>
        <v/>
      </c>
      <c r="P36" s="145" t="n"/>
      <c r="Q36" s="121" t="n"/>
      <c r="R36" s="121" t="n"/>
      <c r="S36" s="8" t="n"/>
      <c r="T36" s="8" t="n"/>
      <c r="U36" s="8" t="n"/>
      <c r="V36" s="8" t="n"/>
      <c r="W36" s="139" t="n"/>
      <c r="X36" s="121" t="n"/>
      <c r="Y36" s="121" t="n"/>
      <c r="Z36" s="8" t="n"/>
      <c r="AA36" s="8" t="n"/>
      <c r="AB36" s="8" t="n"/>
      <c r="AC36" s="139" t="n"/>
      <c r="AD36" s="8" t="n"/>
      <c r="AE36" s="121" t="n"/>
      <c r="AF36" s="121" t="n"/>
      <c r="AG36" s="8" t="n"/>
      <c r="AH36" s="8" t="n"/>
      <c r="AI36" s="8" t="n"/>
      <c r="AJ36" s="8" t="n"/>
      <c r="AK36" s="8" t="n"/>
      <c r="AL36" s="121" t="n"/>
      <c r="AM36" s="121" t="n"/>
      <c r="AN36" s="139" t="n"/>
      <c r="AO36" s="8" t="n"/>
      <c r="AP36" s="8" t="n"/>
      <c r="AQ36" s="8" t="n"/>
      <c r="AR36" s="8" t="n"/>
      <c r="AS36" s="121" t="n"/>
      <c r="AT36" s="152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37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272">
        <f>IFERROR(IF(config!E31="","",config!E31),"")</f>
        <v/>
      </c>
      <c r="B39" s="273">
        <f>IFERROR(IF(config!F31="","",config!F31),"")</f>
        <v/>
      </c>
      <c r="C39" s="274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  <c r="AL39" s="121" t="n"/>
      <c r="AM39" s="121" t="n"/>
      <c r="AN39" s="121" t="n"/>
      <c r="AO39" s="121" t="n"/>
      <c r="AP39" s="121" t="n"/>
      <c r="AQ39" s="121" t="n"/>
      <c r="AR39" s="121" t="n"/>
      <c r="AS39" s="121" t="n"/>
      <c r="AT39" s="12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5" t="n"/>
      <c r="Q40" s="121" t="n"/>
      <c r="R40" s="121" t="n"/>
      <c r="S40" s="8" t="n"/>
      <c r="T40" s="8" t="n"/>
      <c r="U40" s="8" t="n"/>
      <c r="V40" s="8" t="n"/>
      <c r="W40" s="139" t="n"/>
      <c r="X40" s="121" t="n"/>
      <c r="Y40" s="121" t="n"/>
      <c r="Z40" s="8" t="n"/>
      <c r="AA40" s="8" t="n"/>
      <c r="AB40" s="8" t="n"/>
      <c r="AC40" s="139" t="n"/>
      <c r="AD40" s="8" t="n"/>
      <c r="AE40" s="121" t="n"/>
      <c r="AF40" s="121" t="n"/>
      <c r="AG40" s="8" t="n"/>
      <c r="AH40" s="8" t="n"/>
      <c r="AI40" s="8" t="n"/>
      <c r="AJ40" s="8" t="n"/>
      <c r="AK40" s="8" t="n"/>
      <c r="AL40" s="121" t="n"/>
      <c r="AM40" s="121" t="n"/>
      <c r="AN40" s="139" t="n"/>
      <c r="AO40" s="8" t="n"/>
      <c r="AP40" s="8" t="n"/>
      <c r="AQ40" s="8" t="n"/>
      <c r="AR40" s="8" t="n"/>
      <c r="AS40" s="121" t="n"/>
      <c r="AT40" s="152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5" t="n"/>
      <c r="Q41" s="121" t="n"/>
      <c r="R41" s="121" t="n"/>
      <c r="S41" s="8" t="n"/>
      <c r="T41" s="8" t="n"/>
      <c r="U41" s="8" t="n"/>
      <c r="V41" s="8" t="n"/>
      <c r="W41" s="139" t="n"/>
      <c r="X41" s="121" t="n"/>
      <c r="Y41" s="121" t="n"/>
      <c r="Z41" s="8" t="n"/>
      <c r="AA41" s="8" t="n"/>
      <c r="AB41" s="8" t="n"/>
      <c r="AC41" s="139" t="n"/>
      <c r="AD41" s="8" t="n"/>
      <c r="AE41" s="121" t="n"/>
      <c r="AF41" s="121" t="n"/>
      <c r="AG41" s="8" t="n"/>
      <c r="AH41" s="8" t="n"/>
      <c r="AI41" s="8" t="n"/>
      <c r="AJ41" s="8" t="n"/>
      <c r="AK41" s="8" t="n"/>
      <c r="AL41" s="121" t="n"/>
      <c r="AM41" s="121" t="n"/>
      <c r="AN41" s="139" t="n"/>
      <c r="AO41" s="8" t="n"/>
      <c r="AP41" s="8" t="n"/>
      <c r="AQ41" s="8" t="n"/>
      <c r="AR41" s="8" t="n"/>
      <c r="AS41" s="121" t="n"/>
      <c r="AT41" s="152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5" t="n"/>
      <c r="Q42" s="121" t="n"/>
      <c r="R42" s="121" t="n"/>
      <c r="S42" s="8" t="n"/>
      <c r="T42" s="8" t="n"/>
      <c r="U42" s="8" t="n"/>
      <c r="V42" s="8" t="n"/>
      <c r="W42" s="139" t="n"/>
      <c r="X42" s="121" t="n"/>
      <c r="Y42" s="121" t="n"/>
      <c r="Z42" s="8" t="n"/>
      <c r="AA42" s="8" t="n"/>
      <c r="AB42" s="8" t="n"/>
      <c r="AC42" s="139" t="n"/>
      <c r="AD42" s="8" t="n"/>
      <c r="AE42" s="121" t="n"/>
      <c r="AF42" s="121" t="n"/>
      <c r="AG42" s="8" t="n"/>
      <c r="AH42" s="8" t="n"/>
      <c r="AI42" s="8" t="n"/>
      <c r="AJ42" s="8" t="n"/>
      <c r="AK42" s="8" t="n"/>
      <c r="AL42" s="121" t="n"/>
      <c r="AM42" s="121" t="n"/>
      <c r="AN42" s="139" t="n"/>
      <c r="AO42" s="8" t="n"/>
      <c r="AP42" s="8" t="n"/>
      <c r="AQ42" s="8" t="n"/>
      <c r="AR42" s="8" t="n"/>
      <c r="AS42" s="121" t="n"/>
      <c r="AT42" s="152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5" t="n"/>
      <c r="Q43" s="121" t="n"/>
      <c r="R43" s="121" t="n"/>
      <c r="S43" s="8" t="n"/>
      <c r="T43" s="8" t="n"/>
      <c r="U43" s="8" t="n"/>
      <c r="V43" s="8" t="n"/>
      <c r="W43" s="139" t="n"/>
      <c r="X43" s="121" t="n"/>
      <c r="Y43" s="121" t="n"/>
      <c r="Z43" s="8" t="n"/>
      <c r="AA43" s="8" t="n"/>
      <c r="AB43" s="8" t="n"/>
      <c r="AC43" s="139" t="n"/>
      <c r="AD43" s="8" t="n"/>
      <c r="AE43" s="121" t="n"/>
      <c r="AF43" s="121" t="n"/>
      <c r="AG43" s="8" t="n"/>
      <c r="AH43" s="8" t="n"/>
      <c r="AI43" s="8" t="n"/>
      <c r="AJ43" s="8" t="n"/>
      <c r="AK43" s="8" t="n"/>
      <c r="AL43" s="121" t="n"/>
      <c r="AM43" s="121" t="n"/>
      <c r="AN43" s="139" t="n"/>
      <c r="AO43" s="8" t="n"/>
      <c r="AP43" s="8" t="n"/>
      <c r="AQ43" s="8" t="n"/>
      <c r="AR43" s="8" t="n"/>
      <c r="AS43" s="121" t="n"/>
      <c r="AT43" s="152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5" t="n"/>
      <c r="Q44" s="121" t="n"/>
      <c r="R44" s="121" t="n"/>
      <c r="S44" s="8" t="n"/>
      <c r="T44" s="8" t="n"/>
      <c r="U44" s="8" t="n"/>
      <c r="V44" s="8" t="n"/>
      <c r="W44" s="139" t="n"/>
      <c r="X44" s="121" t="n"/>
      <c r="Y44" s="121" t="n"/>
      <c r="Z44" s="8" t="n"/>
      <c r="AA44" s="8" t="n"/>
      <c r="AB44" s="8" t="n"/>
      <c r="AC44" s="139" t="n"/>
      <c r="AD44" s="8" t="n"/>
      <c r="AE44" s="121" t="n"/>
      <c r="AF44" s="121" t="n"/>
      <c r="AG44" s="8" t="n"/>
      <c r="AH44" s="8" t="n"/>
      <c r="AI44" s="8" t="n"/>
      <c r="AJ44" s="8" t="n"/>
      <c r="AK44" s="8" t="n"/>
      <c r="AL44" s="121" t="n"/>
      <c r="AM44" s="121" t="n"/>
      <c r="AN44" s="139" t="n"/>
      <c r="AO44" s="8" t="n"/>
      <c r="AP44" s="8" t="n"/>
      <c r="AQ44" s="8" t="n"/>
      <c r="AR44" s="8" t="n"/>
      <c r="AS44" s="121" t="n"/>
      <c r="AT44" s="152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5" t="n"/>
      <c r="Q45" s="121" t="n"/>
      <c r="R45" s="121" t="n"/>
      <c r="S45" s="8" t="n"/>
      <c r="T45" s="8" t="n"/>
      <c r="U45" s="8" t="n"/>
      <c r="V45" s="8" t="n"/>
      <c r="W45" s="139" t="n"/>
      <c r="X45" s="121" t="n"/>
      <c r="Y45" s="121" t="n"/>
      <c r="Z45" s="8" t="n"/>
      <c r="AA45" s="8" t="n"/>
      <c r="AB45" s="8" t="n"/>
      <c r="AC45" s="139" t="n"/>
      <c r="AD45" s="8" t="n"/>
      <c r="AE45" s="121" t="n"/>
      <c r="AF45" s="121" t="n"/>
      <c r="AG45" s="8" t="n"/>
      <c r="AH45" s="8" t="n"/>
      <c r="AI45" s="8" t="n"/>
      <c r="AJ45" s="8" t="n"/>
      <c r="AK45" s="8" t="n"/>
      <c r="AL45" s="121" t="n"/>
      <c r="AM45" s="121" t="n"/>
      <c r="AN45" s="139" t="n"/>
      <c r="AO45" s="8" t="n"/>
      <c r="AP45" s="8" t="n"/>
      <c r="AQ45" s="8" t="n"/>
      <c r="AR45" s="8" t="n"/>
      <c r="AS45" s="121" t="n"/>
      <c r="AT45" s="152" t="n"/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5" t="n"/>
      <c r="Q46" s="121" t="n"/>
      <c r="R46" s="121" t="n"/>
      <c r="S46" s="8" t="n"/>
      <c r="T46" s="8" t="n"/>
      <c r="U46" s="8" t="n"/>
      <c r="V46" s="8" t="n"/>
      <c r="W46" s="139" t="n"/>
      <c r="X46" s="121" t="n"/>
      <c r="Y46" s="121" t="n"/>
      <c r="Z46" s="8" t="n"/>
      <c r="AA46" s="8" t="n"/>
      <c r="AB46" s="8" t="n"/>
      <c r="AC46" s="139" t="n"/>
      <c r="AD46" s="8" t="n"/>
      <c r="AE46" s="121" t="n"/>
      <c r="AF46" s="121" t="n"/>
      <c r="AG46" s="8" t="n"/>
      <c r="AH46" s="8" t="n"/>
      <c r="AI46" s="8" t="n"/>
      <c r="AJ46" s="8" t="n"/>
      <c r="AK46" s="8" t="n"/>
      <c r="AL46" s="121" t="n"/>
      <c r="AM46" s="121" t="n"/>
      <c r="AN46" s="139" t="n"/>
      <c r="AO46" s="8" t="n"/>
      <c r="AP46" s="8" t="n"/>
      <c r="AQ46" s="8" t="n"/>
      <c r="AR46" s="8" t="n"/>
      <c r="AS46" s="121" t="n"/>
      <c r="AT46" s="152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5" t="n"/>
      <c r="Q47" s="121" t="n"/>
      <c r="R47" s="121" t="n"/>
      <c r="S47" s="8" t="n"/>
      <c r="T47" s="8" t="n"/>
      <c r="U47" s="8" t="n"/>
      <c r="V47" s="8" t="n"/>
      <c r="W47" s="139" t="n"/>
      <c r="X47" s="121" t="n"/>
      <c r="Y47" s="121" t="n"/>
      <c r="Z47" s="8" t="n"/>
      <c r="AA47" s="8" t="n"/>
      <c r="AB47" s="8" t="n"/>
      <c r="AC47" s="139" t="n"/>
      <c r="AD47" s="8" t="n"/>
      <c r="AE47" s="121" t="n"/>
      <c r="AF47" s="121" t="n"/>
      <c r="AG47" s="8" t="n"/>
      <c r="AH47" s="8" t="n"/>
      <c r="AI47" s="8" t="n"/>
      <c r="AJ47" s="8" t="n"/>
      <c r="AK47" s="8" t="n"/>
      <c r="AL47" s="121" t="n"/>
      <c r="AM47" s="121" t="n"/>
      <c r="AN47" s="139" t="n"/>
      <c r="AO47" s="8" t="n"/>
      <c r="AP47" s="8" t="n"/>
      <c r="AQ47" s="8" t="n"/>
      <c r="AR47" s="8" t="n"/>
      <c r="AS47" s="121" t="n"/>
      <c r="AT47" s="152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5" t="n"/>
      <c r="Q48" s="121" t="n"/>
      <c r="R48" s="121" t="n"/>
      <c r="S48" s="8" t="n"/>
      <c r="T48" s="8" t="n"/>
      <c r="U48" s="8" t="n"/>
      <c r="V48" s="8" t="n"/>
      <c r="W48" s="139" t="n"/>
      <c r="X48" s="121" t="n"/>
      <c r="Y48" s="121" t="n"/>
      <c r="Z48" s="8" t="n"/>
      <c r="AA48" s="8" t="n"/>
      <c r="AB48" s="8" t="n"/>
      <c r="AC48" s="139" t="n"/>
      <c r="AD48" s="8" t="n"/>
      <c r="AE48" s="121" t="n"/>
      <c r="AF48" s="121" t="n"/>
      <c r="AG48" s="8" t="n"/>
      <c r="AH48" s="8" t="n"/>
      <c r="AI48" s="8" t="n"/>
      <c r="AJ48" s="8" t="n"/>
      <c r="AK48" s="8" t="n"/>
      <c r="AL48" s="121" t="n"/>
      <c r="AM48" s="121" t="n"/>
      <c r="AN48" s="139" t="n"/>
      <c r="AO48" s="8" t="n"/>
      <c r="AP48" s="8" t="n"/>
      <c r="AQ48" s="8" t="n"/>
      <c r="AR48" s="8" t="n"/>
      <c r="AS48" s="121" t="n"/>
      <c r="AT48" s="152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45" t="n"/>
      <c r="Q49" s="121" t="n"/>
      <c r="R49" s="121" t="n"/>
      <c r="S49" s="8" t="n"/>
      <c r="T49" s="8" t="n"/>
      <c r="U49" s="8" t="n"/>
      <c r="V49" s="8" t="n"/>
      <c r="W49" s="139" t="n"/>
      <c r="X49" s="121" t="n"/>
      <c r="Y49" s="121" t="n"/>
      <c r="Z49" s="8" t="n"/>
      <c r="AA49" s="8" t="n"/>
      <c r="AB49" s="8" t="n"/>
      <c r="AC49" s="139" t="n"/>
      <c r="AD49" s="8" t="n"/>
      <c r="AE49" s="121" t="n"/>
      <c r="AF49" s="121" t="n"/>
      <c r="AG49" s="8" t="n"/>
      <c r="AH49" s="8" t="n"/>
      <c r="AI49" s="8" t="n"/>
      <c r="AJ49" s="8" t="n"/>
      <c r="AK49" s="8" t="n"/>
      <c r="AL49" s="121" t="n"/>
      <c r="AM49" s="121" t="n"/>
      <c r="AN49" s="139" t="n"/>
      <c r="AO49" s="8" t="n"/>
      <c r="AP49" s="8" t="n"/>
      <c r="AQ49" s="8" t="n"/>
      <c r="AR49" s="8" t="n"/>
      <c r="AS49" s="121" t="n"/>
      <c r="AT49" s="152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0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44" t="n"/>
      <c r="Q51" s="113" t="n"/>
      <c r="R51" s="113" t="n"/>
      <c r="S51" s="28" t="n"/>
      <c r="T51" s="28" t="n"/>
      <c r="U51" s="28" t="n"/>
      <c r="V51" s="28" t="n"/>
      <c r="W51" s="138" t="n"/>
      <c r="X51" s="227" t="n"/>
      <c r="Y51" s="227" t="n"/>
      <c r="Z51" s="28" t="n"/>
      <c r="AA51" s="28" t="n"/>
      <c r="AB51" s="28" t="n"/>
      <c r="AC51" s="138" t="n"/>
      <c r="AD51" s="150" t="n"/>
      <c r="AE51" s="227" t="n"/>
      <c r="AF51" s="227" t="n"/>
      <c r="AG51" s="28" t="n"/>
      <c r="AH51" s="28" t="n"/>
      <c r="AI51" s="28" t="n"/>
      <c r="AJ51" s="28" t="n"/>
      <c r="AK51" s="28" t="n"/>
      <c r="AL51" s="113" t="n"/>
      <c r="AM51" s="113" t="n"/>
      <c r="AN51" s="138" t="n"/>
      <c r="AO51" s="28" t="n"/>
      <c r="AP51" s="28" t="n"/>
      <c r="AQ51" s="28" t="n"/>
      <c r="AR51" s="28" t="n"/>
      <c r="AS51" s="113" t="n"/>
      <c r="AT51" s="151" t="n"/>
      <c r="AV51" s="15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5" t="n"/>
      <c r="Q52" s="121" t="n"/>
      <c r="R52" s="121" t="n"/>
      <c r="S52" s="8" t="n"/>
      <c r="T52" s="8" t="n"/>
      <c r="U52" s="8" t="n"/>
      <c r="V52" s="8" t="n"/>
      <c r="W52" s="139" t="n"/>
      <c r="X52" s="121" t="n"/>
      <c r="Y52" s="121" t="n"/>
      <c r="Z52" s="8" t="n"/>
      <c r="AA52" s="8" t="n"/>
      <c r="AB52" s="8" t="n"/>
      <c r="AC52" s="139" t="n"/>
      <c r="AD52" s="8" t="n"/>
      <c r="AE52" s="121" t="n"/>
      <c r="AF52" s="121" t="n"/>
      <c r="AG52" s="8" t="n"/>
      <c r="AH52" s="8" t="n"/>
      <c r="AI52" s="8" t="n"/>
      <c r="AJ52" s="8" t="n"/>
      <c r="AK52" s="8" t="n"/>
      <c r="AL52" s="121" t="n"/>
      <c r="AM52" s="121" t="n"/>
      <c r="AN52" s="139" t="n"/>
      <c r="AO52" s="8" t="n"/>
      <c r="AP52" s="8" t="n"/>
      <c r="AQ52" s="8" t="n"/>
      <c r="AR52" s="8" t="n"/>
      <c r="AS52" s="121" t="n"/>
      <c r="AT52" s="152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5" t="n"/>
      <c r="Q53" s="121" t="n"/>
      <c r="R53" s="121" t="n"/>
      <c r="S53" s="8" t="n"/>
      <c r="T53" s="8" t="n"/>
      <c r="U53" s="8" t="n"/>
      <c r="V53" s="8" t="n"/>
      <c r="W53" s="139" t="n"/>
      <c r="X53" s="121" t="n"/>
      <c r="Y53" s="121" t="n"/>
      <c r="Z53" s="8" t="n"/>
      <c r="AA53" s="8" t="n"/>
      <c r="AB53" s="8" t="n"/>
      <c r="AC53" s="139" t="n"/>
      <c r="AD53" s="8" t="n"/>
      <c r="AE53" s="121" t="n"/>
      <c r="AF53" s="121" t="n"/>
      <c r="AG53" s="8" t="n"/>
      <c r="AH53" s="8" t="n"/>
      <c r="AI53" s="8" t="n"/>
      <c r="AJ53" s="8" t="n"/>
      <c r="AK53" s="8" t="n"/>
      <c r="AL53" s="121" t="n"/>
      <c r="AM53" s="121" t="n"/>
      <c r="AN53" s="139" t="n"/>
      <c r="AO53" s="8" t="n"/>
      <c r="AP53" s="8" t="n"/>
      <c r="AQ53" s="8" t="n"/>
      <c r="AR53" s="8" t="n"/>
      <c r="AS53" s="121" t="n"/>
      <c r="AT53" s="152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5" t="n"/>
      <c r="Q54" s="121" t="n"/>
      <c r="R54" s="121" t="n"/>
      <c r="S54" s="8" t="n"/>
      <c r="T54" s="8" t="n"/>
      <c r="U54" s="8" t="n"/>
      <c r="V54" s="8" t="n"/>
      <c r="W54" s="139" t="n"/>
      <c r="X54" s="121" t="n"/>
      <c r="Y54" s="121" t="n"/>
      <c r="Z54" s="8" t="n"/>
      <c r="AA54" s="8" t="n"/>
      <c r="AB54" s="8" t="n"/>
      <c r="AC54" s="139" t="n"/>
      <c r="AD54" s="8" t="n"/>
      <c r="AE54" s="121" t="n"/>
      <c r="AF54" s="121" t="n"/>
      <c r="AG54" s="8" t="n"/>
      <c r="AH54" s="8" t="n"/>
      <c r="AI54" s="8" t="n"/>
      <c r="AJ54" s="8" t="n"/>
      <c r="AK54" s="8" t="n"/>
      <c r="AL54" s="121" t="n"/>
      <c r="AM54" s="121" t="n"/>
      <c r="AN54" s="139" t="n"/>
      <c r="AO54" s="8" t="n"/>
      <c r="AP54" s="8" t="n"/>
      <c r="AQ54" s="8" t="n"/>
      <c r="AR54" s="8" t="n"/>
      <c r="AS54" s="121" t="n"/>
      <c r="AT54" s="152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5" t="n"/>
      <c r="Q55" s="121" t="n"/>
      <c r="R55" s="121" t="n"/>
      <c r="S55" s="8" t="n"/>
      <c r="T55" s="8" t="n"/>
      <c r="U55" s="8" t="n"/>
      <c r="V55" s="8" t="n"/>
      <c r="W55" s="139" t="n"/>
      <c r="X55" s="121" t="n"/>
      <c r="Y55" s="121" t="n"/>
      <c r="Z55" s="8" t="n"/>
      <c r="AA55" s="8" t="n"/>
      <c r="AB55" s="8" t="n"/>
      <c r="AC55" s="139" t="n"/>
      <c r="AD55" s="8" t="n"/>
      <c r="AE55" s="121" t="n"/>
      <c r="AF55" s="121" t="n"/>
      <c r="AG55" s="8" t="n"/>
      <c r="AH55" s="8" t="n"/>
      <c r="AI55" s="8" t="n"/>
      <c r="AJ55" s="8" t="n"/>
      <c r="AK55" s="8" t="n"/>
      <c r="AL55" s="121" t="n"/>
      <c r="AM55" s="121" t="n"/>
      <c r="AN55" s="139" t="n"/>
      <c r="AO55" s="8" t="n"/>
      <c r="AP55" s="8" t="n"/>
      <c r="AQ55" s="8" t="n"/>
      <c r="AR55" s="8" t="n"/>
      <c r="AS55" s="121" t="n"/>
      <c r="AT55" s="152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5" t="n"/>
      <c r="Q56" s="121" t="n"/>
      <c r="R56" s="121" t="n"/>
      <c r="S56" s="8" t="n"/>
      <c r="T56" s="8" t="n"/>
      <c r="U56" s="8" t="n"/>
      <c r="V56" s="8" t="n"/>
      <c r="W56" s="139" t="n"/>
      <c r="X56" s="121" t="n"/>
      <c r="Y56" s="121" t="n"/>
      <c r="Z56" s="8" t="n"/>
      <c r="AA56" s="8" t="n"/>
      <c r="AB56" s="8" t="n"/>
      <c r="AC56" s="139" t="n"/>
      <c r="AD56" s="8" t="n"/>
      <c r="AE56" s="121" t="n"/>
      <c r="AF56" s="121" t="n"/>
      <c r="AG56" s="8" t="n"/>
      <c r="AH56" s="8" t="n"/>
      <c r="AI56" s="8" t="n"/>
      <c r="AJ56" s="8" t="n"/>
      <c r="AK56" s="8" t="n"/>
      <c r="AL56" s="121" t="n"/>
      <c r="AM56" s="121" t="n"/>
      <c r="AN56" s="139" t="n"/>
      <c r="AO56" s="8" t="n"/>
      <c r="AP56" s="8" t="n"/>
      <c r="AQ56" s="8" t="n"/>
      <c r="AR56" s="8" t="n"/>
      <c r="AS56" s="121" t="n"/>
      <c r="AT56" s="152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5" t="n"/>
      <c r="Q57" s="121" t="n"/>
      <c r="R57" s="121" t="n"/>
      <c r="S57" s="8" t="n"/>
      <c r="T57" s="8" t="n"/>
      <c r="U57" s="8" t="n"/>
      <c r="V57" s="8" t="n"/>
      <c r="W57" s="139" t="n"/>
      <c r="X57" s="121" t="n"/>
      <c r="Y57" s="121" t="n"/>
      <c r="Z57" s="8" t="n"/>
      <c r="AA57" s="8" t="n"/>
      <c r="AB57" s="8" t="n"/>
      <c r="AC57" s="139" t="n"/>
      <c r="AD57" s="8" t="n"/>
      <c r="AE57" s="121" t="n"/>
      <c r="AF57" s="121" t="n"/>
      <c r="AG57" s="8" t="n"/>
      <c r="AH57" s="8" t="n"/>
      <c r="AI57" s="8" t="n"/>
      <c r="AJ57" s="8" t="n"/>
      <c r="AK57" s="8" t="n"/>
      <c r="AL57" s="121" t="n"/>
      <c r="AM57" s="121" t="n"/>
      <c r="AN57" s="139" t="n"/>
      <c r="AO57" s="8" t="n"/>
      <c r="AP57" s="8" t="n"/>
      <c r="AQ57" s="8" t="n"/>
      <c r="AR57" s="8" t="n"/>
      <c r="AS57" s="121" t="n"/>
      <c r="AT57" s="152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5" t="n"/>
      <c r="Q58" s="121" t="n"/>
      <c r="R58" s="121" t="n"/>
      <c r="S58" s="8" t="n"/>
      <c r="T58" s="8" t="n"/>
      <c r="U58" s="8" t="n"/>
      <c r="V58" s="8" t="n"/>
      <c r="W58" s="139" t="n"/>
      <c r="X58" s="121" t="n"/>
      <c r="Y58" s="121" t="n"/>
      <c r="Z58" s="8" t="n"/>
      <c r="AA58" s="8" t="n"/>
      <c r="AB58" s="8" t="n"/>
      <c r="AC58" s="139" t="n"/>
      <c r="AD58" s="8" t="n"/>
      <c r="AE58" s="121" t="n"/>
      <c r="AF58" s="121" t="n"/>
      <c r="AG58" s="8" t="n"/>
      <c r="AH58" s="8" t="n"/>
      <c r="AI58" s="8" t="n"/>
      <c r="AJ58" s="8" t="n"/>
      <c r="AK58" s="8" t="n"/>
      <c r="AL58" s="121" t="n"/>
      <c r="AM58" s="121" t="n"/>
      <c r="AN58" s="139" t="n"/>
      <c r="AO58" s="8" t="n"/>
      <c r="AP58" s="8" t="n"/>
      <c r="AQ58" s="8" t="n"/>
      <c r="AR58" s="8" t="n"/>
      <c r="AS58" s="121" t="n"/>
      <c r="AT58" s="152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5" t="n"/>
      <c r="Q59" s="121" t="n"/>
      <c r="R59" s="121" t="n"/>
      <c r="S59" s="8" t="n"/>
      <c r="T59" s="8" t="n"/>
      <c r="U59" s="8" t="n"/>
      <c r="V59" s="8" t="n"/>
      <c r="W59" s="139" t="n"/>
      <c r="X59" s="121" t="n"/>
      <c r="Y59" s="121" t="n"/>
      <c r="Z59" s="8" t="n"/>
      <c r="AA59" s="8" t="n"/>
      <c r="AB59" s="8" t="n"/>
      <c r="AC59" s="139" t="n"/>
      <c r="AD59" s="8" t="n"/>
      <c r="AE59" s="121" t="n"/>
      <c r="AF59" s="121" t="n"/>
      <c r="AG59" s="8" t="n"/>
      <c r="AH59" s="8" t="n"/>
      <c r="AI59" s="8" t="n"/>
      <c r="AJ59" s="8" t="n"/>
      <c r="AK59" s="8" t="n"/>
      <c r="AL59" s="121" t="n"/>
      <c r="AM59" s="121" t="n"/>
      <c r="AN59" s="139" t="n"/>
      <c r="AO59" s="8" t="n"/>
      <c r="AP59" s="8" t="n"/>
      <c r="AQ59" s="8" t="n"/>
      <c r="AR59" s="8" t="n"/>
      <c r="AS59" s="121" t="n"/>
      <c r="AT59" s="152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5" t="n"/>
      <c r="Q60" s="121" t="n"/>
      <c r="R60" s="121" t="n"/>
      <c r="S60" s="8" t="n"/>
      <c r="T60" s="8" t="n"/>
      <c r="U60" s="8" t="n"/>
      <c r="V60" s="8" t="n"/>
      <c r="W60" s="139" t="n"/>
      <c r="X60" s="121" t="n"/>
      <c r="Y60" s="121" t="n"/>
      <c r="Z60" s="8" t="n"/>
      <c r="AA60" s="8" t="n"/>
      <c r="AB60" s="8" t="n"/>
      <c r="AC60" s="139" t="n"/>
      <c r="AD60" s="8" t="n"/>
      <c r="AE60" s="121" t="n"/>
      <c r="AF60" s="121" t="n"/>
      <c r="AG60" s="8" t="n"/>
      <c r="AH60" s="8" t="n"/>
      <c r="AI60" s="8" t="n"/>
      <c r="AJ60" s="8" t="n"/>
      <c r="AK60" s="8" t="n"/>
      <c r="AL60" s="121" t="n"/>
      <c r="AM60" s="121" t="n"/>
      <c r="AN60" s="139" t="n"/>
      <c r="AO60" s="8" t="n"/>
      <c r="AP60" s="8" t="n"/>
      <c r="AQ60" s="8" t="n"/>
      <c r="AR60" s="8" t="n"/>
      <c r="AS60" s="121" t="n"/>
      <c r="AT60" s="152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5" t="n"/>
      <c r="Q61" s="121" t="n"/>
      <c r="R61" s="121" t="n"/>
      <c r="S61" s="8" t="n"/>
      <c r="T61" s="8" t="n"/>
      <c r="U61" s="8" t="n"/>
      <c r="V61" s="8" t="n"/>
      <c r="W61" s="139" t="n"/>
      <c r="X61" s="121" t="n"/>
      <c r="Y61" s="121" t="n"/>
      <c r="Z61" s="8" t="n"/>
      <c r="AA61" s="8" t="n"/>
      <c r="AB61" s="8" t="n"/>
      <c r="AC61" s="139" t="n"/>
      <c r="AD61" s="8" t="n"/>
      <c r="AE61" s="121" t="n"/>
      <c r="AF61" s="121" t="n"/>
      <c r="AG61" s="8" t="n"/>
      <c r="AH61" s="8" t="n"/>
      <c r="AI61" s="8" t="n"/>
      <c r="AJ61" s="8" t="n"/>
      <c r="AK61" s="8" t="n"/>
      <c r="AL61" s="121" t="n"/>
      <c r="AM61" s="121" t="n"/>
      <c r="AN61" s="139" t="n"/>
      <c r="AO61" s="8" t="n"/>
      <c r="AP61" s="8" t="n"/>
      <c r="AQ61" s="8" t="n"/>
      <c r="AR61" s="8" t="n"/>
      <c r="AS61" s="121" t="n"/>
      <c r="AT61" s="152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46" t="n"/>
      <c r="Q62" s="122" t="n"/>
      <c r="R62" s="122" t="n"/>
      <c r="S62" s="29" t="n"/>
      <c r="T62" s="29" t="n"/>
      <c r="U62" s="29" t="n"/>
      <c r="V62" s="29" t="n"/>
      <c r="W62" s="140" t="n"/>
      <c r="X62" s="122" t="n"/>
      <c r="Y62" s="122" t="n"/>
      <c r="Z62" s="29" t="n"/>
      <c r="AA62" s="29" t="n"/>
      <c r="AB62" s="29" t="n"/>
      <c r="AC62" s="140" t="n"/>
      <c r="AD62" s="29" t="n"/>
      <c r="AE62" s="122" t="n"/>
      <c r="AF62" s="122" t="n"/>
      <c r="AG62" s="29" t="n"/>
      <c r="AH62" s="29" t="n"/>
      <c r="AI62" s="29" t="n"/>
      <c r="AJ62" s="29" t="n"/>
      <c r="AK62" s="29" t="n"/>
      <c r="AL62" s="122" t="n"/>
      <c r="AM62" s="122" t="n"/>
      <c r="AN62" s="140" t="n"/>
      <c r="AO62" s="29" t="n"/>
      <c r="AP62" s="29" t="n"/>
      <c r="AQ62" s="29" t="n"/>
      <c r="AR62" s="29" t="n"/>
      <c r="AS62" s="122" t="n"/>
      <c r="AT62" s="153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42">
        <f>COUNTIF(P64:AS64,"TP")</f>
        <v/>
      </c>
      <c r="P64" s="275" t="n"/>
      <c r="Q64" s="113" t="n"/>
      <c r="R64" s="113" t="n"/>
      <c r="S64" s="28" t="n"/>
      <c r="T64" s="28" t="n"/>
      <c r="U64" s="28" t="n"/>
      <c r="V64" s="28" t="n"/>
      <c r="W64" s="138" t="n"/>
      <c r="X64" s="113" t="n"/>
      <c r="Y64" s="113" t="n"/>
      <c r="Z64" s="28" t="n"/>
      <c r="AA64" s="28" t="n"/>
      <c r="AB64" s="28" t="n"/>
      <c r="AC64" s="138" t="n"/>
      <c r="AD64" s="28" t="n"/>
      <c r="AE64" s="113" t="n"/>
      <c r="AF64" s="113" t="n"/>
      <c r="AG64" s="28" t="n"/>
      <c r="AH64" s="28" t="n"/>
      <c r="AI64" s="28" t="n"/>
      <c r="AJ64" s="28" t="n"/>
      <c r="AK64" s="28" t="n"/>
      <c r="AL64" s="113" t="n"/>
      <c r="AM64" s="113" t="n"/>
      <c r="AN64" s="138" t="n"/>
      <c r="AO64" s="28" t="n"/>
      <c r="AP64" s="28" t="n"/>
      <c r="AQ64" s="28" t="n"/>
      <c r="AR64" s="28" t="n"/>
      <c r="AS64" s="113" t="n"/>
      <c r="AT64" s="151" t="n"/>
      <c r="AV64" s="15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42">
        <f>COUNTIF(P65:AS65,"TP")</f>
        <v/>
      </c>
      <c r="P65" s="276" t="n"/>
      <c r="Q65" s="121" t="n"/>
      <c r="R65" s="121" t="n"/>
      <c r="S65" s="8" t="n"/>
      <c r="T65" s="8" t="n"/>
      <c r="U65" s="8" t="n"/>
      <c r="V65" s="8" t="n"/>
      <c r="W65" s="139" t="n"/>
      <c r="X65" s="121" t="n"/>
      <c r="Y65" s="121" t="n"/>
      <c r="Z65" s="8" t="n"/>
      <c r="AA65" s="8" t="n"/>
      <c r="AB65" s="8" t="n"/>
      <c r="AC65" s="139" t="n"/>
      <c r="AD65" s="8" t="n"/>
      <c r="AE65" s="121" t="n"/>
      <c r="AF65" s="121" t="n"/>
      <c r="AG65" s="8" t="n"/>
      <c r="AH65" s="8" t="n"/>
      <c r="AI65" s="8" t="n"/>
      <c r="AJ65" s="8" t="n"/>
      <c r="AK65" s="8" t="n"/>
      <c r="AL65" s="121" t="n"/>
      <c r="AM65" s="121" t="n"/>
      <c r="AN65" s="139" t="n"/>
      <c r="AO65" s="8" t="n"/>
      <c r="AP65" s="8" t="n"/>
      <c r="AQ65" s="8" t="n"/>
      <c r="AR65" s="8" t="n"/>
      <c r="AS65" s="121" t="n"/>
      <c r="AT65" s="152" t="n"/>
      <c r="AV65" s="27">
        <f>COUNTIF(P64:AS73,"P")</f>
        <v/>
      </c>
      <c r="AW65" s="27">
        <f>COUNTIF(P64:AS73,"PC")</f>
        <v/>
      </c>
      <c r="AX65" s="27">
        <f>COUNTIF(P64:AS73,"F")</f>
        <v/>
      </c>
      <c r="AY65" s="27">
        <f>COUNTIF(P64:AS73,"AST")</f>
        <v/>
      </c>
      <c r="AZ65" s="27">
        <f>COUNTIF(P64:AS73,"Ca")</f>
        <v/>
      </c>
      <c r="BA65" s="27">
        <f>COUNTIF(P64:AS73,"RTT")</f>
        <v/>
      </c>
      <c r="BB65" s="27">
        <f>COUNTIF(P64:AS73,"CEX")</f>
        <v/>
      </c>
      <c r="BC65" s="27">
        <f>COUNTIF(P64:AS73,"RES")</f>
        <v/>
      </c>
      <c r="BD65" s="27">
        <f>COUNTIF(P64:AS73,"MA")</f>
        <v/>
      </c>
      <c r="BE65" s="27">
        <f>COUNTIF(P64:AS73,"AT")</f>
        <v/>
      </c>
      <c r="BF65" s="27">
        <f>COUNTIF(P64:AS73,"TP")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42">
        <f>COUNTIF(P66:AS66,"TP")</f>
        <v/>
      </c>
      <c r="P66" s="276" t="n"/>
      <c r="Q66" s="121" t="n"/>
      <c r="R66" s="121" t="n"/>
      <c r="S66" s="8" t="n"/>
      <c r="T66" s="8" t="n"/>
      <c r="U66" s="8" t="n"/>
      <c r="V66" s="8" t="n"/>
      <c r="W66" s="139" t="n"/>
      <c r="X66" s="121" t="n"/>
      <c r="Y66" s="121" t="n"/>
      <c r="Z66" s="8" t="n"/>
      <c r="AA66" s="8" t="n"/>
      <c r="AB66" s="8" t="n"/>
      <c r="AC66" s="139" t="n"/>
      <c r="AD66" s="8" t="n"/>
      <c r="AE66" s="121" t="n"/>
      <c r="AF66" s="121" t="n"/>
      <c r="AG66" s="8" t="n"/>
      <c r="AH66" s="8" t="n"/>
      <c r="AI66" s="8" t="n"/>
      <c r="AJ66" s="8" t="n"/>
      <c r="AK66" s="8" t="n"/>
      <c r="AL66" s="121" t="n"/>
      <c r="AM66" s="121" t="n"/>
      <c r="AN66" s="139" t="n"/>
      <c r="AO66" s="8" t="n"/>
      <c r="AP66" s="8" t="n"/>
      <c r="AQ66" s="8" t="n"/>
      <c r="AR66" s="8" t="n"/>
      <c r="AS66" s="121" t="n"/>
      <c r="AT66" s="152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COUNTIF(P67:AS67,"p")</f>
        <v/>
      </c>
      <c r="E67" s="116">
        <f>COUNTIF(P67:AS67,"PC")</f>
        <v/>
      </c>
      <c r="F67" s="116">
        <f>COUNTIF(P67:AS67,"f")</f>
        <v/>
      </c>
      <c r="G67" s="116">
        <f>COUNTIF(P67:AS67,"ast")</f>
        <v/>
      </c>
      <c r="H67" s="116">
        <f>COUNTIF(P67:AS67,"cA")</f>
        <v/>
      </c>
      <c r="I67" s="116">
        <f>COUNTIF(P67:AS67,"rtt")</f>
        <v/>
      </c>
      <c r="J67" s="116">
        <f>COUNTIF(P67:AS67,"cex")</f>
        <v/>
      </c>
      <c r="K67" s="116">
        <f>COUNTIF(P67:AS67,"res")</f>
        <v/>
      </c>
      <c r="L67" s="116">
        <f>COUNTIF(P67:AS67,"mA")</f>
        <v/>
      </c>
      <c r="M67" s="116">
        <f>COUNTIF(P67:AS67,"at")</f>
        <v/>
      </c>
      <c r="N67" s="116">
        <f>COUNTIF(P67:AS67,"TAD")</f>
        <v/>
      </c>
      <c r="O67" s="277">
        <f>COUNTIF(P67:AS67,"TP")</f>
        <v/>
      </c>
      <c r="P67" s="276" t="n"/>
      <c r="Q67" s="121" t="n"/>
      <c r="R67" s="121" t="n"/>
      <c r="S67" s="8" t="n"/>
      <c r="T67" s="8" t="n"/>
      <c r="U67" s="8" t="n"/>
      <c r="V67" s="8" t="n"/>
      <c r="W67" s="139" t="n"/>
      <c r="X67" s="121" t="n"/>
      <c r="Y67" s="121" t="n"/>
      <c r="Z67" s="8" t="n"/>
      <c r="AA67" s="8" t="n"/>
      <c r="AB67" s="8" t="n"/>
      <c r="AC67" s="139" t="n"/>
      <c r="AD67" s="8" t="n"/>
      <c r="AE67" s="121" t="n"/>
      <c r="AF67" s="121" t="n"/>
      <c r="AG67" s="8" t="n"/>
      <c r="AH67" s="8" t="n"/>
      <c r="AI67" s="8" t="n"/>
      <c r="AJ67" s="8" t="n"/>
      <c r="AK67" s="8" t="n"/>
      <c r="AL67" s="121" t="n"/>
      <c r="AM67" s="121" t="n"/>
      <c r="AN67" s="139" t="n"/>
      <c r="AO67" s="8" t="n"/>
      <c r="AP67" s="8" t="n"/>
      <c r="AQ67" s="8" t="n"/>
      <c r="AR67" s="8" t="n"/>
      <c r="AS67" s="121" t="n"/>
      <c r="AT67" s="152" t="n"/>
    </row>
    <row r="76">
      <c r="T76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49" operator="equal" dxfId="55">
      <formula>"repos"</formula>
    </cfRule>
    <cfRule type="cellIs" priority="50" operator="equal" dxfId="53">
      <formula>"permanence"</formula>
    </cfRule>
    <cfRule type="cellIs" priority="51" operator="equal" dxfId="53">
      <formula>"dimanche"</formula>
    </cfRule>
    <cfRule type="cellIs" priority="52" operator="equal" dxfId="52">
      <formula>"formation"</formula>
    </cfRule>
    <cfRule type="cellIs" priority="53" operator="equal" dxfId="6">
      <formula>"conges exc"</formula>
    </cfRule>
    <cfRule type="cellIs" priority="54" operator="equal" dxfId="4">
      <formula>"conges"</formula>
    </cfRule>
    <cfRule type="cellIs" priority="55" operator="equal" dxfId="5">
      <formula>"asa"</formula>
    </cfRule>
    <cfRule type="cellIs" priority="56" operator="equal" dxfId="8">
      <formula>"maladie / at"</formula>
    </cfRule>
    <cfRule type="cellIs" priority="57" operator="equal" dxfId="0">
      <formula>"presence"</formula>
    </cfRule>
  </conditionalFormatting>
  <conditionalFormatting sqref="D11:O20 D23:O24 D26:O29 D31:O36 D39:O49 D51:O62 D64:O67">
    <cfRule type="cellIs" priority="58" operator="equal" dxfId="46">
      <formula>0</formula>
    </cfRule>
  </conditionalFormatting>
  <conditionalFormatting sqref="P9:AT9">
    <cfRule type="expression" priority="60" dxfId="44">
      <formula>OR(P$9=1, P$9=7)</formula>
    </cfRule>
  </conditionalFormatting>
  <conditionalFormatting sqref="P9:AT10">
    <cfRule type="expression" priority="59" dxfId="44">
      <formula>OR(P$9=1,P$9=7)</formula>
    </cfRule>
  </conditionalFormatting>
  <conditionalFormatting sqref="P11:AT20 P26:AT29 P31:AT36 P51:AT62">
    <cfRule type="containsText" priority="37" operator="containsText" dxfId="10" text="TP">
      <formula>NOT(ISERROR(SEARCH("TP",P11)))</formula>
    </cfRule>
    <cfRule type="containsText" priority="38" operator="containsText" text="TAD">
      <formula>NOT(ISERROR(SEARCH("TAD",P11)))</formula>
    </cfRule>
    <cfRule type="containsText" priority="39" operator="containsText" dxfId="9" text="AT">
      <formula>NOT(ISERROR(SEARCH("AT",P11)))</formula>
    </cfRule>
    <cfRule type="containsText" priority="40" operator="containsText" dxfId="8" text="MA">
      <formula>NOT(ISERROR(SEARCH("MA",P11)))</formula>
    </cfRule>
    <cfRule type="containsText" priority="41" operator="containsText" dxfId="7" text="RES">
      <formula>NOT(ISERROR(SEARCH("RES",P11)))</formula>
    </cfRule>
    <cfRule type="containsText" priority="42" operator="containsText" dxfId="6" text="CEX">
      <formula>NOT(ISERROR(SEARCH("CEX",P11)))</formula>
    </cfRule>
    <cfRule type="containsText" priority="43" operator="containsText" dxfId="5" text="RTT">
      <formula>NOT(ISERROR(SEARCH("RTT",P11)))</formula>
    </cfRule>
    <cfRule type="beginsWith" priority="44" operator="beginsWith" dxfId="4" text="CA">
      <formula>LEFT(P11,LEN("CA"))="CA"</formula>
    </cfRule>
    <cfRule type="containsText" priority="45" operator="containsText" dxfId="3" text="AST">
      <formula>NOT(ISERROR(SEARCH("AST",P11)))</formula>
    </cfRule>
    <cfRule type="containsText" priority="46" operator="containsText" dxfId="2" text="F">
      <formula>NOT(ISERROR(SEARCH("F",P11)))</formula>
    </cfRule>
    <cfRule type="containsText" priority="47" operator="containsText" dxfId="1" text="PC">
      <formula>NOT(ISERROR(SEARCH("PC",P11)))</formula>
    </cfRule>
    <cfRule type="containsText" priority="48" operator="containsText" dxfId="0" text="P">
      <formula>NOT(ISERROR(SEARCH("P",P11)))</formula>
    </cfRule>
  </conditionalFormatting>
  <conditionalFormatting sqref="P23:AT24">
    <cfRule type="containsText" priority="25" operator="containsText" dxfId="10" text="TP">
      <formula>NOT(ISERROR(SEARCH("TP",P23)))</formula>
    </cfRule>
    <cfRule type="containsText" priority="26" operator="containsText" text="TAD">
      <formula>NOT(ISERROR(SEARCH("TAD",P23)))</formula>
    </cfRule>
    <cfRule type="containsText" priority="27" operator="containsText" dxfId="9" text="AT">
      <formula>NOT(ISERROR(SEARCH("AT",P23)))</formula>
    </cfRule>
    <cfRule type="containsText" priority="28" operator="containsText" dxfId="8" text="MA">
      <formula>NOT(ISERROR(SEARCH("MA",P23)))</formula>
    </cfRule>
    <cfRule type="containsText" priority="29" operator="containsText" dxfId="7" text="RES">
      <formula>NOT(ISERROR(SEARCH("RES",P23)))</formula>
    </cfRule>
    <cfRule type="containsText" priority="30" operator="containsText" dxfId="6" text="CEX">
      <formula>NOT(ISERROR(SEARCH("CEX",P23)))</formula>
    </cfRule>
    <cfRule type="containsText" priority="31" operator="containsText" dxfId="5" text="RTT">
      <formula>NOT(ISERROR(SEARCH("RTT",P23)))</formula>
    </cfRule>
    <cfRule type="beginsWith" priority="32" operator="beginsWith" dxfId="4" text="CA">
      <formula>LEFT(P23,LEN("CA"))="CA"</formula>
    </cfRule>
    <cfRule type="containsText" priority="33" operator="containsText" dxfId="3" text="AST">
      <formula>NOT(ISERROR(SEARCH("AST",P23)))</formula>
    </cfRule>
    <cfRule type="containsText" priority="34" operator="containsText" dxfId="2" text="F">
      <formula>NOT(ISERROR(SEARCH("F",P23)))</formula>
    </cfRule>
    <cfRule type="containsText" priority="35" operator="containsText" dxfId="1" text="PC">
      <formula>NOT(ISERROR(SEARCH("PC",P23)))</formula>
    </cfRule>
    <cfRule type="containsText" priority="36" operator="containsText" dxfId="0" text="P">
      <formula>NOT(ISERROR(SEARCH("P",P23)))</formula>
    </cfRule>
  </conditionalFormatting>
  <conditionalFormatting sqref="P39:AT49">
    <cfRule type="containsText" priority="13" operator="containsText" dxfId="10" text="TP">
      <formula>NOT(ISERROR(SEARCH("TP",P39)))</formula>
    </cfRule>
    <cfRule type="containsText" priority="14" operator="containsText" text="TAD">
      <formula>NOT(ISERROR(SEARCH("TAD",P39)))</formula>
    </cfRule>
    <cfRule type="containsText" priority="15" operator="containsText" dxfId="9" text="AT">
      <formula>NOT(ISERROR(SEARCH("AT",P39)))</formula>
    </cfRule>
    <cfRule type="containsText" priority="16" operator="containsText" dxfId="8" text="MA">
      <formula>NOT(ISERROR(SEARCH("MA",P39)))</formula>
    </cfRule>
    <cfRule type="containsText" priority="17" operator="containsText" dxfId="7" text="RES">
      <formula>NOT(ISERROR(SEARCH("RES",P39)))</formula>
    </cfRule>
    <cfRule type="containsText" priority="18" operator="containsText" dxfId="6" text="CEX">
      <formula>NOT(ISERROR(SEARCH("CEX",P39)))</formula>
    </cfRule>
    <cfRule type="containsText" priority="19" operator="containsText" dxfId="5" text="RTT">
      <formula>NOT(ISERROR(SEARCH("RTT",P39)))</formula>
    </cfRule>
    <cfRule type="beginsWith" priority="20" operator="beginsWith" dxfId="4" text="CA">
      <formula>LEFT(P39,LEN("CA"))="CA"</formula>
    </cfRule>
    <cfRule type="containsText" priority="21" operator="containsText" dxfId="3" text="AST">
      <formula>NOT(ISERROR(SEARCH("AST",P39)))</formula>
    </cfRule>
    <cfRule type="containsText" priority="22" operator="containsText" dxfId="2" text="F">
      <formula>NOT(ISERROR(SEARCH("F",P39)))</formula>
    </cfRule>
    <cfRule type="containsText" priority="23" operator="containsText" dxfId="1" text="PC">
      <formula>NOT(ISERROR(SEARCH("PC",P39)))</formula>
    </cfRule>
    <cfRule type="containsText" priority="24" operator="containsText" dxfId="0" text="P">
      <formula>NOT(ISERROR(SEARCH("P",P39)))</formula>
    </cfRule>
  </conditionalFormatting>
  <conditionalFormatting sqref="P64:AT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6" showDropDown="0" showInputMessage="1" showErrorMessage="1" allowBlank="1" type="list">
      <formula1>$D$9:$O$9</formula1>
    </dataValidation>
    <dataValidation sqref="P11:AT20 P23:AT24 P26:AT29 P31:AT36 P39:AT49 P51:AT62 P64:AT67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BERTU Laurence</dc:creator>
  <dcterms:created xsi:type="dcterms:W3CDTF">2020-11-27T06:19:21Z</dcterms:created>
  <dcterms:modified xsi:type="dcterms:W3CDTF">2025-11-25T18:28:53Z</dcterms:modified>
  <cp:lastModifiedBy>Gonçalves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0x0101004AF3B3DF8F52D746BFF13FB3784F436F</vt:lpwstr>
  </property>
  <property name="MediaServiceImageTags" fmtid="{D5CDD505-2E9C-101B-9397-08002B2CF9AE}" pid="3">
    <vt:lpwstr/>
  </property>
  <property name="_ExtendedDescription" fmtid="{D5CDD505-2E9C-101B-9397-08002B2CF9AE}" pid="4">
    <vt:lpwstr>Source#\\cluster1-met-smb.bordeaux-it.fr\Production$\BM\H\HB\HBC\SECTEUR BASTIDE BORDEAUX MARITIME-HBC8\06_RESSOURCES HUMAINES\CONGES\09 2024 - PRESENCES_CONGES PROPRETE ST8.xlsx|Cible#https&amp;#58;//bdx.sharepoint.com/sites/PT-BORDEAUX-MET-DGT_https&amp;#58;//bdx.sharepoint.com/sites/PT-BORDEAUX-MET-DGT/Documents%20partages_DGEP//DGEP/HBC/SECTEUR BASTIDE BORDEAUX MARITIME-HBC8/06_RESSOURCES HUMAINES/CONGES/09 2024 - PRESENCES_CONGES PROPRETE ST8.xlsx|DateDernierAcces#31/10/2024 11&amp;#58;24&amp;#58;50</vt:lpwstr>
  </property>
</Properties>
</file>